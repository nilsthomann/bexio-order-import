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Projekte\bexio-order-import\src\BexioOrderImport.Tests\"/>
    </mc:Choice>
  </mc:AlternateContent>
  <xr:revisionPtr revIDLastSave="0" documentId="13_ncr:1_{DDF798EC-AF12-4F3E-93D6-224BC71C52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Orderformular Color Kids" sheetId="9" r:id="rId1"/>
    <sheet name="Packliste Orig" sheetId="15" r:id="rId2"/>
  </sheets>
  <definedNames>
    <definedName name="_xlnm._FilterDatabase" localSheetId="0" hidden="1">'Orderformular Color Kids'!$A$17:$AG$459</definedName>
    <definedName name="_xlnm._FilterDatabase" localSheetId="1" hidden="1">'Packliste Orig'!$A$11:$AB$412</definedName>
    <definedName name="_xlnm.Print_Area" localSheetId="0">'Orderformular Color Kids'!$A$1:$V$466</definedName>
    <definedName name="_xlnm.Print_Area" localSheetId="1">'Packliste Orig'!$A$1:$T$412</definedName>
    <definedName name="register" localSheetId="0">#REF!</definedName>
    <definedName name="register" localSheetId="1">#REF!</definedName>
    <definedName name="regist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8" i="9" l="1"/>
  <c r="V18" i="9" s="1"/>
  <c r="S19" i="9"/>
  <c r="V19" i="9"/>
  <c r="S20" i="9"/>
  <c r="V20" i="9" s="1"/>
  <c r="S21" i="9"/>
  <c r="V21" i="9"/>
  <c r="S22" i="9"/>
  <c r="V22" i="9" s="1"/>
  <c r="S23" i="9"/>
  <c r="V23" i="9"/>
  <c r="S24" i="9"/>
  <c r="V24" i="9" s="1"/>
  <c r="S25" i="9"/>
  <c r="V25" i="9"/>
  <c r="S26" i="9"/>
  <c r="V26" i="9" s="1"/>
  <c r="S27" i="9"/>
  <c r="V27" i="9"/>
  <c r="S28" i="9"/>
  <c r="V28" i="9" s="1"/>
  <c r="S29" i="9"/>
  <c r="V29" i="9"/>
  <c r="S30" i="9"/>
  <c r="V30" i="9" s="1"/>
  <c r="S31" i="9"/>
  <c r="V31" i="9"/>
  <c r="S32" i="9"/>
  <c r="V32" i="9" s="1"/>
  <c r="S33" i="9"/>
  <c r="V33" i="9"/>
  <c r="S34" i="9"/>
  <c r="V34" i="9" s="1"/>
  <c r="S35" i="9"/>
  <c r="V35" i="9"/>
  <c r="S36" i="9"/>
  <c r="V36" i="9" s="1"/>
  <c r="S37" i="9"/>
  <c r="V37" i="9"/>
  <c r="S38" i="9"/>
  <c r="V38" i="9" s="1"/>
  <c r="S39" i="9"/>
  <c r="V39" i="9"/>
  <c r="S40" i="9"/>
  <c r="V40" i="9" s="1"/>
  <c r="S41" i="9"/>
  <c r="V41" i="9"/>
  <c r="S42" i="9"/>
  <c r="V42" i="9" s="1"/>
  <c r="S43" i="9"/>
  <c r="V43" i="9"/>
  <c r="S44" i="9"/>
  <c r="V44" i="9" s="1"/>
  <c r="S45" i="9"/>
  <c r="V45" i="9"/>
  <c r="S46" i="9"/>
  <c r="V46" i="9" s="1"/>
  <c r="S47" i="9"/>
  <c r="V47" i="9"/>
  <c r="S48" i="9"/>
  <c r="V48" i="9" s="1"/>
  <c r="S49" i="9"/>
  <c r="V49" i="9"/>
  <c r="S50" i="9"/>
  <c r="V50" i="9" s="1"/>
  <c r="S51" i="9"/>
  <c r="V51" i="9"/>
  <c r="S52" i="9"/>
  <c r="V52" i="9" s="1"/>
  <c r="S53" i="9"/>
  <c r="V53" i="9"/>
  <c r="S54" i="9"/>
  <c r="V54" i="9" s="1"/>
  <c r="S55" i="9"/>
  <c r="V55" i="9"/>
  <c r="S56" i="9"/>
  <c r="V56" i="9" s="1"/>
  <c r="S57" i="9"/>
  <c r="V57" i="9"/>
  <c r="S58" i="9"/>
  <c r="V58" i="9" s="1"/>
  <c r="S59" i="9"/>
  <c r="V59" i="9"/>
  <c r="S60" i="9"/>
  <c r="V60" i="9" s="1"/>
  <c r="S61" i="9"/>
  <c r="V61" i="9"/>
  <c r="S62" i="9"/>
  <c r="V62" i="9" s="1"/>
  <c r="S63" i="9"/>
  <c r="V63" i="9"/>
  <c r="S64" i="9"/>
  <c r="V64" i="9" s="1"/>
  <c r="S65" i="9"/>
  <c r="V65" i="9"/>
  <c r="S66" i="9"/>
  <c r="V66" i="9" s="1"/>
  <c r="S67" i="9"/>
  <c r="V67" i="9"/>
  <c r="S68" i="9"/>
  <c r="V68" i="9" s="1"/>
  <c r="S69" i="9"/>
  <c r="V69" i="9"/>
  <c r="S70" i="9"/>
  <c r="V70" i="9" s="1"/>
  <c r="S71" i="9"/>
  <c r="V71" i="9"/>
  <c r="S72" i="9"/>
  <c r="V72" i="9" s="1"/>
  <c r="S73" i="9"/>
  <c r="V73" i="9"/>
  <c r="S74" i="9"/>
  <c r="V74" i="9" s="1"/>
  <c r="S75" i="9"/>
  <c r="V75" i="9"/>
  <c r="S76" i="9"/>
  <c r="V76" i="9" s="1"/>
  <c r="S77" i="9"/>
  <c r="V77" i="9"/>
  <c r="S78" i="9"/>
  <c r="V78" i="9" s="1"/>
  <c r="S79" i="9"/>
  <c r="V79" i="9"/>
  <c r="S80" i="9"/>
  <c r="V80" i="9" s="1"/>
  <c r="S81" i="9"/>
  <c r="V81" i="9"/>
  <c r="S82" i="9"/>
  <c r="V82" i="9" s="1"/>
  <c r="S83" i="9"/>
  <c r="V83" i="9"/>
  <c r="S84" i="9"/>
  <c r="V84" i="9" s="1"/>
  <c r="S85" i="9"/>
  <c r="V85" i="9"/>
  <c r="S86" i="9"/>
  <c r="V86" i="9" s="1"/>
  <c r="S87" i="9"/>
  <c r="V87" i="9"/>
  <c r="S88" i="9"/>
  <c r="V88" i="9" s="1"/>
  <c r="S89" i="9"/>
  <c r="V89" i="9"/>
  <c r="S90" i="9"/>
  <c r="V90" i="9" s="1"/>
  <c r="S91" i="9"/>
  <c r="V91" i="9"/>
  <c r="S92" i="9"/>
  <c r="V92" i="9" s="1"/>
  <c r="S93" i="9"/>
  <c r="V93" i="9"/>
  <c r="S94" i="9"/>
  <c r="V94" i="9" s="1"/>
  <c r="S95" i="9"/>
  <c r="V95" i="9"/>
  <c r="S96" i="9"/>
  <c r="V96" i="9" s="1"/>
  <c r="S97" i="9"/>
  <c r="V97" i="9"/>
  <c r="S98" i="9"/>
  <c r="V98" i="9" s="1"/>
  <c r="S99" i="9"/>
  <c r="V99" i="9"/>
  <c r="S100" i="9"/>
  <c r="V100" i="9" s="1"/>
  <c r="S101" i="9"/>
  <c r="V101" i="9"/>
  <c r="S102" i="9"/>
  <c r="V102" i="9" s="1"/>
  <c r="S103" i="9"/>
  <c r="V103" i="9"/>
  <c r="S104" i="9"/>
  <c r="V104" i="9" s="1"/>
  <c r="S105" i="9"/>
  <c r="V105" i="9"/>
  <c r="S106" i="9"/>
  <c r="V106" i="9" s="1"/>
  <c r="S107" i="9"/>
  <c r="V107" i="9"/>
  <c r="S108" i="9"/>
  <c r="V108" i="9" s="1"/>
  <c r="S109" i="9"/>
  <c r="V109" i="9"/>
  <c r="S110" i="9"/>
  <c r="V110" i="9" s="1"/>
  <c r="S111" i="9"/>
  <c r="V111" i="9"/>
  <c r="S112" i="9"/>
  <c r="V112" i="9" s="1"/>
  <c r="S113" i="9"/>
  <c r="V113" i="9"/>
  <c r="S114" i="9"/>
  <c r="V114" i="9" s="1"/>
  <c r="S115" i="9"/>
  <c r="V115" i="9"/>
  <c r="S116" i="9"/>
  <c r="V116" i="9" s="1"/>
  <c r="S117" i="9"/>
  <c r="V117" i="9"/>
  <c r="S118" i="9"/>
  <c r="V118" i="9" s="1"/>
  <c r="S119" i="9"/>
  <c r="V119" i="9"/>
  <c r="S120" i="9"/>
  <c r="V120" i="9" s="1"/>
  <c r="S121" i="9"/>
  <c r="V121" i="9"/>
  <c r="S122" i="9"/>
  <c r="V122" i="9" s="1"/>
  <c r="S123" i="9"/>
  <c r="V123" i="9"/>
  <c r="S124" i="9"/>
  <c r="V124" i="9" s="1"/>
  <c r="S125" i="9"/>
  <c r="V125" i="9"/>
  <c r="S126" i="9"/>
  <c r="V126" i="9" s="1"/>
  <c r="S127" i="9"/>
  <c r="V127" i="9"/>
  <c r="S128" i="9"/>
  <c r="V128" i="9" s="1"/>
  <c r="S129" i="9"/>
  <c r="V129" i="9"/>
  <c r="S130" i="9"/>
  <c r="V130" i="9" s="1"/>
  <c r="S131" i="9"/>
  <c r="V131" i="9"/>
  <c r="S132" i="9"/>
  <c r="V132" i="9" s="1"/>
  <c r="S133" i="9"/>
  <c r="V133" i="9"/>
  <c r="S134" i="9"/>
  <c r="V134" i="9" s="1"/>
  <c r="S135" i="9"/>
  <c r="V135" i="9"/>
  <c r="S136" i="9"/>
  <c r="V136" i="9" s="1"/>
  <c r="S137" i="9"/>
  <c r="V137" i="9"/>
  <c r="S138" i="9"/>
  <c r="V138" i="9" s="1"/>
  <c r="S139" i="9"/>
  <c r="V139" i="9"/>
  <c r="S140" i="9"/>
  <c r="V140" i="9" s="1"/>
  <c r="S141" i="9"/>
  <c r="V141" i="9"/>
  <c r="S142" i="9"/>
  <c r="V142" i="9" s="1"/>
  <c r="S143" i="9"/>
  <c r="V143" i="9"/>
  <c r="S144" i="9"/>
  <c r="V144" i="9" s="1"/>
  <c r="S145" i="9"/>
  <c r="V145" i="9"/>
  <c r="S146" i="9"/>
  <c r="V146" i="9" s="1"/>
  <c r="S147" i="9"/>
  <c r="V147" i="9"/>
  <c r="S148" i="9"/>
  <c r="V148" i="9" s="1"/>
  <c r="S149" i="9"/>
  <c r="V149" i="9"/>
  <c r="S150" i="9"/>
  <c r="V150" i="9" s="1"/>
  <c r="S151" i="9"/>
  <c r="V151" i="9"/>
  <c r="S152" i="9"/>
  <c r="V152" i="9" s="1"/>
  <c r="S153" i="9"/>
  <c r="V153" i="9"/>
  <c r="S154" i="9"/>
  <c r="V154" i="9" s="1"/>
  <c r="S155" i="9"/>
  <c r="V155" i="9"/>
  <c r="S156" i="9"/>
  <c r="V156" i="9" s="1"/>
  <c r="S157" i="9"/>
  <c r="V157" i="9"/>
  <c r="S158" i="9"/>
  <c r="V158" i="9" s="1"/>
  <c r="S159" i="9"/>
  <c r="V159" i="9"/>
  <c r="S160" i="9"/>
  <c r="V160" i="9" s="1"/>
  <c r="S161" i="9"/>
  <c r="V161" i="9"/>
  <c r="S162" i="9"/>
  <c r="V162" i="9" s="1"/>
  <c r="S163" i="9"/>
  <c r="V163" i="9"/>
  <c r="S164" i="9"/>
  <c r="V164" i="9" s="1"/>
  <c r="S165" i="9"/>
  <c r="V165" i="9"/>
  <c r="S166" i="9"/>
  <c r="V166" i="9" s="1"/>
  <c r="S167" i="9"/>
  <c r="V167" i="9"/>
  <c r="S168" i="9"/>
  <c r="V168" i="9" s="1"/>
  <c r="S169" i="9"/>
  <c r="V169" i="9"/>
  <c r="S170" i="9"/>
  <c r="V170" i="9" s="1"/>
  <c r="S171" i="9"/>
  <c r="V171" i="9"/>
  <c r="S172" i="9"/>
  <c r="V172" i="9" s="1"/>
  <c r="S173" i="9"/>
  <c r="V173" i="9"/>
  <c r="S174" i="9"/>
  <c r="V174" i="9" s="1"/>
  <c r="S175" i="9"/>
  <c r="V175" i="9"/>
  <c r="S176" i="9"/>
  <c r="V176" i="9" s="1"/>
  <c r="S177" i="9"/>
  <c r="V177" i="9"/>
  <c r="S178" i="9"/>
  <c r="V178" i="9" s="1"/>
  <c r="S179" i="9"/>
  <c r="V179" i="9"/>
  <c r="S180" i="9"/>
  <c r="V180" i="9" s="1"/>
  <c r="S181" i="9"/>
  <c r="V181" i="9"/>
  <c r="S182" i="9"/>
  <c r="V182" i="9" s="1"/>
  <c r="S183" i="9"/>
  <c r="V183" i="9"/>
  <c r="S184" i="9"/>
  <c r="V184" i="9" s="1"/>
  <c r="S185" i="9"/>
  <c r="V185" i="9"/>
  <c r="S186" i="9"/>
  <c r="V186" i="9" s="1"/>
  <c r="S187" i="9"/>
  <c r="V187" i="9"/>
  <c r="S188" i="9"/>
  <c r="V188" i="9" s="1"/>
  <c r="S189" i="9"/>
  <c r="V189" i="9"/>
  <c r="S190" i="9"/>
  <c r="V190" i="9" s="1"/>
  <c r="S191" i="9"/>
  <c r="V191" i="9"/>
  <c r="S192" i="9"/>
  <c r="V192" i="9" s="1"/>
  <c r="S193" i="9"/>
  <c r="V193" i="9"/>
  <c r="S194" i="9"/>
  <c r="V194" i="9" s="1"/>
  <c r="S195" i="9"/>
  <c r="V195" i="9"/>
  <c r="S196" i="9"/>
  <c r="V196" i="9" s="1"/>
  <c r="S197" i="9"/>
  <c r="V197" i="9"/>
  <c r="S198" i="9"/>
  <c r="V198" i="9" s="1"/>
  <c r="S199" i="9"/>
  <c r="V199" i="9"/>
  <c r="S200" i="9"/>
  <c r="V200" i="9" s="1"/>
  <c r="S201" i="9"/>
  <c r="V201" i="9"/>
  <c r="S202" i="9"/>
  <c r="V202" i="9" s="1"/>
  <c r="S203" i="9"/>
  <c r="V203" i="9"/>
  <c r="S204" i="9"/>
  <c r="V204" i="9" s="1"/>
  <c r="S205" i="9"/>
  <c r="V205" i="9"/>
  <c r="S206" i="9"/>
  <c r="V206" i="9" s="1"/>
  <c r="S207" i="9"/>
  <c r="V207" i="9"/>
  <c r="S208" i="9"/>
  <c r="V208" i="9" s="1"/>
  <c r="S209" i="9"/>
  <c r="V209" i="9"/>
  <c r="S210" i="9"/>
  <c r="V210" i="9" s="1"/>
  <c r="S211" i="9"/>
  <c r="V211" i="9"/>
  <c r="S212" i="9"/>
  <c r="V212" i="9" s="1"/>
  <c r="S213" i="9"/>
  <c r="V213" i="9"/>
  <c r="S214" i="9"/>
  <c r="V214" i="9" s="1"/>
  <c r="S215" i="9"/>
  <c r="V215" i="9"/>
  <c r="S216" i="9"/>
  <c r="V216" i="9" s="1"/>
  <c r="S217" i="9"/>
  <c r="V217" i="9"/>
  <c r="S218" i="9"/>
  <c r="V218" i="9" s="1"/>
  <c r="S219" i="9"/>
  <c r="V219" i="9"/>
  <c r="S220" i="9"/>
  <c r="V220" i="9" s="1"/>
  <c r="S221" i="9"/>
  <c r="V221" i="9"/>
  <c r="S222" i="9"/>
  <c r="V222" i="9" s="1"/>
  <c r="S223" i="9"/>
  <c r="V223" i="9"/>
  <c r="S224" i="9"/>
  <c r="V224" i="9" s="1"/>
  <c r="S225" i="9"/>
  <c r="V225" i="9"/>
  <c r="S226" i="9"/>
  <c r="V226" i="9" s="1"/>
  <c r="S227" i="9"/>
  <c r="V227" i="9"/>
  <c r="S228" i="9"/>
  <c r="V228" i="9" s="1"/>
  <c r="S229" i="9"/>
  <c r="V229" i="9"/>
  <c r="S230" i="9"/>
  <c r="V230" i="9" s="1"/>
  <c r="S231" i="9"/>
  <c r="V231" i="9"/>
  <c r="S232" i="9"/>
  <c r="V232" i="9" s="1"/>
  <c r="S233" i="9"/>
  <c r="V233" i="9"/>
  <c r="S234" i="9"/>
  <c r="V234" i="9" s="1"/>
  <c r="S235" i="9"/>
  <c r="V235" i="9"/>
  <c r="S236" i="9"/>
  <c r="V236" i="9" s="1"/>
  <c r="S237" i="9"/>
  <c r="V237" i="9"/>
  <c r="S238" i="9"/>
  <c r="V238" i="9" s="1"/>
  <c r="S239" i="9"/>
  <c r="V239" i="9"/>
  <c r="S240" i="9"/>
  <c r="V240" i="9" s="1"/>
  <c r="S241" i="9"/>
  <c r="V241" i="9"/>
  <c r="S242" i="9"/>
  <c r="V242" i="9" s="1"/>
  <c r="S243" i="9"/>
  <c r="V243" i="9"/>
  <c r="S244" i="9"/>
  <c r="V244" i="9" s="1"/>
  <c r="S245" i="9"/>
  <c r="V245" i="9"/>
  <c r="S246" i="9"/>
  <c r="V246" i="9" s="1"/>
  <c r="S247" i="9"/>
  <c r="V247" i="9"/>
  <c r="S248" i="9"/>
  <c r="V248" i="9" s="1"/>
  <c r="S249" i="9"/>
  <c r="V249" i="9"/>
  <c r="S250" i="9"/>
  <c r="V250" i="9" s="1"/>
  <c r="S251" i="9"/>
  <c r="V251" i="9"/>
  <c r="S252" i="9"/>
  <c r="V252" i="9" s="1"/>
  <c r="S253" i="9"/>
  <c r="V253" i="9"/>
  <c r="S254" i="9"/>
  <c r="V254" i="9" s="1"/>
  <c r="S255" i="9"/>
  <c r="V255" i="9"/>
  <c r="S256" i="9"/>
  <c r="V256" i="9" s="1"/>
  <c r="S257" i="9"/>
  <c r="V257" i="9"/>
  <c r="S258" i="9"/>
  <c r="V258" i="9" s="1"/>
  <c r="S259" i="9"/>
  <c r="V259" i="9"/>
  <c r="S260" i="9"/>
  <c r="V260" i="9" s="1"/>
  <c r="S261" i="9"/>
  <c r="V261" i="9"/>
  <c r="S262" i="9"/>
  <c r="V262" i="9" s="1"/>
  <c r="S263" i="9"/>
  <c r="V263" i="9"/>
  <c r="S264" i="9"/>
  <c r="V264" i="9" s="1"/>
  <c r="S265" i="9"/>
  <c r="V265" i="9"/>
  <c r="S266" i="9"/>
  <c r="V266" i="9" s="1"/>
  <c r="S267" i="9"/>
  <c r="V267" i="9"/>
  <c r="S268" i="9"/>
  <c r="V268" i="9" s="1"/>
  <c r="S269" i="9"/>
  <c r="V269" i="9"/>
  <c r="S270" i="9"/>
  <c r="V270" i="9" s="1"/>
  <c r="S271" i="9"/>
  <c r="V271" i="9"/>
  <c r="S272" i="9"/>
  <c r="V272" i="9" s="1"/>
  <c r="S273" i="9"/>
  <c r="V273" i="9"/>
  <c r="S274" i="9"/>
  <c r="V274" i="9" s="1"/>
  <c r="S275" i="9"/>
  <c r="V275" i="9"/>
  <c r="S276" i="9"/>
  <c r="V276" i="9" s="1"/>
  <c r="S277" i="9"/>
  <c r="V277" i="9"/>
  <c r="S278" i="9"/>
  <c r="V278" i="9" s="1"/>
  <c r="S279" i="9"/>
  <c r="V279" i="9"/>
  <c r="S280" i="9"/>
  <c r="V280" i="9" s="1"/>
  <c r="S281" i="9"/>
  <c r="V281" i="9"/>
  <c r="S282" i="9"/>
  <c r="V282" i="9" s="1"/>
  <c r="S283" i="9"/>
  <c r="V283" i="9"/>
  <c r="S284" i="9"/>
  <c r="V284" i="9" s="1"/>
  <c r="S285" i="9"/>
  <c r="V285" i="9"/>
  <c r="S286" i="9"/>
  <c r="V286" i="9" s="1"/>
  <c r="S287" i="9"/>
  <c r="V287" i="9"/>
  <c r="S288" i="9"/>
  <c r="V288" i="9" s="1"/>
  <c r="S289" i="9"/>
  <c r="V289" i="9"/>
  <c r="S290" i="9"/>
  <c r="V290" i="9" s="1"/>
  <c r="S291" i="9"/>
  <c r="V291" i="9"/>
  <c r="S292" i="9"/>
  <c r="V292" i="9" s="1"/>
  <c r="S293" i="9"/>
  <c r="V293" i="9" s="1"/>
  <c r="S294" i="9"/>
  <c r="V294" i="9" s="1"/>
  <c r="S295" i="9"/>
  <c r="V295" i="9"/>
  <c r="S296" i="9"/>
  <c r="V296" i="9" s="1"/>
  <c r="S297" i="9"/>
  <c r="V297" i="9"/>
  <c r="S298" i="9"/>
  <c r="V298" i="9" s="1"/>
  <c r="S299" i="9"/>
  <c r="V299" i="9"/>
  <c r="S300" i="9"/>
  <c r="V300" i="9" s="1"/>
  <c r="S301" i="9"/>
  <c r="V301" i="9"/>
  <c r="S302" i="9"/>
  <c r="V302" i="9" s="1"/>
  <c r="S303" i="9"/>
  <c r="V303" i="9"/>
  <c r="S304" i="9"/>
  <c r="V304" i="9" s="1"/>
  <c r="S305" i="9"/>
  <c r="V305" i="9"/>
  <c r="S306" i="9"/>
  <c r="V306" i="9" s="1"/>
  <c r="S307" i="9"/>
  <c r="V307" i="9"/>
  <c r="S308" i="9"/>
  <c r="V308" i="9" s="1"/>
  <c r="S309" i="9"/>
  <c r="V309" i="9"/>
  <c r="S310" i="9"/>
  <c r="V310" i="9" s="1"/>
  <c r="S311" i="9"/>
  <c r="V311" i="9"/>
  <c r="S312" i="9"/>
  <c r="V312" i="9" s="1"/>
  <c r="S313" i="9"/>
  <c r="V313" i="9"/>
  <c r="S314" i="9"/>
  <c r="V314" i="9" s="1"/>
  <c r="S315" i="9"/>
  <c r="V315" i="9"/>
  <c r="S316" i="9"/>
  <c r="V316" i="9" s="1"/>
  <c r="S317" i="9"/>
  <c r="V317" i="9"/>
  <c r="S318" i="9"/>
  <c r="V318" i="9" s="1"/>
  <c r="S319" i="9"/>
  <c r="V319" i="9"/>
  <c r="S320" i="9"/>
  <c r="V320" i="9" s="1"/>
  <c r="S321" i="9"/>
  <c r="V321" i="9"/>
  <c r="S322" i="9"/>
  <c r="V322" i="9" s="1"/>
  <c r="S323" i="9"/>
  <c r="V323" i="9"/>
  <c r="S324" i="9"/>
  <c r="V324" i="9" s="1"/>
  <c r="S325" i="9"/>
  <c r="V325" i="9"/>
  <c r="S326" i="9"/>
  <c r="V326" i="9" s="1"/>
  <c r="S327" i="9"/>
  <c r="V327" i="9"/>
  <c r="S328" i="9"/>
  <c r="V328" i="9" s="1"/>
  <c r="S329" i="9"/>
  <c r="V329" i="9"/>
  <c r="S330" i="9"/>
  <c r="V330" i="9" s="1"/>
  <c r="S331" i="9"/>
  <c r="V331" i="9"/>
  <c r="S332" i="9"/>
  <c r="V332" i="9" s="1"/>
  <c r="S333" i="9"/>
  <c r="V333" i="9"/>
  <c r="S334" i="9"/>
  <c r="V334" i="9" s="1"/>
  <c r="S335" i="9"/>
  <c r="V335" i="9"/>
  <c r="S336" i="9"/>
  <c r="V336" i="9" s="1"/>
  <c r="S337" i="9"/>
  <c r="V337" i="9"/>
  <c r="S338" i="9"/>
  <c r="V338" i="9" s="1"/>
  <c r="S339" i="9"/>
  <c r="V339" i="9"/>
  <c r="S340" i="9"/>
  <c r="V340" i="9" s="1"/>
  <c r="S341" i="9"/>
  <c r="V341" i="9"/>
  <c r="S342" i="9"/>
  <c r="V342" i="9" s="1"/>
  <c r="S343" i="9"/>
  <c r="V343" i="9"/>
  <c r="S344" i="9"/>
  <c r="V344" i="9" s="1"/>
  <c r="S345" i="9"/>
  <c r="V345" i="9"/>
  <c r="S346" i="9"/>
  <c r="V346" i="9" s="1"/>
  <c r="S347" i="9"/>
  <c r="V347" i="9"/>
  <c r="S348" i="9"/>
  <c r="V348" i="9" s="1"/>
  <c r="S349" i="9"/>
  <c r="V349" i="9"/>
  <c r="S350" i="9"/>
  <c r="V350" i="9" s="1"/>
  <c r="S351" i="9"/>
  <c r="V351" i="9"/>
  <c r="S352" i="9"/>
  <c r="V352" i="9" s="1"/>
  <c r="S353" i="9"/>
  <c r="V353" i="9"/>
  <c r="S354" i="9"/>
  <c r="V354" i="9"/>
  <c r="S355" i="9"/>
  <c r="V355" i="9"/>
  <c r="S356" i="9"/>
  <c r="V356" i="9"/>
  <c r="S357" i="9"/>
  <c r="V357" i="9"/>
  <c r="S358" i="9"/>
  <c r="V358" i="9"/>
  <c r="S359" i="9"/>
  <c r="V359" i="9"/>
  <c r="S360" i="9"/>
  <c r="V360" i="9"/>
  <c r="S361" i="9"/>
  <c r="V361" i="9"/>
  <c r="S362" i="9"/>
  <c r="V362" i="9"/>
  <c r="S363" i="9"/>
  <c r="V363" i="9"/>
  <c r="S364" i="9"/>
  <c r="V364" i="9"/>
  <c r="S365" i="9"/>
  <c r="V365" i="9"/>
  <c r="S366" i="9"/>
  <c r="V366" i="9"/>
  <c r="S367" i="9"/>
  <c r="V367" i="9"/>
  <c r="S368" i="9"/>
  <c r="V368" i="9"/>
  <c r="S369" i="9"/>
  <c r="V369" i="9"/>
  <c r="S370" i="9"/>
  <c r="V370" i="9"/>
  <c r="S371" i="9"/>
  <c r="V371" i="9"/>
  <c r="S372" i="9"/>
  <c r="V372" i="9"/>
  <c r="S373" i="9"/>
  <c r="V373" i="9"/>
  <c r="S374" i="9"/>
  <c r="V374" i="9"/>
  <c r="S375" i="9"/>
  <c r="V375" i="9"/>
  <c r="S376" i="9"/>
  <c r="V376" i="9"/>
  <c r="S377" i="9"/>
  <c r="V377" i="9"/>
  <c r="S378" i="9"/>
  <c r="V378" i="9"/>
  <c r="S379" i="9"/>
  <c r="V379" i="9"/>
  <c r="S380" i="9"/>
  <c r="V380" i="9"/>
  <c r="S381" i="9"/>
  <c r="V381" i="9"/>
  <c r="S382" i="9"/>
  <c r="V382" i="9"/>
  <c r="S383" i="9"/>
  <c r="V383" i="9"/>
  <c r="S384" i="9"/>
  <c r="V384" i="9"/>
  <c r="S385" i="9"/>
  <c r="V385" i="9"/>
  <c r="S386" i="9"/>
  <c r="V386" i="9"/>
  <c r="S387" i="9"/>
  <c r="V387" i="9"/>
  <c r="S388" i="9"/>
  <c r="V388" i="9"/>
  <c r="S389" i="9"/>
  <c r="V389" i="9"/>
  <c r="S390" i="9"/>
  <c r="V390" i="9"/>
  <c r="S391" i="9"/>
  <c r="V391" i="9"/>
  <c r="S392" i="9"/>
  <c r="V392" i="9"/>
  <c r="S393" i="9"/>
  <c r="V393" i="9"/>
  <c r="S394" i="9"/>
  <c r="V394" i="9"/>
  <c r="S395" i="9"/>
  <c r="V395" i="9"/>
  <c r="S396" i="9"/>
  <c r="V396" i="9"/>
  <c r="S397" i="9"/>
  <c r="V397" i="9"/>
  <c r="S398" i="9"/>
  <c r="V398" i="9"/>
  <c r="S399" i="9"/>
  <c r="V399" i="9"/>
  <c r="S400" i="9"/>
  <c r="V400" i="9"/>
  <c r="S401" i="9"/>
  <c r="V401" i="9"/>
  <c r="S402" i="9"/>
  <c r="V402" i="9"/>
  <c r="S403" i="9"/>
  <c r="V403" i="9"/>
  <c r="S404" i="9"/>
  <c r="V404" i="9"/>
  <c r="S405" i="9"/>
  <c r="V405" i="9"/>
  <c r="S406" i="9"/>
  <c r="V406" i="9"/>
  <c r="S407" i="9"/>
  <c r="V407" i="9"/>
  <c r="S408" i="9"/>
  <c r="V408" i="9"/>
  <c r="S409" i="9"/>
  <c r="V409" i="9"/>
  <c r="S410" i="9"/>
  <c r="V410" i="9"/>
  <c r="S411" i="9"/>
  <c r="V411" i="9"/>
  <c r="S412" i="9"/>
  <c r="V412" i="9"/>
  <c r="S413" i="9"/>
  <c r="V413" i="9"/>
  <c r="S414" i="9"/>
  <c r="V414" i="9"/>
  <c r="S415" i="9"/>
  <c r="V415" i="9"/>
  <c r="S416" i="9"/>
  <c r="V416" i="9"/>
  <c r="S417" i="9"/>
  <c r="V417" i="9"/>
  <c r="S418" i="9"/>
  <c r="V418" i="9"/>
  <c r="S419" i="9"/>
  <c r="V419" i="9"/>
  <c r="S420" i="9"/>
  <c r="V420" i="9"/>
  <c r="S421" i="9"/>
  <c r="V421" i="9"/>
  <c r="S422" i="9"/>
  <c r="V422" i="9"/>
  <c r="S423" i="9"/>
  <c r="V423" i="9"/>
  <c r="S424" i="9"/>
  <c r="V424" i="9"/>
  <c r="S425" i="9"/>
  <c r="V425" i="9"/>
  <c r="S426" i="9"/>
  <c r="V426" i="9"/>
  <c r="S427" i="9"/>
  <c r="V427" i="9"/>
  <c r="S428" i="9"/>
  <c r="V428" i="9"/>
  <c r="S429" i="9"/>
  <c r="V429" i="9"/>
  <c r="S430" i="9"/>
  <c r="V430" i="9"/>
  <c r="S431" i="9"/>
  <c r="V431" i="9"/>
  <c r="S432" i="9"/>
  <c r="V432" i="9"/>
  <c r="S433" i="9"/>
  <c r="V433" i="9"/>
  <c r="S434" i="9"/>
  <c r="V434" i="9"/>
  <c r="S435" i="9"/>
  <c r="V435" i="9"/>
  <c r="S436" i="9"/>
  <c r="V436" i="9"/>
  <c r="S437" i="9"/>
  <c r="V437" i="9"/>
  <c r="S438" i="9"/>
  <c r="V438" i="9"/>
  <c r="S439" i="9"/>
  <c r="V439" i="9"/>
  <c r="S440" i="9"/>
  <c r="V440" i="9"/>
  <c r="S441" i="9"/>
  <c r="V441" i="9"/>
  <c r="S442" i="9"/>
  <c r="V442" i="9"/>
  <c r="S443" i="9"/>
  <c r="V443" i="9"/>
  <c r="S444" i="9"/>
  <c r="V444" i="9"/>
  <c r="S445" i="9"/>
  <c r="V445" i="9"/>
  <c r="S446" i="9"/>
  <c r="V446" i="9"/>
  <c r="S447" i="9"/>
  <c r="V447" i="9"/>
  <c r="S448" i="9"/>
  <c r="V448" i="9"/>
  <c r="S449" i="9"/>
  <c r="V449" i="9"/>
  <c r="S450" i="9"/>
  <c r="V450" i="9"/>
  <c r="S451" i="9"/>
  <c r="V451" i="9"/>
  <c r="S452" i="9"/>
  <c r="V452" i="9"/>
  <c r="S453" i="9"/>
  <c r="V453" i="9"/>
  <c r="S454" i="9"/>
  <c r="V454" i="9"/>
  <c r="S455" i="9"/>
  <c r="V455" i="9"/>
  <c r="S456" i="9"/>
  <c r="V456" i="9"/>
  <c r="S457" i="9"/>
  <c r="V457" i="9"/>
  <c r="S458" i="9"/>
  <c r="V458" i="9"/>
  <c r="S459" i="9"/>
  <c r="V459" i="9"/>
  <c r="D4" i="15"/>
  <c r="B5" i="15"/>
  <c r="D5" i="15"/>
  <c r="A6" i="15"/>
  <c r="B6" i="15"/>
  <c r="D6" i="15"/>
  <c r="O6" i="15"/>
  <c r="D7" i="15"/>
  <c r="D8" i="15"/>
  <c r="E8" i="15"/>
  <c r="F8" i="15"/>
  <c r="G8" i="15"/>
  <c r="H8" i="15"/>
  <c r="I8" i="15"/>
  <c r="J8" i="15"/>
  <c r="K8" i="15"/>
  <c r="L8" i="15"/>
  <c r="M8" i="15"/>
  <c r="O8" i="15"/>
  <c r="Q8" i="15"/>
  <c r="R8" i="15"/>
  <c r="D9" i="15"/>
  <c r="E9" i="15"/>
  <c r="F9" i="15"/>
  <c r="G9" i="15"/>
  <c r="H9" i="15"/>
  <c r="I9" i="15"/>
  <c r="J9" i="15"/>
  <c r="K9" i="15"/>
  <c r="L9" i="15"/>
  <c r="M9" i="15"/>
  <c r="O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M11" i="15"/>
  <c r="O11" i="15"/>
  <c r="Q11" i="15"/>
  <c r="R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T22" i="15"/>
  <c r="A23" i="15"/>
  <c r="B23" i="15"/>
  <c r="C23" i="15"/>
  <c r="D23" i="15"/>
  <c r="E23" i="15"/>
  <c r="S23" i="15" s="1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T58" i="15"/>
  <c r="A59" i="15"/>
  <c r="B59" i="15"/>
  <c r="C59" i="15"/>
  <c r="D59" i="15"/>
  <c r="E59" i="15"/>
  <c r="S59" i="15" s="1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T78" i="15"/>
  <c r="A79" i="15"/>
  <c r="B79" i="15"/>
  <c r="C79" i="15"/>
  <c r="D79" i="15"/>
  <c r="E79" i="15"/>
  <c r="S79" i="15" s="1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T98" i="15"/>
  <c r="A99" i="15"/>
  <c r="B99" i="15"/>
  <c r="C99" i="15"/>
  <c r="D99" i="15"/>
  <c r="E99" i="15"/>
  <c r="S99" i="15" s="1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T114" i="15"/>
  <c r="A115" i="15"/>
  <c r="B115" i="15"/>
  <c r="C115" i="15"/>
  <c r="D115" i="15"/>
  <c r="E115" i="15"/>
  <c r="S115" i="15" s="1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T202" i="15"/>
  <c r="A203" i="15"/>
  <c r="B203" i="15"/>
  <c r="C203" i="15"/>
  <c r="D203" i="15"/>
  <c r="E203" i="15"/>
  <c r="S203" i="15" s="1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T222" i="15"/>
  <c r="A223" i="15"/>
  <c r="B223" i="15"/>
  <c r="C223" i="15"/>
  <c r="D223" i="15"/>
  <c r="E223" i="15"/>
  <c r="S223" i="15" s="1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S253" i="15" s="1"/>
  <c r="P253" i="15"/>
  <c r="Q253" i="15"/>
  <c r="R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S256" i="15" s="1"/>
  <c r="L256" i="15"/>
  <c r="M256" i="15"/>
  <c r="N256" i="15"/>
  <c r="O256" i="15"/>
  <c r="P256" i="15"/>
  <c r="Q256" i="15"/>
  <c r="R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S258" i="15" s="1"/>
  <c r="P258" i="15"/>
  <c r="Q258" i="15"/>
  <c r="R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S270" i="15" s="1"/>
  <c r="P270" i="15"/>
  <c r="Q270" i="15"/>
  <c r="R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S272" i="15" s="1"/>
  <c r="P272" i="15"/>
  <c r="Q272" i="15"/>
  <c r="R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S274" i="15" s="1"/>
  <c r="M274" i="15"/>
  <c r="N274" i="15"/>
  <c r="O274" i="15"/>
  <c r="P274" i="15"/>
  <c r="Q274" i="15"/>
  <c r="R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S275" i="15" s="1"/>
  <c r="M275" i="15"/>
  <c r="N275" i="15"/>
  <c r="O275" i="15"/>
  <c r="P275" i="15"/>
  <c r="Q275" i="15"/>
  <c r="R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S277" i="15" s="1"/>
  <c r="P277" i="15"/>
  <c r="Q277" i="15"/>
  <c r="R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S282" i="15" s="1"/>
  <c r="P282" i="15"/>
  <c r="Q282" i="15"/>
  <c r="R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S284" i="15" s="1"/>
  <c r="P284" i="15"/>
  <c r="Q284" i="15"/>
  <c r="R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S287" i="15" s="1"/>
  <c r="M287" i="15"/>
  <c r="N287" i="15"/>
  <c r="O287" i="15"/>
  <c r="P287" i="15"/>
  <c r="Q287" i="15"/>
  <c r="R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S291" i="15" s="1"/>
  <c r="L291" i="15"/>
  <c r="M291" i="15"/>
  <c r="N291" i="15"/>
  <c r="O291" i="15"/>
  <c r="P291" i="15"/>
  <c r="Q291" i="15"/>
  <c r="R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S293" i="15" s="1"/>
  <c r="P293" i="15"/>
  <c r="Q293" i="15"/>
  <c r="R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S294" i="15" s="1"/>
  <c r="P294" i="15"/>
  <c r="Q294" i="15"/>
  <c r="R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S295" i="15" s="1"/>
  <c r="P295" i="15"/>
  <c r="Q295" i="15"/>
  <c r="R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S299" i="15" s="1"/>
  <c r="L299" i="15"/>
  <c r="M299" i="15"/>
  <c r="N299" i="15"/>
  <c r="O299" i="15"/>
  <c r="P299" i="15"/>
  <c r="Q299" i="15"/>
  <c r="R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S300" i="15" s="1"/>
  <c r="P300" i="15"/>
  <c r="Q300" i="15"/>
  <c r="R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S302" i="15" s="1"/>
  <c r="P302" i="15"/>
  <c r="Q302" i="15"/>
  <c r="R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S308" i="15" s="1"/>
  <c r="P308" i="15"/>
  <c r="Q308" i="15"/>
  <c r="R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S310" i="15" s="1"/>
  <c r="P310" i="15"/>
  <c r="Q310" i="15"/>
  <c r="R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S313" i="15" s="1"/>
  <c r="L313" i="15"/>
  <c r="M313" i="15"/>
  <c r="N313" i="15"/>
  <c r="O313" i="15"/>
  <c r="P313" i="15"/>
  <c r="Q313" i="15"/>
  <c r="R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S324" i="15" s="1"/>
  <c r="P324" i="15"/>
  <c r="Q324" i="15"/>
  <c r="R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S325" i="15" s="1"/>
  <c r="P325" i="15"/>
  <c r="Q325" i="15"/>
  <c r="R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S326" i="15" s="1"/>
  <c r="P326" i="15"/>
  <c r="Q326" i="15"/>
  <c r="R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S328" i="15" s="1"/>
  <c r="P328" i="15"/>
  <c r="Q328" i="15"/>
  <c r="R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S335" i="15" s="1"/>
  <c r="L335" i="15"/>
  <c r="M335" i="15"/>
  <c r="N335" i="15"/>
  <c r="O335" i="15"/>
  <c r="P335" i="15"/>
  <c r="Q335" i="15"/>
  <c r="R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S337" i="15" s="1"/>
  <c r="P337" i="15"/>
  <c r="Q337" i="15"/>
  <c r="R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S338" i="15" s="1"/>
  <c r="P338" i="15"/>
  <c r="Q338" i="15"/>
  <c r="R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S342" i="15" s="1"/>
  <c r="P342" i="15"/>
  <c r="Q342" i="15"/>
  <c r="R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S345" i="15" s="1"/>
  <c r="P345" i="15"/>
  <c r="Q345" i="15"/>
  <c r="R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S348" i="15" s="1"/>
  <c r="P348" i="15"/>
  <c r="Q348" i="15"/>
  <c r="R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S351" i="15" s="1"/>
  <c r="P351" i="15"/>
  <c r="Q351" i="15"/>
  <c r="R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S362" i="15" s="1"/>
  <c r="P362" i="15"/>
  <c r="Q362" i="15"/>
  <c r="R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S367" i="15" s="1"/>
  <c r="L367" i="15"/>
  <c r="M367" i="15"/>
  <c r="N367" i="15"/>
  <c r="O367" i="15"/>
  <c r="P367" i="15"/>
  <c r="Q367" i="15"/>
  <c r="R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S384" i="15" s="1"/>
  <c r="P384" i="15"/>
  <c r="Q384" i="15"/>
  <c r="R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S387" i="15" s="1"/>
  <c r="P387" i="15"/>
  <c r="Q387" i="15"/>
  <c r="R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S390" i="15" s="1"/>
  <c r="L390" i="15"/>
  <c r="M390" i="15"/>
  <c r="N390" i="15"/>
  <c r="O390" i="15"/>
  <c r="P390" i="15"/>
  <c r="Q390" i="15"/>
  <c r="R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S394" i="15" s="1"/>
  <c r="L394" i="15"/>
  <c r="M394" i="15"/>
  <c r="N394" i="15"/>
  <c r="O394" i="15"/>
  <c r="P394" i="15"/>
  <c r="Q394" i="15"/>
  <c r="R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S397" i="15" s="1"/>
  <c r="P397" i="15"/>
  <c r="Q397" i="15"/>
  <c r="R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S403" i="15" s="1"/>
  <c r="L403" i="15"/>
  <c r="M403" i="15"/>
  <c r="N403" i="15"/>
  <c r="O403" i="15"/>
  <c r="P403" i="15"/>
  <c r="Q403" i="15"/>
  <c r="R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S406" i="15" s="1"/>
  <c r="P406" i="15"/>
  <c r="Q406" i="15"/>
  <c r="R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S407" i="15" s="1"/>
  <c r="P407" i="15"/>
  <c r="Q407" i="15"/>
  <c r="R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S410" i="15" s="1"/>
  <c r="P410" i="15"/>
  <c r="Q410" i="15"/>
  <c r="R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S411" i="15" s="1"/>
  <c r="P411" i="15"/>
  <c r="Q411" i="15"/>
  <c r="R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S413" i="15" s="1"/>
  <c r="P413" i="15"/>
  <c r="Q413" i="15"/>
  <c r="R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S414" i="15" s="1"/>
  <c r="P414" i="15"/>
  <c r="Q414" i="15"/>
  <c r="R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S415" i="15" s="1"/>
  <c r="P415" i="15"/>
  <c r="Q415" i="15"/>
  <c r="R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S423" i="15" s="1"/>
  <c r="P423" i="15"/>
  <c r="Q423" i="15"/>
  <c r="R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S424" i="15" s="1"/>
  <c r="P424" i="15"/>
  <c r="Q424" i="15"/>
  <c r="R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S427" i="15" s="1"/>
  <c r="P427" i="15"/>
  <c r="Q427" i="15"/>
  <c r="R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S431" i="15" s="1"/>
  <c r="P431" i="15"/>
  <c r="Q431" i="15"/>
  <c r="R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S436" i="15" s="1"/>
  <c r="P436" i="15"/>
  <c r="Q436" i="15"/>
  <c r="R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S442" i="15" s="1"/>
  <c r="L442" i="15"/>
  <c r="M442" i="15"/>
  <c r="N442" i="15"/>
  <c r="O442" i="15"/>
  <c r="P442" i="15"/>
  <c r="Q442" i="15"/>
  <c r="R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S443" i="15" s="1"/>
  <c r="P443" i="15"/>
  <c r="Q443" i="15"/>
  <c r="R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S447" i="15" s="1"/>
  <c r="L447" i="15"/>
  <c r="M447" i="15"/>
  <c r="N447" i="15"/>
  <c r="O447" i="15"/>
  <c r="P447" i="15"/>
  <c r="Q447" i="15"/>
  <c r="R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S450" i="15" s="1"/>
  <c r="P450" i="15"/>
  <c r="Q450" i="15"/>
  <c r="R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S453" i="15" s="1"/>
  <c r="P453" i="15"/>
  <c r="Q453" i="15"/>
  <c r="R453" i="15"/>
  <c r="T453" i="15"/>
  <c r="A454" i="15"/>
  <c r="B454" i="15"/>
  <c r="C454" i="15"/>
  <c r="D454" i="15"/>
  <c r="E454" i="15"/>
  <c r="F454" i="15"/>
  <c r="G454" i="15"/>
  <c r="S454" i="15" s="1"/>
  <c r="H454" i="15"/>
  <c r="I454" i="15"/>
  <c r="J454" i="15"/>
  <c r="K454" i="15"/>
  <c r="L454" i="15"/>
  <c r="M454" i="15"/>
  <c r="O454" i="15"/>
  <c r="Q454" i="15"/>
  <c r="R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O455" i="15"/>
  <c r="Q455" i="15"/>
  <c r="R455" i="15"/>
  <c r="S455" i="15"/>
  <c r="T455" i="15"/>
  <c r="A456" i="15"/>
  <c r="B456" i="15"/>
  <c r="C456" i="15"/>
  <c r="D456" i="15"/>
  <c r="E456" i="15"/>
  <c r="F456" i="15"/>
  <c r="G456" i="15"/>
  <c r="S456" i="15" s="1"/>
  <c r="H456" i="15"/>
  <c r="I456" i="15"/>
  <c r="J456" i="15"/>
  <c r="K456" i="15"/>
  <c r="L456" i="15"/>
  <c r="M456" i="15"/>
  <c r="O456" i="15"/>
  <c r="Q456" i="15"/>
  <c r="R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O457" i="15"/>
  <c r="Q457" i="15"/>
  <c r="R457" i="15"/>
  <c r="S457" i="15"/>
  <c r="T457" i="15"/>
  <c r="A458" i="15"/>
  <c r="B458" i="15"/>
  <c r="C458" i="15"/>
  <c r="D458" i="15"/>
  <c r="E458" i="15"/>
  <c r="F458" i="15"/>
  <c r="G458" i="15"/>
  <c r="S458" i="15" s="1"/>
  <c r="H458" i="15"/>
  <c r="I458" i="15"/>
  <c r="J458" i="15"/>
  <c r="K458" i="15"/>
  <c r="L458" i="15"/>
  <c r="M458" i="15"/>
  <c r="O458" i="15"/>
  <c r="Q458" i="15"/>
  <c r="R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O459" i="15"/>
  <c r="Q459" i="15"/>
  <c r="R459" i="15"/>
  <c r="S459" i="15"/>
  <c r="T459" i="15"/>
  <c r="A460" i="15"/>
  <c r="B460" i="15"/>
  <c r="C460" i="15"/>
  <c r="D460" i="15"/>
  <c r="E460" i="15"/>
  <c r="F460" i="15"/>
  <c r="G460" i="15"/>
  <c r="S460" i="15" s="1"/>
  <c r="H460" i="15"/>
  <c r="I460" i="15"/>
  <c r="J460" i="15"/>
  <c r="K460" i="15"/>
  <c r="L460" i="15"/>
  <c r="M460" i="15"/>
  <c r="O460" i="15"/>
  <c r="Q460" i="15"/>
  <c r="R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O461" i="15"/>
  <c r="Q461" i="15"/>
  <c r="R461" i="15"/>
  <c r="S461" i="15"/>
  <c r="T461" i="15"/>
  <c r="A462" i="15"/>
  <c r="B462" i="15"/>
  <c r="C462" i="15"/>
  <c r="D462" i="15"/>
  <c r="E462" i="15"/>
  <c r="F462" i="15"/>
  <c r="G462" i="15"/>
  <c r="S462" i="15" s="1"/>
  <c r="H462" i="15"/>
  <c r="I462" i="15"/>
  <c r="J462" i="15"/>
  <c r="K462" i="15"/>
  <c r="L462" i="15"/>
  <c r="M462" i="15"/>
  <c r="O462" i="15"/>
  <c r="Q462" i="15"/>
  <c r="R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O463" i="15"/>
  <c r="Q463" i="15"/>
  <c r="R463" i="15"/>
  <c r="S463" i="15"/>
  <c r="T463" i="15"/>
  <c r="A464" i="15"/>
  <c r="B464" i="15"/>
  <c r="C464" i="15"/>
  <c r="D464" i="15"/>
  <c r="E464" i="15"/>
  <c r="F464" i="15"/>
  <c r="G464" i="15"/>
  <c r="S464" i="15" s="1"/>
  <c r="H464" i="15"/>
  <c r="I464" i="15"/>
  <c r="J464" i="15"/>
  <c r="K464" i="15"/>
  <c r="L464" i="15"/>
  <c r="M464" i="15"/>
  <c r="O464" i="15"/>
  <c r="Q464" i="15"/>
  <c r="R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O465" i="15"/>
  <c r="Q465" i="15"/>
  <c r="R465" i="15"/>
  <c r="S465" i="15"/>
  <c r="T465" i="15"/>
  <c r="A466" i="15"/>
  <c r="B466" i="15"/>
  <c r="C466" i="15"/>
  <c r="D466" i="15"/>
  <c r="E466" i="15"/>
  <c r="F466" i="15"/>
  <c r="G466" i="15"/>
  <c r="S466" i="15" s="1"/>
  <c r="H466" i="15"/>
  <c r="I466" i="15"/>
  <c r="J466" i="15"/>
  <c r="K466" i="15"/>
  <c r="L466" i="15"/>
  <c r="M466" i="15"/>
  <c r="O466" i="15"/>
  <c r="Q466" i="15"/>
  <c r="R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O467" i="15"/>
  <c r="Q467" i="15"/>
  <c r="R467" i="15"/>
  <c r="S467" i="15"/>
  <c r="T467" i="15"/>
  <c r="A468" i="15"/>
  <c r="B468" i="15"/>
  <c r="C468" i="15"/>
  <c r="D468" i="15"/>
  <c r="E468" i="15"/>
  <c r="F468" i="15"/>
  <c r="G468" i="15"/>
  <c r="S468" i="15" s="1"/>
  <c r="H468" i="15"/>
  <c r="I468" i="15"/>
  <c r="J468" i="15"/>
  <c r="K468" i="15"/>
  <c r="L468" i="15"/>
  <c r="M468" i="15"/>
  <c r="O468" i="15"/>
  <c r="Q468" i="15"/>
  <c r="R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O469" i="15"/>
  <c r="Q469" i="15"/>
  <c r="R469" i="15"/>
  <c r="S469" i="15"/>
  <c r="T469" i="15"/>
  <c r="A470" i="15"/>
  <c r="B470" i="15"/>
  <c r="C470" i="15"/>
  <c r="D470" i="15"/>
  <c r="E470" i="15"/>
  <c r="F470" i="15"/>
  <c r="G470" i="15"/>
  <c r="S470" i="15" s="1"/>
  <c r="H470" i="15"/>
  <c r="I470" i="15"/>
  <c r="J470" i="15"/>
  <c r="K470" i="15"/>
  <c r="L470" i="15"/>
  <c r="M470" i="15"/>
  <c r="O470" i="15"/>
  <c r="Q470" i="15"/>
  <c r="R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O471" i="15"/>
  <c r="Q471" i="15"/>
  <c r="R471" i="15"/>
  <c r="S471" i="15"/>
  <c r="T471" i="15"/>
  <c r="A472" i="15"/>
  <c r="B472" i="15"/>
  <c r="C472" i="15"/>
  <c r="D472" i="15"/>
  <c r="E472" i="15"/>
  <c r="F472" i="15"/>
  <c r="G472" i="15"/>
  <c r="S472" i="15" s="1"/>
  <c r="H472" i="15"/>
  <c r="I472" i="15"/>
  <c r="J472" i="15"/>
  <c r="K472" i="15"/>
  <c r="L472" i="15"/>
  <c r="M472" i="15"/>
  <c r="O472" i="15"/>
  <c r="Q472" i="15"/>
  <c r="R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O473" i="15"/>
  <c r="Q473" i="15"/>
  <c r="R473" i="15"/>
  <c r="S473" i="15"/>
  <c r="T473" i="15"/>
  <c r="A474" i="15"/>
  <c r="B474" i="15"/>
  <c r="C474" i="15"/>
  <c r="D474" i="15"/>
  <c r="E474" i="15"/>
  <c r="F474" i="15"/>
  <c r="G474" i="15"/>
  <c r="S474" i="15" s="1"/>
  <c r="H474" i="15"/>
  <c r="I474" i="15"/>
  <c r="J474" i="15"/>
  <c r="K474" i="15"/>
  <c r="L474" i="15"/>
  <c r="M474" i="15"/>
  <c r="O474" i="15"/>
  <c r="Q474" i="15"/>
  <c r="R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O475" i="15"/>
  <c r="Q475" i="15"/>
  <c r="R475" i="15"/>
  <c r="S475" i="15"/>
  <c r="T475" i="15"/>
  <c r="A476" i="15"/>
  <c r="B476" i="15"/>
  <c r="C476" i="15"/>
  <c r="D476" i="15"/>
  <c r="E476" i="15"/>
  <c r="F476" i="15"/>
  <c r="G476" i="15"/>
  <c r="S476" i="15" s="1"/>
  <c r="H476" i="15"/>
  <c r="I476" i="15"/>
  <c r="J476" i="15"/>
  <c r="K476" i="15"/>
  <c r="L476" i="15"/>
  <c r="M476" i="15"/>
  <c r="O476" i="15"/>
  <c r="Q476" i="15"/>
  <c r="R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O477" i="15"/>
  <c r="Q477" i="15"/>
  <c r="R477" i="15"/>
  <c r="S477" i="15"/>
  <c r="T477" i="15"/>
  <c r="A478" i="15"/>
  <c r="B478" i="15"/>
  <c r="C478" i="15"/>
  <c r="D478" i="15"/>
  <c r="E478" i="15"/>
  <c r="F478" i="15"/>
  <c r="G478" i="15"/>
  <c r="S478" i="15" s="1"/>
  <c r="H478" i="15"/>
  <c r="I478" i="15"/>
  <c r="J478" i="15"/>
  <c r="K478" i="15"/>
  <c r="L478" i="15"/>
  <c r="M478" i="15"/>
  <c r="O478" i="15"/>
  <c r="Q478" i="15"/>
  <c r="R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O479" i="15"/>
  <c r="Q479" i="15"/>
  <c r="R479" i="15"/>
  <c r="S479" i="15"/>
  <c r="T479" i="15"/>
  <c r="A480" i="15"/>
  <c r="B480" i="15"/>
  <c r="C480" i="15"/>
  <c r="D480" i="15"/>
  <c r="E480" i="15"/>
  <c r="F480" i="15"/>
  <c r="G480" i="15"/>
  <c r="S480" i="15" s="1"/>
  <c r="H480" i="15"/>
  <c r="I480" i="15"/>
  <c r="J480" i="15"/>
  <c r="K480" i="15"/>
  <c r="L480" i="15"/>
  <c r="M480" i="15"/>
  <c r="O480" i="15"/>
  <c r="Q480" i="15"/>
  <c r="R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O481" i="15"/>
  <c r="Q481" i="15"/>
  <c r="R481" i="15"/>
  <c r="S481" i="15"/>
  <c r="T481" i="15"/>
  <c r="A482" i="15"/>
  <c r="B482" i="15"/>
  <c r="C482" i="15"/>
  <c r="D482" i="15"/>
  <c r="E482" i="15"/>
  <c r="F482" i="15"/>
  <c r="G482" i="15"/>
  <c r="S482" i="15" s="1"/>
  <c r="H482" i="15"/>
  <c r="I482" i="15"/>
  <c r="J482" i="15"/>
  <c r="K482" i="15"/>
  <c r="L482" i="15"/>
  <c r="M482" i="15"/>
  <c r="O482" i="15"/>
  <c r="Q482" i="15"/>
  <c r="R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O483" i="15"/>
  <c r="Q483" i="15"/>
  <c r="R483" i="15"/>
  <c r="S483" i="15"/>
  <c r="T483" i="15"/>
  <c r="A484" i="15"/>
  <c r="B484" i="15"/>
  <c r="C484" i="15"/>
  <c r="D484" i="15"/>
  <c r="E484" i="15"/>
  <c r="F484" i="15"/>
  <c r="G484" i="15"/>
  <c r="S484" i="15" s="1"/>
  <c r="H484" i="15"/>
  <c r="I484" i="15"/>
  <c r="J484" i="15"/>
  <c r="K484" i="15"/>
  <c r="L484" i="15"/>
  <c r="M484" i="15"/>
  <c r="O484" i="15"/>
  <c r="Q484" i="15"/>
  <c r="R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O485" i="15"/>
  <c r="Q485" i="15"/>
  <c r="R485" i="15"/>
  <c r="S485" i="15"/>
  <c r="T485" i="15"/>
  <c r="A486" i="15"/>
  <c r="B486" i="15"/>
  <c r="C486" i="15"/>
  <c r="D486" i="15"/>
  <c r="E486" i="15"/>
  <c r="F486" i="15"/>
  <c r="G486" i="15"/>
  <c r="S486" i="15" s="1"/>
  <c r="H486" i="15"/>
  <c r="I486" i="15"/>
  <c r="J486" i="15"/>
  <c r="K486" i="15"/>
  <c r="L486" i="15"/>
  <c r="M486" i="15"/>
  <c r="O486" i="15"/>
  <c r="Q486" i="15"/>
  <c r="R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O487" i="15"/>
  <c r="Q487" i="15"/>
  <c r="R487" i="15"/>
  <c r="S487" i="15"/>
  <c r="T487" i="15"/>
  <c r="A488" i="15"/>
  <c r="B488" i="15"/>
  <c r="C488" i="15"/>
  <c r="D488" i="15"/>
  <c r="E488" i="15"/>
  <c r="F488" i="15"/>
  <c r="G488" i="15"/>
  <c r="S488" i="15" s="1"/>
  <c r="H488" i="15"/>
  <c r="I488" i="15"/>
  <c r="J488" i="15"/>
  <c r="K488" i="15"/>
  <c r="L488" i="15"/>
  <c r="M488" i="15"/>
  <c r="O488" i="15"/>
  <c r="Q488" i="15"/>
  <c r="R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O489" i="15"/>
  <c r="Q489" i="15"/>
  <c r="R489" i="15"/>
  <c r="S489" i="15"/>
  <c r="T489" i="15"/>
  <c r="A490" i="15"/>
  <c r="B490" i="15"/>
  <c r="C490" i="15"/>
  <c r="D490" i="15"/>
  <c r="E490" i="15"/>
  <c r="F490" i="15"/>
  <c r="G490" i="15"/>
  <c r="S490" i="15" s="1"/>
  <c r="H490" i="15"/>
  <c r="I490" i="15"/>
  <c r="J490" i="15"/>
  <c r="K490" i="15"/>
  <c r="L490" i="15"/>
  <c r="M490" i="15"/>
  <c r="O490" i="15"/>
  <c r="Q490" i="15"/>
  <c r="R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O491" i="15"/>
  <c r="Q491" i="15"/>
  <c r="R491" i="15"/>
  <c r="S491" i="15"/>
  <c r="T491" i="15"/>
  <c r="A492" i="15"/>
  <c r="B492" i="15"/>
  <c r="C492" i="15"/>
  <c r="D492" i="15"/>
  <c r="E492" i="15"/>
  <c r="F492" i="15"/>
  <c r="G492" i="15"/>
  <c r="S492" i="15" s="1"/>
  <c r="H492" i="15"/>
  <c r="I492" i="15"/>
  <c r="J492" i="15"/>
  <c r="K492" i="15"/>
  <c r="L492" i="15"/>
  <c r="M492" i="15"/>
  <c r="O492" i="15"/>
  <c r="Q492" i="15"/>
  <c r="R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O493" i="15"/>
  <c r="Q493" i="15"/>
  <c r="R493" i="15"/>
  <c r="S493" i="15"/>
  <c r="T493" i="15"/>
  <c r="A494" i="15"/>
  <c r="B494" i="15"/>
  <c r="C494" i="15"/>
  <c r="D494" i="15"/>
  <c r="E494" i="15"/>
  <c r="F494" i="15"/>
  <c r="G494" i="15"/>
  <c r="S494" i="15" s="1"/>
  <c r="H494" i="15"/>
  <c r="I494" i="15"/>
  <c r="J494" i="15"/>
  <c r="K494" i="15"/>
  <c r="L494" i="15"/>
  <c r="M494" i="15"/>
  <c r="O494" i="15"/>
  <c r="Q494" i="15"/>
  <c r="R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O495" i="15"/>
  <c r="Q495" i="15"/>
  <c r="R495" i="15"/>
  <c r="S495" i="15"/>
  <c r="T495" i="15"/>
  <c r="A496" i="15"/>
  <c r="B496" i="15"/>
  <c r="C496" i="15"/>
  <c r="D496" i="15"/>
  <c r="E496" i="15"/>
  <c r="F496" i="15"/>
  <c r="G496" i="15"/>
  <c r="S496" i="15" s="1"/>
  <c r="H496" i="15"/>
  <c r="I496" i="15"/>
  <c r="J496" i="15"/>
  <c r="K496" i="15"/>
  <c r="L496" i="15"/>
  <c r="M496" i="15"/>
  <c r="O496" i="15"/>
  <c r="Q496" i="15"/>
  <c r="R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O497" i="15"/>
  <c r="Q497" i="15"/>
  <c r="R497" i="15"/>
  <c r="S497" i="15"/>
  <c r="T497" i="15"/>
  <c r="A498" i="15"/>
  <c r="B498" i="15"/>
  <c r="C498" i="15"/>
  <c r="D498" i="15"/>
  <c r="E498" i="15"/>
  <c r="F498" i="15"/>
  <c r="G498" i="15"/>
  <c r="S498" i="15" s="1"/>
  <c r="H498" i="15"/>
  <c r="I498" i="15"/>
  <c r="J498" i="15"/>
  <c r="K498" i="15"/>
  <c r="L498" i="15"/>
  <c r="M498" i="15"/>
  <c r="O498" i="15"/>
  <c r="Q498" i="15"/>
  <c r="R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O499" i="15"/>
  <c r="Q499" i="15"/>
  <c r="R499" i="15"/>
  <c r="S499" i="15"/>
  <c r="T499" i="15"/>
  <c r="A500" i="15"/>
  <c r="B500" i="15"/>
  <c r="C500" i="15"/>
  <c r="D500" i="15"/>
  <c r="E500" i="15"/>
  <c r="F500" i="15"/>
  <c r="G500" i="15"/>
  <c r="S500" i="15" s="1"/>
  <c r="H500" i="15"/>
  <c r="I500" i="15"/>
  <c r="J500" i="15"/>
  <c r="K500" i="15"/>
  <c r="L500" i="15"/>
  <c r="M500" i="15"/>
  <c r="O500" i="15"/>
  <c r="Q500" i="15"/>
  <c r="R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O501" i="15"/>
  <c r="Q501" i="15"/>
  <c r="R501" i="15"/>
  <c r="S501" i="15"/>
  <c r="T501" i="15"/>
  <c r="A502" i="15"/>
  <c r="B502" i="15"/>
  <c r="C502" i="15"/>
  <c r="D502" i="15"/>
  <c r="E502" i="15"/>
  <c r="F502" i="15"/>
  <c r="G502" i="15"/>
  <c r="S502" i="15" s="1"/>
  <c r="H502" i="15"/>
  <c r="I502" i="15"/>
  <c r="J502" i="15"/>
  <c r="K502" i="15"/>
  <c r="L502" i="15"/>
  <c r="M502" i="15"/>
  <c r="O502" i="15"/>
  <c r="Q502" i="15"/>
  <c r="R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O503" i="15"/>
  <c r="Q503" i="15"/>
  <c r="R503" i="15"/>
  <c r="S503" i="15"/>
  <c r="T503" i="15"/>
  <c r="A504" i="15"/>
  <c r="B504" i="15"/>
  <c r="C504" i="15"/>
  <c r="D504" i="15"/>
  <c r="E504" i="15"/>
  <c r="F504" i="15"/>
  <c r="G504" i="15"/>
  <c r="S504" i="15" s="1"/>
  <c r="H504" i="15"/>
  <c r="I504" i="15"/>
  <c r="J504" i="15"/>
  <c r="K504" i="15"/>
  <c r="L504" i="15"/>
  <c r="M504" i="15"/>
  <c r="O504" i="15"/>
  <c r="Q504" i="15"/>
  <c r="R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O505" i="15"/>
  <c r="Q505" i="15"/>
  <c r="R505" i="15"/>
  <c r="S505" i="15"/>
  <c r="T505" i="15"/>
  <c r="A506" i="15"/>
  <c r="B506" i="15"/>
  <c r="C506" i="15"/>
  <c r="D506" i="15"/>
  <c r="E506" i="15"/>
  <c r="F506" i="15"/>
  <c r="G506" i="15"/>
  <c r="S506" i="15" s="1"/>
  <c r="H506" i="15"/>
  <c r="I506" i="15"/>
  <c r="J506" i="15"/>
  <c r="K506" i="15"/>
  <c r="L506" i="15"/>
  <c r="M506" i="15"/>
  <c r="O506" i="15"/>
  <c r="Q506" i="15"/>
  <c r="R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O507" i="15"/>
  <c r="Q507" i="15"/>
  <c r="R507" i="15"/>
  <c r="S507" i="15"/>
  <c r="T507" i="15"/>
  <c r="A508" i="15"/>
  <c r="B508" i="15"/>
  <c r="C508" i="15"/>
  <c r="D508" i="15"/>
  <c r="E508" i="15"/>
  <c r="F508" i="15"/>
  <c r="G508" i="15"/>
  <c r="S508" i="15" s="1"/>
  <c r="H508" i="15"/>
  <c r="I508" i="15"/>
  <c r="J508" i="15"/>
  <c r="K508" i="15"/>
  <c r="L508" i="15"/>
  <c r="M508" i="15"/>
  <c r="O508" i="15"/>
  <c r="Q508" i="15"/>
  <c r="R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O509" i="15"/>
  <c r="Q509" i="15"/>
  <c r="R509" i="15"/>
  <c r="S509" i="15"/>
  <c r="T509" i="15"/>
  <c r="A510" i="15"/>
  <c r="B510" i="15"/>
  <c r="C510" i="15"/>
  <c r="D510" i="15"/>
  <c r="E510" i="15"/>
  <c r="F510" i="15"/>
  <c r="G510" i="15"/>
  <c r="S510" i="15" s="1"/>
  <c r="H510" i="15"/>
  <c r="I510" i="15"/>
  <c r="J510" i="15"/>
  <c r="K510" i="15"/>
  <c r="L510" i="15"/>
  <c r="M510" i="15"/>
  <c r="O510" i="15"/>
  <c r="Q510" i="15"/>
  <c r="R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O511" i="15"/>
  <c r="Q511" i="15"/>
  <c r="R511" i="15"/>
  <c r="S511" i="15"/>
  <c r="T511" i="15"/>
  <c r="A512" i="15"/>
  <c r="B512" i="15"/>
  <c r="C512" i="15"/>
  <c r="D512" i="15"/>
  <c r="E512" i="15"/>
  <c r="F512" i="15"/>
  <c r="G512" i="15"/>
  <c r="S512" i="15" s="1"/>
  <c r="H512" i="15"/>
  <c r="I512" i="15"/>
  <c r="J512" i="15"/>
  <c r="K512" i="15"/>
  <c r="L512" i="15"/>
  <c r="M512" i="15"/>
  <c r="O512" i="15"/>
  <c r="Q512" i="15"/>
  <c r="R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O513" i="15"/>
  <c r="Q513" i="15"/>
  <c r="R513" i="15"/>
  <c r="S513" i="15"/>
  <c r="T513" i="15"/>
  <c r="A514" i="15"/>
  <c r="B514" i="15"/>
  <c r="C514" i="15"/>
  <c r="D514" i="15"/>
  <c r="E514" i="15"/>
  <c r="F514" i="15"/>
  <c r="G514" i="15"/>
  <c r="S514" i="15" s="1"/>
  <c r="H514" i="15"/>
  <c r="I514" i="15"/>
  <c r="J514" i="15"/>
  <c r="K514" i="15"/>
  <c r="L514" i="15"/>
  <c r="M514" i="15"/>
  <c r="O514" i="15"/>
  <c r="Q514" i="15"/>
  <c r="R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O515" i="15"/>
  <c r="Q515" i="15"/>
  <c r="R515" i="15"/>
  <c r="S515" i="15"/>
  <c r="T515" i="15"/>
  <c r="A516" i="15"/>
  <c r="B516" i="15"/>
  <c r="C516" i="15"/>
  <c r="D516" i="15"/>
  <c r="E516" i="15"/>
  <c r="F516" i="15"/>
  <c r="G516" i="15"/>
  <c r="S516" i="15" s="1"/>
  <c r="H516" i="15"/>
  <c r="I516" i="15"/>
  <c r="J516" i="15"/>
  <c r="K516" i="15"/>
  <c r="L516" i="15"/>
  <c r="M516" i="15"/>
  <c r="O516" i="15"/>
  <c r="Q516" i="15"/>
  <c r="R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O517" i="15"/>
  <c r="Q517" i="15"/>
  <c r="R517" i="15"/>
  <c r="S517" i="15"/>
  <c r="T517" i="15"/>
  <c r="A518" i="15"/>
  <c r="B518" i="15"/>
  <c r="C518" i="15"/>
  <c r="D518" i="15"/>
  <c r="E518" i="15"/>
  <c r="F518" i="15"/>
  <c r="G518" i="15"/>
  <c r="S518" i="15" s="1"/>
  <c r="H518" i="15"/>
  <c r="I518" i="15"/>
  <c r="J518" i="15"/>
  <c r="K518" i="15"/>
  <c r="L518" i="15"/>
  <c r="M518" i="15"/>
  <c r="O518" i="15"/>
  <c r="Q518" i="15"/>
  <c r="R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O519" i="15"/>
  <c r="Q519" i="15"/>
  <c r="R519" i="15"/>
  <c r="S519" i="15"/>
  <c r="T519" i="15"/>
  <c r="A520" i="15"/>
  <c r="B520" i="15"/>
  <c r="C520" i="15"/>
  <c r="D520" i="15"/>
  <c r="E520" i="15"/>
  <c r="F520" i="15"/>
  <c r="G520" i="15"/>
  <c r="S520" i="15" s="1"/>
  <c r="H520" i="15"/>
  <c r="I520" i="15"/>
  <c r="J520" i="15"/>
  <c r="K520" i="15"/>
  <c r="L520" i="15"/>
  <c r="M520" i="15"/>
  <c r="O520" i="15"/>
  <c r="Q520" i="15"/>
  <c r="R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O521" i="15"/>
  <c r="Q521" i="15"/>
  <c r="R521" i="15"/>
  <c r="S521" i="15"/>
  <c r="T521" i="15"/>
  <c r="A522" i="15"/>
  <c r="B522" i="15"/>
  <c r="C522" i="15"/>
  <c r="D522" i="15"/>
  <c r="E522" i="15"/>
  <c r="F522" i="15"/>
  <c r="G522" i="15"/>
  <c r="S522" i="15" s="1"/>
  <c r="H522" i="15"/>
  <c r="I522" i="15"/>
  <c r="J522" i="15"/>
  <c r="K522" i="15"/>
  <c r="L522" i="15"/>
  <c r="M522" i="15"/>
  <c r="O522" i="15"/>
  <c r="Q522" i="15"/>
  <c r="R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O523" i="15"/>
  <c r="Q523" i="15"/>
  <c r="R523" i="15"/>
  <c r="S523" i="15"/>
  <c r="T523" i="15"/>
  <c r="A524" i="15"/>
  <c r="B524" i="15"/>
  <c r="C524" i="15"/>
  <c r="D524" i="15"/>
  <c r="E524" i="15"/>
  <c r="F524" i="15"/>
  <c r="G524" i="15"/>
  <c r="S524" i="15" s="1"/>
  <c r="H524" i="15"/>
  <c r="I524" i="15"/>
  <c r="J524" i="15"/>
  <c r="K524" i="15"/>
  <c r="L524" i="15"/>
  <c r="M524" i="15"/>
  <c r="O524" i="15"/>
  <c r="Q524" i="15"/>
  <c r="R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O525" i="15"/>
  <c r="Q525" i="15"/>
  <c r="R525" i="15"/>
  <c r="S525" i="15"/>
  <c r="T525" i="15"/>
  <c r="A526" i="15"/>
  <c r="B526" i="15"/>
  <c r="C526" i="15"/>
  <c r="D526" i="15"/>
  <c r="E526" i="15"/>
  <c r="F526" i="15"/>
  <c r="G526" i="15"/>
  <c r="S526" i="15" s="1"/>
  <c r="H526" i="15"/>
  <c r="I526" i="15"/>
  <c r="J526" i="15"/>
  <c r="K526" i="15"/>
  <c r="L526" i="15"/>
  <c r="M526" i="15"/>
  <c r="O526" i="15"/>
  <c r="Q526" i="15"/>
  <c r="R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O527" i="15"/>
  <c r="Q527" i="15"/>
  <c r="R527" i="15"/>
  <c r="S527" i="15"/>
  <c r="T527" i="15"/>
  <c r="A528" i="15"/>
  <c r="B528" i="15"/>
  <c r="C528" i="15"/>
  <c r="D528" i="15"/>
  <c r="E528" i="15"/>
  <c r="F528" i="15"/>
  <c r="G528" i="15"/>
  <c r="S528" i="15" s="1"/>
  <c r="H528" i="15"/>
  <c r="I528" i="15"/>
  <c r="J528" i="15"/>
  <c r="K528" i="15"/>
  <c r="L528" i="15"/>
  <c r="M528" i="15"/>
  <c r="O528" i="15"/>
  <c r="Q528" i="15"/>
  <c r="R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O529" i="15"/>
  <c r="Q529" i="15"/>
  <c r="R529" i="15"/>
  <c r="S529" i="15"/>
  <c r="T529" i="15"/>
  <c r="A530" i="15"/>
  <c r="B530" i="15"/>
  <c r="C530" i="15"/>
  <c r="D530" i="15"/>
  <c r="E530" i="15"/>
  <c r="F530" i="15"/>
  <c r="G530" i="15"/>
  <c r="S530" i="15" s="1"/>
  <c r="H530" i="15"/>
  <c r="I530" i="15"/>
  <c r="J530" i="15"/>
  <c r="K530" i="15"/>
  <c r="L530" i="15"/>
  <c r="M530" i="15"/>
  <c r="O530" i="15"/>
  <c r="Q530" i="15"/>
  <c r="R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O531" i="15"/>
  <c r="Q531" i="15"/>
  <c r="R531" i="15"/>
  <c r="S531" i="15"/>
  <c r="T531" i="15"/>
  <c r="A532" i="15"/>
  <c r="B532" i="15"/>
  <c r="C532" i="15"/>
  <c r="D532" i="15"/>
  <c r="E532" i="15"/>
  <c r="F532" i="15"/>
  <c r="G532" i="15"/>
  <c r="S532" i="15" s="1"/>
  <c r="H532" i="15"/>
  <c r="I532" i="15"/>
  <c r="J532" i="15"/>
  <c r="K532" i="15"/>
  <c r="L532" i="15"/>
  <c r="M532" i="15"/>
  <c r="O532" i="15"/>
  <c r="Q532" i="15"/>
  <c r="R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O533" i="15"/>
  <c r="Q533" i="15"/>
  <c r="R533" i="15"/>
  <c r="S533" i="15"/>
  <c r="T533" i="15"/>
  <c r="A534" i="15"/>
  <c r="B534" i="15"/>
  <c r="C534" i="15"/>
  <c r="D534" i="15"/>
  <c r="E534" i="15"/>
  <c r="F534" i="15"/>
  <c r="G534" i="15"/>
  <c r="S534" i="15" s="1"/>
  <c r="H534" i="15"/>
  <c r="I534" i="15"/>
  <c r="J534" i="15"/>
  <c r="K534" i="15"/>
  <c r="L534" i="15"/>
  <c r="M534" i="15"/>
  <c r="O534" i="15"/>
  <c r="Q534" i="15"/>
  <c r="R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O535" i="15"/>
  <c r="Q535" i="15"/>
  <c r="R535" i="15"/>
  <c r="S535" i="15"/>
  <c r="T535" i="15"/>
  <c r="A536" i="15"/>
  <c r="B536" i="15"/>
  <c r="C536" i="15"/>
  <c r="D536" i="15"/>
  <c r="E536" i="15"/>
  <c r="F536" i="15"/>
  <c r="G536" i="15"/>
  <c r="S536" i="15" s="1"/>
  <c r="H536" i="15"/>
  <c r="I536" i="15"/>
  <c r="J536" i="15"/>
  <c r="K536" i="15"/>
  <c r="L536" i="15"/>
  <c r="M536" i="15"/>
  <c r="O536" i="15"/>
  <c r="Q536" i="15"/>
  <c r="R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O537" i="15"/>
  <c r="Q537" i="15"/>
  <c r="R537" i="15"/>
  <c r="S537" i="15"/>
  <c r="T537" i="15"/>
  <c r="A538" i="15"/>
  <c r="B538" i="15"/>
  <c r="C538" i="15"/>
  <c r="D538" i="15"/>
  <c r="E538" i="15"/>
  <c r="F538" i="15"/>
  <c r="G538" i="15"/>
  <c r="S538" i="15" s="1"/>
  <c r="H538" i="15"/>
  <c r="I538" i="15"/>
  <c r="J538" i="15"/>
  <c r="K538" i="15"/>
  <c r="L538" i="15"/>
  <c r="M538" i="15"/>
  <c r="O538" i="15"/>
  <c r="Q538" i="15"/>
  <c r="R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O539" i="15"/>
  <c r="Q539" i="15"/>
  <c r="R539" i="15"/>
  <c r="S539" i="15"/>
  <c r="T539" i="15"/>
  <c r="A540" i="15"/>
  <c r="B540" i="15"/>
  <c r="C540" i="15"/>
  <c r="D540" i="15"/>
  <c r="E540" i="15"/>
  <c r="F540" i="15"/>
  <c r="G540" i="15"/>
  <c r="S540" i="15" s="1"/>
  <c r="H540" i="15"/>
  <c r="I540" i="15"/>
  <c r="J540" i="15"/>
  <c r="K540" i="15"/>
  <c r="L540" i="15"/>
  <c r="M540" i="15"/>
  <c r="O540" i="15"/>
  <c r="Q540" i="15"/>
  <c r="R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O541" i="15"/>
  <c r="Q541" i="15"/>
  <c r="R541" i="15"/>
  <c r="S541" i="15"/>
  <c r="T541" i="15"/>
  <c r="A542" i="15"/>
  <c r="B542" i="15"/>
  <c r="C542" i="15"/>
  <c r="D542" i="15"/>
  <c r="E542" i="15"/>
  <c r="F542" i="15"/>
  <c r="G542" i="15"/>
  <c r="S542" i="15" s="1"/>
  <c r="H542" i="15"/>
  <c r="I542" i="15"/>
  <c r="J542" i="15"/>
  <c r="K542" i="15"/>
  <c r="L542" i="15"/>
  <c r="M542" i="15"/>
  <c r="O542" i="15"/>
  <c r="Q542" i="15"/>
  <c r="R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O543" i="15"/>
  <c r="Q543" i="15"/>
  <c r="R543" i="15"/>
  <c r="S543" i="15"/>
  <c r="T543" i="15"/>
  <c r="A544" i="15"/>
  <c r="B544" i="15"/>
  <c r="C544" i="15"/>
  <c r="D544" i="15"/>
  <c r="E544" i="15"/>
  <c r="F544" i="15"/>
  <c r="G544" i="15"/>
  <c r="S544" i="15" s="1"/>
  <c r="H544" i="15"/>
  <c r="I544" i="15"/>
  <c r="J544" i="15"/>
  <c r="K544" i="15"/>
  <c r="L544" i="15"/>
  <c r="M544" i="15"/>
  <c r="O544" i="15"/>
  <c r="Q544" i="15"/>
  <c r="R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O545" i="15"/>
  <c r="Q545" i="15"/>
  <c r="R545" i="15"/>
  <c r="S545" i="15"/>
  <c r="T545" i="15"/>
  <c r="A546" i="15"/>
  <c r="B546" i="15"/>
  <c r="C546" i="15"/>
  <c r="D546" i="15"/>
  <c r="E546" i="15"/>
  <c r="F546" i="15"/>
  <c r="G546" i="15"/>
  <c r="S546" i="15" s="1"/>
  <c r="H546" i="15"/>
  <c r="I546" i="15"/>
  <c r="J546" i="15"/>
  <c r="K546" i="15"/>
  <c r="L546" i="15"/>
  <c r="M546" i="15"/>
  <c r="O546" i="15"/>
  <c r="Q546" i="15"/>
  <c r="R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O547" i="15"/>
  <c r="Q547" i="15"/>
  <c r="R547" i="15"/>
  <c r="S547" i="15"/>
  <c r="T547" i="15"/>
  <c r="A548" i="15"/>
  <c r="B548" i="15"/>
  <c r="C548" i="15"/>
  <c r="D548" i="15"/>
  <c r="E548" i="15"/>
  <c r="F548" i="15"/>
  <c r="G548" i="15"/>
  <c r="S548" i="15" s="1"/>
  <c r="H548" i="15"/>
  <c r="I548" i="15"/>
  <c r="J548" i="15"/>
  <c r="K548" i="15"/>
  <c r="L548" i="15"/>
  <c r="M548" i="15"/>
  <c r="O548" i="15"/>
  <c r="Q548" i="15"/>
  <c r="R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O549" i="15"/>
  <c r="Q549" i="15"/>
  <c r="R549" i="15"/>
  <c r="S549" i="15"/>
  <c r="T549" i="15"/>
  <c r="A550" i="15"/>
  <c r="B550" i="15"/>
  <c r="C550" i="15"/>
  <c r="D550" i="15"/>
  <c r="E550" i="15"/>
  <c r="F550" i="15"/>
  <c r="G550" i="15"/>
  <c r="S550" i="15" s="1"/>
  <c r="H550" i="15"/>
  <c r="I550" i="15"/>
  <c r="J550" i="15"/>
  <c r="K550" i="15"/>
  <c r="L550" i="15"/>
  <c r="M550" i="15"/>
  <c r="O550" i="15"/>
  <c r="Q550" i="15"/>
  <c r="R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O551" i="15"/>
  <c r="Q551" i="15"/>
  <c r="R551" i="15"/>
  <c r="S551" i="15"/>
  <c r="T551" i="15"/>
  <c r="A552" i="15"/>
  <c r="B552" i="15"/>
  <c r="C552" i="15"/>
  <c r="D552" i="15"/>
  <c r="E552" i="15"/>
  <c r="F552" i="15"/>
  <c r="G552" i="15"/>
  <c r="S552" i="15" s="1"/>
  <c r="H552" i="15"/>
  <c r="I552" i="15"/>
  <c r="J552" i="15"/>
  <c r="K552" i="15"/>
  <c r="L552" i="15"/>
  <c r="M552" i="15"/>
  <c r="O552" i="15"/>
  <c r="Q552" i="15"/>
  <c r="R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O553" i="15"/>
  <c r="Q553" i="15"/>
  <c r="R553" i="15"/>
  <c r="S553" i="15"/>
  <c r="T553" i="15"/>
  <c r="A554" i="15"/>
  <c r="B554" i="15"/>
  <c r="C554" i="15"/>
  <c r="D554" i="15"/>
  <c r="E554" i="15"/>
  <c r="F554" i="15"/>
  <c r="G554" i="15"/>
  <c r="S554" i="15" s="1"/>
  <c r="H554" i="15"/>
  <c r="I554" i="15"/>
  <c r="J554" i="15"/>
  <c r="K554" i="15"/>
  <c r="L554" i="15"/>
  <c r="M554" i="15"/>
  <c r="O554" i="15"/>
  <c r="Q554" i="15"/>
  <c r="R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O555" i="15"/>
  <c r="Q555" i="15"/>
  <c r="R555" i="15"/>
  <c r="S555" i="15"/>
  <c r="T555" i="15"/>
  <c r="A556" i="15"/>
  <c r="B556" i="15"/>
  <c r="C556" i="15"/>
  <c r="D556" i="15"/>
  <c r="E556" i="15"/>
  <c r="F556" i="15"/>
  <c r="G556" i="15"/>
  <c r="S556" i="15" s="1"/>
  <c r="H556" i="15"/>
  <c r="I556" i="15"/>
  <c r="J556" i="15"/>
  <c r="K556" i="15"/>
  <c r="L556" i="15"/>
  <c r="M556" i="15"/>
  <c r="O556" i="15"/>
  <c r="Q556" i="15"/>
  <c r="R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O557" i="15"/>
  <c r="Q557" i="15"/>
  <c r="R557" i="15"/>
  <c r="S557" i="15"/>
  <c r="T557" i="15"/>
  <c r="A558" i="15"/>
  <c r="B558" i="15"/>
  <c r="C558" i="15"/>
  <c r="D558" i="15"/>
  <c r="E558" i="15"/>
  <c r="F558" i="15"/>
  <c r="G558" i="15"/>
  <c r="S558" i="15" s="1"/>
  <c r="H558" i="15"/>
  <c r="I558" i="15"/>
  <c r="J558" i="15"/>
  <c r="K558" i="15"/>
  <c r="L558" i="15"/>
  <c r="M558" i="15"/>
  <c r="O558" i="15"/>
  <c r="Q558" i="15"/>
  <c r="R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O559" i="15"/>
  <c r="Q559" i="15"/>
  <c r="R559" i="15"/>
  <c r="S559" i="15"/>
  <c r="T559" i="15"/>
  <c r="A560" i="15"/>
  <c r="B560" i="15"/>
  <c r="C560" i="15"/>
  <c r="D560" i="15"/>
  <c r="E560" i="15"/>
  <c r="F560" i="15"/>
  <c r="G560" i="15"/>
  <c r="S560" i="15" s="1"/>
  <c r="H560" i="15"/>
  <c r="I560" i="15"/>
  <c r="J560" i="15"/>
  <c r="K560" i="15"/>
  <c r="L560" i="15"/>
  <c r="M560" i="15"/>
  <c r="O560" i="15"/>
  <c r="Q560" i="15"/>
  <c r="R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O561" i="15"/>
  <c r="Q561" i="15"/>
  <c r="R561" i="15"/>
  <c r="S561" i="15"/>
  <c r="T561" i="15"/>
  <c r="A562" i="15"/>
  <c r="B562" i="15"/>
  <c r="C562" i="15"/>
  <c r="D562" i="15"/>
  <c r="E562" i="15"/>
  <c r="F562" i="15"/>
  <c r="G562" i="15"/>
  <c r="S562" i="15" s="1"/>
  <c r="H562" i="15"/>
  <c r="I562" i="15"/>
  <c r="J562" i="15"/>
  <c r="K562" i="15"/>
  <c r="L562" i="15"/>
  <c r="M562" i="15"/>
  <c r="O562" i="15"/>
  <c r="Q562" i="15"/>
  <c r="R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O563" i="15"/>
  <c r="Q563" i="15"/>
  <c r="R563" i="15"/>
  <c r="S563" i="15"/>
  <c r="T563" i="15"/>
  <c r="A564" i="15"/>
  <c r="B564" i="15"/>
  <c r="C564" i="15"/>
  <c r="D564" i="15"/>
  <c r="E564" i="15"/>
  <c r="F564" i="15"/>
  <c r="G564" i="15"/>
  <c r="S564" i="15" s="1"/>
  <c r="H564" i="15"/>
  <c r="I564" i="15"/>
  <c r="J564" i="15"/>
  <c r="K564" i="15"/>
  <c r="L564" i="15"/>
  <c r="M564" i="15"/>
  <c r="O564" i="15"/>
  <c r="Q564" i="15"/>
  <c r="R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O565" i="15"/>
  <c r="Q565" i="15"/>
  <c r="R565" i="15"/>
  <c r="S565" i="15"/>
  <c r="T565" i="15"/>
  <c r="A566" i="15"/>
  <c r="B566" i="15"/>
  <c r="C566" i="15"/>
  <c r="D566" i="15"/>
  <c r="E566" i="15"/>
  <c r="F566" i="15"/>
  <c r="G566" i="15"/>
  <c r="S566" i="15" s="1"/>
  <c r="H566" i="15"/>
  <c r="I566" i="15"/>
  <c r="J566" i="15"/>
  <c r="K566" i="15"/>
  <c r="L566" i="15"/>
  <c r="M566" i="15"/>
  <c r="O566" i="15"/>
  <c r="Q566" i="15"/>
  <c r="R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O567" i="15"/>
  <c r="Q567" i="15"/>
  <c r="R567" i="15"/>
  <c r="S567" i="15"/>
  <c r="T567" i="15"/>
  <c r="A568" i="15"/>
  <c r="B568" i="15"/>
  <c r="C568" i="15"/>
  <c r="D568" i="15"/>
  <c r="E568" i="15"/>
  <c r="F568" i="15"/>
  <c r="G568" i="15"/>
  <c r="S568" i="15" s="1"/>
  <c r="H568" i="15"/>
  <c r="I568" i="15"/>
  <c r="J568" i="15"/>
  <c r="K568" i="15"/>
  <c r="L568" i="15"/>
  <c r="M568" i="15"/>
  <c r="O568" i="15"/>
  <c r="Q568" i="15"/>
  <c r="R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O569" i="15"/>
  <c r="Q569" i="15"/>
  <c r="R569" i="15"/>
  <c r="S569" i="15"/>
  <c r="T569" i="15"/>
  <c r="A570" i="15"/>
  <c r="B570" i="15"/>
  <c r="C570" i="15"/>
  <c r="D570" i="15"/>
  <c r="E570" i="15"/>
  <c r="F570" i="15"/>
  <c r="G570" i="15"/>
  <c r="S570" i="15" s="1"/>
  <c r="H570" i="15"/>
  <c r="I570" i="15"/>
  <c r="J570" i="15"/>
  <c r="K570" i="15"/>
  <c r="L570" i="15"/>
  <c r="M570" i="15"/>
  <c r="O570" i="15"/>
  <c r="Q570" i="15"/>
  <c r="R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O571" i="15"/>
  <c r="Q571" i="15"/>
  <c r="R571" i="15"/>
  <c r="S571" i="15"/>
  <c r="T571" i="15"/>
  <c r="A572" i="15"/>
  <c r="B572" i="15"/>
  <c r="C572" i="15"/>
  <c r="D572" i="15"/>
  <c r="E572" i="15"/>
  <c r="F572" i="15"/>
  <c r="G572" i="15"/>
  <c r="S572" i="15" s="1"/>
  <c r="H572" i="15"/>
  <c r="I572" i="15"/>
  <c r="J572" i="15"/>
  <c r="K572" i="15"/>
  <c r="L572" i="15"/>
  <c r="M572" i="15"/>
  <c r="O572" i="15"/>
  <c r="Q572" i="15"/>
  <c r="R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O573" i="15"/>
  <c r="Q573" i="15"/>
  <c r="R573" i="15"/>
  <c r="S573" i="15"/>
  <c r="T573" i="15"/>
  <c r="A574" i="15"/>
  <c r="B574" i="15"/>
  <c r="C574" i="15"/>
  <c r="D574" i="15"/>
  <c r="E574" i="15"/>
  <c r="F574" i="15"/>
  <c r="G574" i="15"/>
  <c r="S574" i="15" s="1"/>
  <c r="H574" i="15"/>
  <c r="I574" i="15"/>
  <c r="J574" i="15"/>
  <c r="K574" i="15"/>
  <c r="L574" i="15"/>
  <c r="M574" i="15"/>
  <c r="O574" i="15"/>
  <c r="Q574" i="15"/>
  <c r="R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O575" i="15"/>
  <c r="Q575" i="15"/>
  <c r="R575" i="15"/>
  <c r="S575" i="15"/>
  <c r="T575" i="15"/>
  <c r="A576" i="15"/>
  <c r="B576" i="15"/>
  <c r="C576" i="15"/>
  <c r="D576" i="15"/>
  <c r="E576" i="15"/>
  <c r="F576" i="15"/>
  <c r="G576" i="15"/>
  <c r="S576" i="15" s="1"/>
  <c r="H576" i="15"/>
  <c r="I576" i="15"/>
  <c r="J576" i="15"/>
  <c r="K576" i="15"/>
  <c r="L576" i="15"/>
  <c r="M576" i="15"/>
  <c r="O576" i="15"/>
  <c r="Q576" i="15"/>
  <c r="R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O577" i="15"/>
  <c r="Q577" i="15"/>
  <c r="R577" i="15"/>
  <c r="S577" i="15"/>
  <c r="T577" i="15"/>
  <c r="A578" i="15"/>
  <c r="B578" i="15"/>
  <c r="C578" i="15"/>
  <c r="D578" i="15"/>
  <c r="E578" i="15"/>
  <c r="F578" i="15"/>
  <c r="G578" i="15"/>
  <c r="S578" i="15" s="1"/>
  <c r="H578" i="15"/>
  <c r="I578" i="15"/>
  <c r="J578" i="15"/>
  <c r="K578" i="15"/>
  <c r="L578" i="15"/>
  <c r="M578" i="15"/>
  <c r="O578" i="15"/>
  <c r="Q578" i="15"/>
  <c r="R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O579" i="15"/>
  <c r="Q579" i="15"/>
  <c r="R579" i="15"/>
  <c r="S579" i="15"/>
  <c r="T579" i="15"/>
  <c r="A580" i="15"/>
  <c r="B580" i="15"/>
  <c r="C580" i="15"/>
  <c r="D580" i="15"/>
  <c r="E580" i="15"/>
  <c r="F580" i="15"/>
  <c r="G580" i="15"/>
  <c r="S580" i="15" s="1"/>
  <c r="H580" i="15"/>
  <c r="I580" i="15"/>
  <c r="J580" i="15"/>
  <c r="K580" i="15"/>
  <c r="L580" i="15"/>
  <c r="M580" i="15"/>
  <c r="O580" i="15"/>
  <c r="Q580" i="15"/>
  <c r="R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O581" i="15"/>
  <c r="Q581" i="15"/>
  <c r="R581" i="15"/>
  <c r="S581" i="15"/>
  <c r="T581" i="15"/>
  <c r="A582" i="15"/>
  <c r="B582" i="15"/>
  <c r="C582" i="15"/>
  <c r="D582" i="15"/>
  <c r="E582" i="15"/>
  <c r="F582" i="15"/>
  <c r="G582" i="15"/>
  <c r="S582" i="15" s="1"/>
  <c r="H582" i="15"/>
  <c r="I582" i="15"/>
  <c r="J582" i="15"/>
  <c r="K582" i="15"/>
  <c r="L582" i="15"/>
  <c r="M582" i="15"/>
  <c r="O582" i="15"/>
  <c r="Q582" i="15"/>
  <c r="R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O583" i="15"/>
  <c r="Q583" i="15"/>
  <c r="R583" i="15"/>
  <c r="S583" i="15"/>
  <c r="T583" i="15"/>
  <c r="A584" i="15"/>
  <c r="B584" i="15"/>
  <c r="C584" i="15"/>
  <c r="D584" i="15"/>
  <c r="E584" i="15"/>
  <c r="F584" i="15"/>
  <c r="G584" i="15"/>
  <c r="S584" i="15" s="1"/>
  <c r="H584" i="15"/>
  <c r="I584" i="15"/>
  <c r="J584" i="15"/>
  <c r="K584" i="15"/>
  <c r="L584" i="15"/>
  <c r="M584" i="15"/>
  <c r="O584" i="15"/>
  <c r="Q584" i="15"/>
  <c r="R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O585" i="15"/>
  <c r="Q585" i="15"/>
  <c r="R585" i="15"/>
  <c r="S585" i="15"/>
  <c r="T585" i="15"/>
  <c r="A586" i="15"/>
  <c r="B586" i="15"/>
  <c r="C586" i="15"/>
  <c r="D586" i="15"/>
  <c r="E586" i="15"/>
  <c r="F586" i="15"/>
  <c r="G586" i="15"/>
  <c r="S586" i="15" s="1"/>
  <c r="H586" i="15"/>
  <c r="I586" i="15"/>
  <c r="J586" i="15"/>
  <c r="K586" i="15"/>
  <c r="L586" i="15"/>
  <c r="M586" i="15"/>
  <c r="O586" i="15"/>
  <c r="Q586" i="15"/>
  <c r="R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O587" i="15"/>
  <c r="Q587" i="15"/>
  <c r="R587" i="15"/>
  <c r="S587" i="15"/>
  <c r="T587" i="15"/>
  <c r="A588" i="15"/>
  <c r="B588" i="15"/>
  <c r="C588" i="15"/>
  <c r="D588" i="15"/>
  <c r="E588" i="15"/>
  <c r="F588" i="15"/>
  <c r="G588" i="15"/>
  <c r="S588" i="15" s="1"/>
  <c r="H588" i="15"/>
  <c r="I588" i="15"/>
  <c r="J588" i="15"/>
  <c r="K588" i="15"/>
  <c r="L588" i="15"/>
  <c r="M588" i="15"/>
  <c r="O588" i="15"/>
  <c r="Q588" i="15"/>
  <c r="R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O589" i="15"/>
  <c r="Q589" i="15"/>
  <c r="R589" i="15"/>
  <c r="S589" i="15"/>
  <c r="T589" i="15"/>
  <c r="A590" i="15"/>
  <c r="B590" i="15"/>
  <c r="C590" i="15"/>
  <c r="D590" i="15"/>
  <c r="E590" i="15"/>
  <c r="F590" i="15"/>
  <c r="G590" i="15"/>
  <c r="S590" i="15" s="1"/>
  <c r="H590" i="15"/>
  <c r="I590" i="15"/>
  <c r="J590" i="15"/>
  <c r="K590" i="15"/>
  <c r="L590" i="15"/>
  <c r="M590" i="15"/>
  <c r="O590" i="15"/>
  <c r="Q590" i="15"/>
  <c r="R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O591" i="15"/>
  <c r="Q591" i="15"/>
  <c r="R591" i="15"/>
  <c r="S591" i="15"/>
  <c r="T591" i="15"/>
  <c r="A592" i="15"/>
  <c r="B592" i="15"/>
  <c r="C592" i="15"/>
  <c r="D592" i="15"/>
  <c r="E592" i="15"/>
  <c r="F592" i="15"/>
  <c r="G592" i="15"/>
  <c r="S592" i="15" s="1"/>
  <c r="H592" i="15"/>
  <c r="I592" i="15"/>
  <c r="J592" i="15"/>
  <c r="K592" i="15"/>
  <c r="L592" i="15"/>
  <c r="M592" i="15"/>
  <c r="O592" i="15"/>
  <c r="Q592" i="15"/>
  <c r="R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O593" i="15"/>
  <c r="Q593" i="15"/>
  <c r="R593" i="15"/>
  <c r="S593" i="15"/>
  <c r="T593" i="15"/>
  <c r="A594" i="15"/>
  <c r="B594" i="15"/>
  <c r="C594" i="15"/>
  <c r="D594" i="15"/>
  <c r="E594" i="15"/>
  <c r="F594" i="15"/>
  <c r="G594" i="15"/>
  <c r="S594" i="15" s="1"/>
  <c r="H594" i="15"/>
  <c r="I594" i="15"/>
  <c r="J594" i="15"/>
  <c r="K594" i="15"/>
  <c r="L594" i="15"/>
  <c r="M594" i="15"/>
  <c r="O594" i="15"/>
  <c r="Q594" i="15"/>
  <c r="R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O595" i="15"/>
  <c r="Q595" i="15"/>
  <c r="R595" i="15"/>
  <c r="S595" i="15"/>
  <c r="T595" i="15"/>
  <c r="A596" i="15"/>
  <c r="B596" i="15"/>
  <c r="C596" i="15"/>
  <c r="D596" i="15"/>
  <c r="E596" i="15"/>
  <c r="F596" i="15"/>
  <c r="G596" i="15"/>
  <c r="S596" i="15" s="1"/>
  <c r="H596" i="15"/>
  <c r="I596" i="15"/>
  <c r="J596" i="15"/>
  <c r="K596" i="15"/>
  <c r="L596" i="15"/>
  <c r="M596" i="15"/>
  <c r="O596" i="15"/>
  <c r="Q596" i="15"/>
  <c r="R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O597" i="15"/>
  <c r="Q597" i="15"/>
  <c r="R597" i="15"/>
  <c r="S597" i="15"/>
  <c r="T597" i="15"/>
  <c r="A598" i="15"/>
  <c r="B598" i="15"/>
  <c r="C598" i="15"/>
  <c r="D598" i="15"/>
  <c r="E598" i="15"/>
  <c r="F598" i="15"/>
  <c r="G598" i="15"/>
  <c r="S598" i="15" s="1"/>
  <c r="H598" i="15"/>
  <c r="I598" i="15"/>
  <c r="J598" i="15"/>
  <c r="K598" i="15"/>
  <c r="L598" i="15"/>
  <c r="M598" i="15"/>
  <c r="O598" i="15"/>
  <c r="Q598" i="15"/>
  <c r="R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O599" i="15"/>
  <c r="Q599" i="15"/>
  <c r="R599" i="15"/>
  <c r="S599" i="15"/>
  <c r="T599" i="15"/>
  <c r="A600" i="15"/>
  <c r="B600" i="15"/>
  <c r="C600" i="15"/>
  <c r="D600" i="15"/>
  <c r="E600" i="15"/>
  <c r="F600" i="15"/>
  <c r="G600" i="15"/>
  <c r="S600" i="15" s="1"/>
  <c r="H600" i="15"/>
  <c r="I600" i="15"/>
  <c r="J600" i="15"/>
  <c r="K600" i="15"/>
  <c r="L600" i="15"/>
  <c r="M600" i="15"/>
  <c r="O600" i="15"/>
  <c r="Q600" i="15"/>
  <c r="R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O601" i="15"/>
  <c r="Q601" i="15"/>
  <c r="R601" i="15"/>
  <c r="S601" i="15"/>
  <c r="T601" i="15"/>
  <c r="A602" i="15"/>
  <c r="B602" i="15"/>
  <c r="C602" i="15"/>
  <c r="D602" i="15"/>
  <c r="E602" i="15"/>
  <c r="F602" i="15"/>
  <c r="G602" i="15"/>
  <c r="S602" i="15" s="1"/>
  <c r="H602" i="15"/>
  <c r="I602" i="15"/>
  <c r="J602" i="15"/>
  <c r="K602" i="15"/>
  <c r="L602" i="15"/>
  <c r="M602" i="15"/>
  <c r="O602" i="15"/>
  <c r="Q602" i="15"/>
  <c r="R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O603" i="15"/>
  <c r="Q603" i="15"/>
  <c r="R603" i="15"/>
  <c r="S603" i="15"/>
  <c r="T603" i="15"/>
  <c r="A604" i="15"/>
  <c r="B604" i="15"/>
  <c r="C604" i="15"/>
  <c r="D604" i="15"/>
  <c r="E604" i="15"/>
  <c r="F604" i="15"/>
  <c r="G604" i="15"/>
  <c r="S604" i="15" s="1"/>
  <c r="H604" i="15"/>
  <c r="I604" i="15"/>
  <c r="J604" i="15"/>
  <c r="K604" i="15"/>
  <c r="L604" i="15"/>
  <c r="M604" i="15"/>
  <c r="O604" i="15"/>
  <c r="Q604" i="15"/>
  <c r="R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O605" i="15"/>
  <c r="Q605" i="15"/>
  <c r="R605" i="15"/>
  <c r="S605" i="15"/>
  <c r="T605" i="15"/>
  <c r="A606" i="15"/>
  <c r="B606" i="15"/>
  <c r="C606" i="15"/>
  <c r="D606" i="15"/>
  <c r="E606" i="15"/>
  <c r="F606" i="15"/>
  <c r="G606" i="15"/>
  <c r="S606" i="15" s="1"/>
  <c r="H606" i="15"/>
  <c r="I606" i="15"/>
  <c r="J606" i="15"/>
  <c r="K606" i="15"/>
  <c r="L606" i="15"/>
  <c r="M606" i="15"/>
  <c r="O606" i="15"/>
  <c r="Q606" i="15"/>
  <c r="R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O607" i="15"/>
  <c r="Q607" i="15"/>
  <c r="R607" i="15"/>
  <c r="S607" i="15"/>
  <c r="T607" i="15"/>
  <c r="A608" i="15"/>
  <c r="B608" i="15"/>
  <c r="C608" i="15"/>
  <c r="D608" i="15"/>
  <c r="E608" i="15"/>
  <c r="F608" i="15"/>
  <c r="G608" i="15"/>
  <c r="S608" i="15" s="1"/>
  <c r="H608" i="15"/>
  <c r="I608" i="15"/>
  <c r="J608" i="15"/>
  <c r="K608" i="15"/>
  <c r="L608" i="15"/>
  <c r="M608" i="15"/>
  <c r="O608" i="15"/>
  <c r="Q608" i="15"/>
  <c r="R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O609" i="15"/>
  <c r="Q609" i="15"/>
  <c r="R609" i="15"/>
  <c r="S609" i="15"/>
  <c r="T609" i="15"/>
  <c r="A610" i="15"/>
  <c r="B610" i="15"/>
  <c r="C610" i="15"/>
  <c r="D610" i="15"/>
  <c r="E610" i="15"/>
  <c r="F610" i="15"/>
  <c r="G610" i="15"/>
  <c r="S610" i="15" s="1"/>
  <c r="H610" i="15"/>
  <c r="I610" i="15"/>
  <c r="J610" i="15"/>
  <c r="K610" i="15"/>
  <c r="L610" i="15"/>
  <c r="M610" i="15"/>
  <c r="O610" i="15"/>
  <c r="Q610" i="15"/>
  <c r="R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O611" i="15"/>
  <c r="Q611" i="15"/>
  <c r="R611" i="15"/>
  <c r="S611" i="15"/>
  <c r="T611" i="15"/>
  <c r="A612" i="15"/>
  <c r="B612" i="15"/>
  <c r="C612" i="15"/>
  <c r="D612" i="15"/>
  <c r="E612" i="15"/>
  <c r="F612" i="15"/>
  <c r="G612" i="15"/>
  <c r="S612" i="15" s="1"/>
  <c r="H612" i="15"/>
  <c r="I612" i="15"/>
  <c r="J612" i="15"/>
  <c r="K612" i="15"/>
  <c r="L612" i="15"/>
  <c r="M612" i="15"/>
  <c r="O612" i="15"/>
  <c r="Q612" i="15"/>
  <c r="R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O613" i="15"/>
  <c r="Q613" i="15"/>
  <c r="R613" i="15"/>
  <c r="S613" i="15"/>
  <c r="T613" i="15"/>
  <c r="A614" i="15"/>
  <c r="B614" i="15"/>
  <c r="C614" i="15"/>
  <c r="D614" i="15"/>
  <c r="E614" i="15"/>
  <c r="F614" i="15"/>
  <c r="G614" i="15"/>
  <c r="S614" i="15" s="1"/>
  <c r="H614" i="15"/>
  <c r="I614" i="15"/>
  <c r="J614" i="15"/>
  <c r="K614" i="15"/>
  <c r="L614" i="15"/>
  <c r="M614" i="15"/>
  <c r="O614" i="15"/>
  <c r="Q614" i="15"/>
  <c r="R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O615" i="15"/>
  <c r="Q615" i="15"/>
  <c r="R615" i="15"/>
  <c r="S615" i="15"/>
  <c r="T615" i="15"/>
  <c r="A616" i="15"/>
  <c r="B616" i="15"/>
  <c r="C616" i="15"/>
  <c r="D616" i="15"/>
  <c r="E616" i="15"/>
  <c r="F616" i="15"/>
  <c r="G616" i="15"/>
  <c r="S616" i="15" s="1"/>
  <c r="H616" i="15"/>
  <c r="I616" i="15"/>
  <c r="J616" i="15"/>
  <c r="K616" i="15"/>
  <c r="L616" i="15"/>
  <c r="M616" i="15"/>
  <c r="O616" i="15"/>
  <c r="Q616" i="15"/>
  <c r="R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O617" i="15"/>
  <c r="Q617" i="15"/>
  <c r="R617" i="15"/>
  <c r="S617" i="15"/>
  <c r="T617" i="15"/>
  <c r="A618" i="15"/>
  <c r="B618" i="15"/>
  <c r="C618" i="15"/>
  <c r="D618" i="15"/>
  <c r="E618" i="15"/>
  <c r="F618" i="15"/>
  <c r="G618" i="15"/>
  <c r="S618" i="15" s="1"/>
  <c r="H618" i="15"/>
  <c r="I618" i="15"/>
  <c r="J618" i="15"/>
  <c r="K618" i="15"/>
  <c r="L618" i="15"/>
  <c r="M618" i="15"/>
  <c r="O618" i="15"/>
  <c r="Q618" i="15"/>
  <c r="R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O619" i="15"/>
  <c r="Q619" i="15"/>
  <c r="R619" i="15"/>
  <c r="S619" i="15"/>
  <c r="T619" i="15"/>
  <c r="A620" i="15"/>
  <c r="B620" i="15"/>
  <c r="C620" i="15"/>
  <c r="D620" i="15"/>
  <c r="E620" i="15"/>
  <c r="F620" i="15"/>
  <c r="G620" i="15"/>
  <c r="S620" i="15" s="1"/>
  <c r="H620" i="15"/>
  <c r="I620" i="15"/>
  <c r="J620" i="15"/>
  <c r="K620" i="15"/>
  <c r="L620" i="15"/>
  <c r="M620" i="15"/>
  <c r="O620" i="15"/>
  <c r="Q620" i="15"/>
  <c r="R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O621" i="15"/>
  <c r="Q621" i="15"/>
  <c r="R621" i="15"/>
  <c r="S621" i="15"/>
  <c r="T621" i="15"/>
  <c r="A622" i="15"/>
  <c r="B622" i="15"/>
  <c r="C622" i="15"/>
  <c r="D622" i="15"/>
  <c r="E622" i="15"/>
  <c r="F622" i="15"/>
  <c r="G622" i="15"/>
  <c r="S622" i="15" s="1"/>
  <c r="H622" i="15"/>
  <c r="I622" i="15"/>
  <c r="J622" i="15"/>
  <c r="K622" i="15"/>
  <c r="L622" i="15"/>
  <c r="M622" i="15"/>
  <c r="O622" i="15"/>
  <c r="Q622" i="15"/>
  <c r="R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O623" i="15"/>
  <c r="Q623" i="15"/>
  <c r="R623" i="15"/>
  <c r="S623" i="15"/>
  <c r="T623" i="15"/>
  <c r="A624" i="15"/>
  <c r="B624" i="15"/>
  <c r="C624" i="15"/>
  <c r="D624" i="15"/>
  <c r="E624" i="15"/>
  <c r="F624" i="15"/>
  <c r="G624" i="15"/>
  <c r="S624" i="15" s="1"/>
  <c r="H624" i="15"/>
  <c r="I624" i="15"/>
  <c r="J624" i="15"/>
  <c r="K624" i="15"/>
  <c r="L624" i="15"/>
  <c r="M624" i="15"/>
  <c r="O624" i="15"/>
  <c r="Q624" i="15"/>
  <c r="R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O625" i="15"/>
  <c r="Q625" i="15"/>
  <c r="R625" i="15"/>
  <c r="S625" i="15"/>
  <c r="T625" i="15"/>
  <c r="A626" i="15"/>
  <c r="B626" i="15"/>
  <c r="C626" i="15"/>
  <c r="D626" i="15"/>
  <c r="E626" i="15"/>
  <c r="F626" i="15"/>
  <c r="G626" i="15"/>
  <c r="S626" i="15" s="1"/>
  <c r="H626" i="15"/>
  <c r="I626" i="15"/>
  <c r="J626" i="15"/>
  <c r="K626" i="15"/>
  <c r="L626" i="15"/>
  <c r="M626" i="15"/>
  <c r="O626" i="15"/>
  <c r="Q626" i="15"/>
  <c r="R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O627" i="15"/>
  <c r="Q627" i="15"/>
  <c r="R627" i="15"/>
  <c r="S627" i="15"/>
  <c r="T627" i="15"/>
  <c r="A628" i="15"/>
  <c r="B628" i="15"/>
  <c r="C628" i="15"/>
  <c r="D628" i="15"/>
  <c r="E628" i="15"/>
  <c r="F628" i="15"/>
  <c r="G628" i="15"/>
  <c r="S628" i="15" s="1"/>
  <c r="H628" i="15"/>
  <c r="I628" i="15"/>
  <c r="J628" i="15"/>
  <c r="K628" i="15"/>
  <c r="L628" i="15"/>
  <c r="M628" i="15"/>
  <c r="O628" i="15"/>
  <c r="Q628" i="15"/>
  <c r="R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O629" i="15"/>
  <c r="Q629" i="15"/>
  <c r="R629" i="15"/>
  <c r="S629" i="15"/>
  <c r="T629" i="15"/>
  <c r="A630" i="15"/>
  <c r="B630" i="15"/>
  <c r="C630" i="15"/>
  <c r="D630" i="15"/>
  <c r="E630" i="15"/>
  <c r="F630" i="15"/>
  <c r="G630" i="15"/>
  <c r="S630" i="15" s="1"/>
  <c r="H630" i="15"/>
  <c r="I630" i="15"/>
  <c r="J630" i="15"/>
  <c r="K630" i="15"/>
  <c r="L630" i="15"/>
  <c r="M630" i="15"/>
  <c r="O630" i="15"/>
  <c r="Q630" i="15"/>
  <c r="R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O631" i="15"/>
  <c r="Q631" i="15"/>
  <c r="R631" i="15"/>
  <c r="S631" i="15"/>
  <c r="T631" i="15"/>
  <c r="A632" i="15"/>
  <c r="B632" i="15"/>
  <c r="C632" i="15"/>
  <c r="D632" i="15"/>
  <c r="E632" i="15"/>
  <c r="F632" i="15"/>
  <c r="G632" i="15"/>
  <c r="S632" i="15" s="1"/>
  <c r="H632" i="15"/>
  <c r="I632" i="15"/>
  <c r="J632" i="15"/>
  <c r="K632" i="15"/>
  <c r="L632" i="15"/>
  <c r="M632" i="15"/>
  <c r="O632" i="15"/>
  <c r="Q632" i="15"/>
  <c r="R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O633" i="15"/>
  <c r="Q633" i="15"/>
  <c r="R633" i="15"/>
  <c r="S633" i="15"/>
  <c r="T633" i="15"/>
  <c r="A634" i="15"/>
  <c r="B634" i="15"/>
  <c r="C634" i="15"/>
  <c r="D634" i="15"/>
  <c r="E634" i="15"/>
  <c r="F634" i="15"/>
  <c r="G634" i="15"/>
  <c r="S634" i="15" s="1"/>
  <c r="H634" i="15"/>
  <c r="I634" i="15"/>
  <c r="J634" i="15"/>
  <c r="K634" i="15"/>
  <c r="L634" i="15"/>
  <c r="M634" i="15"/>
  <c r="O634" i="15"/>
  <c r="Q634" i="15"/>
  <c r="R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O635" i="15"/>
  <c r="Q635" i="15"/>
  <c r="R635" i="15"/>
  <c r="S635" i="15"/>
  <c r="T635" i="15"/>
  <c r="A636" i="15"/>
  <c r="B636" i="15"/>
  <c r="C636" i="15"/>
  <c r="D636" i="15"/>
  <c r="E636" i="15"/>
  <c r="F636" i="15"/>
  <c r="G636" i="15"/>
  <c r="S636" i="15" s="1"/>
  <c r="H636" i="15"/>
  <c r="I636" i="15"/>
  <c r="J636" i="15"/>
  <c r="K636" i="15"/>
  <c r="L636" i="15"/>
  <c r="M636" i="15"/>
  <c r="O636" i="15"/>
  <c r="Q636" i="15"/>
  <c r="R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O637" i="15"/>
  <c r="Q637" i="15"/>
  <c r="R637" i="15"/>
  <c r="S637" i="15"/>
  <c r="T637" i="15"/>
  <c r="A638" i="15"/>
  <c r="B638" i="15"/>
  <c r="C638" i="15"/>
  <c r="D638" i="15"/>
  <c r="E638" i="15"/>
  <c r="F638" i="15"/>
  <c r="G638" i="15"/>
  <c r="S638" i="15" s="1"/>
  <c r="H638" i="15"/>
  <c r="I638" i="15"/>
  <c r="J638" i="15"/>
  <c r="K638" i="15"/>
  <c r="L638" i="15"/>
  <c r="M638" i="15"/>
  <c r="O638" i="15"/>
  <c r="Q638" i="15"/>
  <c r="R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O639" i="15"/>
  <c r="Q639" i="15"/>
  <c r="R639" i="15"/>
  <c r="S639" i="15"/>
  <c r="T639" i="15"/>
  <c r="A640" i="15"/>
  <c r="B640" i="15"/>
  <c r="C640" i="15"/>
  <c r="D640" i="15"/>
  <c r="E640" i="15"/>
  <c r="F640" i="15"/>
  <c r="G640" i="15"/>
  <c r="S640" i="15" s="1"/>
  <c r="H640" i="15"/>
  <c r="I640" i="15"/>
  <c r="J640" i="15"/>
  <c r="K640" i="15"/>
  <c r="L640" i="15"/>
  <c r="M640" i="15"/>
  <c r="O640" i="15"/>
  <c r="Q640" i="15"/>
  <c r="R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O641" i="15"/>
  <c r="Q641" i="15"/>
  <c r="R641" i="15"/>
  <c r="S641" i="15"/>
  <c r="T641" i="15"/>
  <c r="A642" i="15"/>
  <c r="B642" i="15"/>
  <c r="C642" i="15"/>
  <c r="D642" i="15"/>
  <c r="E642" i="15"/>
  <c r="F642" i="15"/>
  <c r="G642" i="15"/>
  <c r="S642" i="15" s="1"/>
  <c r="H642" i="15"/>
  <c r="I642" i="15"/>
  <c r="J642" i="15"/>
  <c r="K642" i="15"/>
  <c r="L642" i="15"/>
  <c r="M642" i="15"/>
  <c r="O642" i="15"/>
  <c r="Q642" i="15"/>
  <c r="R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O643" i="15"/>
  <c r="Q643" i="15"/>
  <c r="R643" i="15"/>
  <c r="S643" i="15"/>
  <c r="T643" i="15"/>
  <c r="A644" i="15"/>
  <c r="B644" i="15"/>
  <c r="C644" i="15"/>
  <c r="D644" i="15"/>
  <c r="E644" i="15"/>
  <c r="F644" i="15"/>
  <c r="G644" i="15"/>
  <c r="S644" i="15" s="1"/>
  <c r="H644" i="15"/>
  <c r="I644" i="15"/>
  <c r="J644" i="15"/>
  <c r="K644" i="15"/>
  <c r="L644" i="15"/>
  <c r="M644" i="15"/>
  <c r="O644" i="15"/>
  <c r="Q644" i="15"/>
  <c r="R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O645" i="15"/>
  <c r="Q645" i="15"/>
  <c r="R645" i="15"/>
  <c r="S645" i="15"/>
  <c r="T645" i="15"/>
  <c r="A646" i="15"/>
  <c r="B646" i="15"/>
  <c r="C646" i="15"/>
  <c r="D646" i="15"/>
  <c r="E646" i="15"/>
  <c r="F646" i="15"/>
  <c r="G646" i="15"/>
  <c r="S646" i="15" s="1"/>
  <c r="H646" i="15"/>
  <c r="I646" i="15"/>
  <c r="J646" i="15"/>
  <c r="K646" i="15"/>
  <c r="L646" i="15"/>
  <c r="M646" i="15"/>
  <c r="O646" i="15"/>
  <c r="Q646" i="15"/>
  <c r="R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O647" i="15"/>
  <c r="Q647" i="15"/>
  <c r="R647" i="15"/>
  <c r="S647" i="15"/>
  <c r="T647" i="15"/>
  <c r="A648" i="15"/>
  <c r="B648" i="15"/>
  <c r="C648" i="15"/>
  <c r="D648" i="15"/>
  <c r="E648" i="15"/>
  <c r="F648" i="15"/>
  <c r="G648" i="15"/>
  <c r="S648" i="15" s="1"/>
  <c r="H648" i="15"/>
  <c r="I648" i="15"/>
  <c r="J648" i="15"/>
  <c r="K648" i="15"/>
  <c r="L648" i="15"/>
  <c r="M648" i="15"/>
  <c r="O648" i="15"/>
  <c r="Q648" i="15"/>
  <c r="R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O649" i="15"/>
  <c r="Q649" i="15"/>
  <c r="R649" i="15"/>
  <c r="S649" i="15"/>
  <c r="T649" i="15"/>
  <c r="A650" i="15"/>
  <c r="B650" i="15"/>
  <c r="C650" i="15"/>
  <c r="D650" i="15"/>
  <c r="E650" i="15"/>
  <c r="F650" i="15"/>
  <c r="G650" i="15"/>
  <c r="S650" i="15" s="1"/>
  <c r="H650" i="15"/>
  <c r="I650" i="15"/>
  <c r="J650" i="15"/>
  <c r="K650" i="15"/>
  <c r="L650" i="15"/>
  <c r="M650" i="15"/>
  <c r="O650" i="15"/>
  <c r="Q650" i="15"/>
  <c r="R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O651" i="15"/>
  <c r="Q651" i="15"/>
  <c r="R651" i="15"/>
  <c r="S651" i="15"/>
  <c r="T651" i="15"/>
  <c r="A652" i="15"/>
  <c r="B652" i="15"/>
  <c r="C652" i="15"/>
  <c r="D652" i="15"/>
  <c r="E652" i="15"/>
  <c r="F652" i="15"/>
  <c r="G652" i="15"/>
  <c r="S652" i="15" s="1"/>
  <c r="H652" i="15"/>
  <c r="I652" i="15"/>
  <c r="J652" i="15"/>
  <c r="K652" i="15"/>
  <c r="L652" i="15"/>
  <c r="M652" i="15"/>
  <c r="O652" i="15"/>
  <c r="Q652" i="15"/>
  <c r="R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O653" i="15"/>
  <c r="Q653" i="15"/>
  <c r="R653" i="15"/>
  <c r="S653" i="15"/>
  <c r="T653" i="15"/>
  <c r="A654" i="15"/>
  <c r="B654" i="15"/>
  <c r="C654" i="15"/>
  <c r="D654" i="15"/>
  <c r="E654" i="15"/>
  <c r="F654" i="15"/>
  <c r="G654" i="15"/>
  <c r="S654" i="15" s="1"/>
  <c r="H654" i="15"/>
  <c r="I654" i="15"/>
  <c r="J654" i="15"/>
  <c r="K654" i="15"/>
  <c r="L654" i="15"/>
  <c r="M654" i="15"/>
  <c r="O654" i="15"/>
  <c r="Q654" i="15"/>
  <c r="R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O655" i="15"/>
  <c r="Q655" i="15"/>
  <c r="R655" i="15"/>
  <c r="S655" i="15"/>
  <c r="T655" i="15"/>
  <c r="A656" i="15"/>
  <c r="B656" i="15"/>
  <c r="C656" i="15"/>
  <c r="D656" i="15"/>
  <c r="E656" i="15"/>
  <c r="F656" i="15"/>
  <c r="G656" i="15"/>
  <c r="S656" i="15" s="1"/>
  <c r="H656" i="15"/>
  <c r="I656" i="15"/>
  <c r="J656" i="15"/>
  <c r="K656" i="15"/>
  <c r="L656" i="15"/>
  <c r="M656" i="15"/>
  <c r="O656" i="15"/>
  <c r="Q656" i="15"/>
  <c r="R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O657" i="15"/>
  <c r="Q657" i="15"/>
  <c r="R657" i="15"/>
  <c r="S657" i="15"/>
  <c r="T657" i="15"/>
  <c r="A658" i="15"/>
  <c r="B658" i="15"/>
  <c r="C658" i="15"/>
  <c r="D658" i="15"/>
  <c r="E658" i="15"/>
  <c r="F658" i="15"/>
  <c r="G658" i="15"/>
  <c r="S658" i="15" s="1"/>
  <c r="H658" i="15"/>
  <c r="I658" i="15"/>
  <c r="J658" i="15"/>
  <c r="K658" i="15"/>
  <c r="L658" i="15"/>
  <c r="M658" i="15"/>
  <c r="O658" i="15"/>
  <c r="Q658" i="15"/>
  <c r="R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O659" i="15"/>
  <c r="Q659" i="15"/>
  <c r="R659" i="15"/>
  <c r="S659" i="15"/>
  <c r="T659" i="15"/>
  <c r="A660" i="15"/>
  <c r="B660" i="15"/>
  <c r="C660" i="15"/>
  <c r="D660" i="15"/>
  <c r="E660" i="15"/>
  <c r="F660" i="15"/>
  <c r="G660" i="15"/>
  <c r="S660" i="15" s="1"/>
  <c r="H660" i="15"/>
  <c r="I660" i="15"/>
  <c r="J660" i="15"/>
  <c r="K660" i="15"/>
  <c r="L660" i="15"/>
  <c r="M660" i="15"/>
  <c r="O660" i="15"/>
  <c r="Q660" i="15"/>
  <c r="R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O661" i="15"/>
  <c r="Q661" i="15"/>
  <c r="R661" i="15"/>
  <c r="S661" i="15"/>
  <c r="T661" i="15"/>
  <c r="A662" i="15"/>
  <c r="B662" i="15"/>
  <c r="C662" i="15"/>
  <c r="D662" i="15"/>
  <c r="E662" i="15"/>
  <c r="F662" i="15"/>
  <c r="G662" i="15"/>
  <c r="S662" i="15" s="1"/>
  <c r="H662" i="15"/>
  <c r="I662" i="15"/>
  <c r="J662" i="15"/>
  <c r="K662" i="15"/>
  <c r="L662" i="15"/>
  <c r="M662" i="15"/>
  <c r="O662" i="15"/>
  <c r="Q662" i="15"/>
  <c r="R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O663" i="15"/>
  <c r="Q663" i="15"/>
  <c r="R663" i="15"/>
  <c r="S663" i="15"/>
  <c r="T663" i="15"/>
  <c r="A664" i="15"/>
  <c r="B664" i="15"/>
  <c r="C664" i="15"/>
  <c r="D664" i="15"/>
  <c r="E664" i="15"/>
  <c r="F664" i="15"/>
  <c r="G664" i="15"/>
  <c r="S664" i="15" s="1"/>
  <c r="H664" i="15"/>
  <c r="I664" i="15"/>
  <c r="J664" i="15"/>
  <c r="K664" i="15"/>
  <c r="L664" i="15"/>
  <c r="M664" i="15"/>
  <c r="O664" i="15"/>
  <c r="Q664" i="15"/>
  <c r="R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O665" i="15"/>
  <c r="Q665" i="15"/>
  <c r="R665" i="15"/>
  <c r="S665" i="15"/>
  <c r="T665" i="15"/>
  <c r="A666" i="15"/>
  <c r="B666" i="15"/>
  <c r="C666" i="15"/>
  <c r="D666" i="15"/>
  <c r="E666" i="15"/>
  <c r="F666" i="15"/>
  <c r="G666" i="15"/>
  <c r="S666" i="15" s="1"/>
  <c r="H666" i="15"/>
  <c r="I666" i="15"/>
  <c r="J666" i="15"/>
  <c r="K666" i="15"/>
  <c r="L666" i="15"/>
  <c r="M666" i="15"/>
  <c r="O666" i="15"/>
  <c r="Q666" i="15"/>
  <c r="R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O667" i="15"/>
  <c r="Q667" i="15"/>
  <c r="R667" i="15"/>
  <c r="S667" i="15"/>
  <c r="T667" i="15"/>
  <c r="A668" i="15"/>
  <c r="B668" i="15"/>
  <c r="C668" i="15"/>
  <c r="D668" i="15"/>
  <c r="E668" i="15"/>
  <c r="F668" i="15"/>
  <c r="G668" i="15"/>
  <c r="S668" i="15" s="1"/>
  <c r="H668" i="15"/>
  <c r="I668" i="15"/>
  <c r="J668" i="15"/>
  <c r="K668" i="15"/>
  <c r="L668" i="15"/>
  <c r="M668" i="15"/>
  <c r="O668" i="15"/>
  <c r="Q668" i="15"/>
  <c r="R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O669" i="15"/>
  <c r="Q669" i="15"/>
  <c r="R669" i="15"/>
  <c r="S669" i="15"/>
  <c r="T669" i="15"/>
  <c r="A670" i="15"/>
  <c r="B670" i="15"/>
  <c r="C670" i="15"/>
  <c r="D670" i="15"/>
  <c r="E670" i="15"/>
  <c r="F670" i="15"/>
  <c r="G670" i="15"/>
  <c r="S670" i="15" s="1"/>
  <c r="H670" i="15"/>
  <c r="I670" i="15"/>
  <c r="J670" i="15"/>
  <c r="K670" i="15"/>
  <c r="L670" i="15"/>
  <c r="M670" i="15"/>
  <c r="O670" i="15"/>
  <c r="Q670" i="15"/>
  <c r="R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O671" i="15"/>
  <c r="Q671" i="15"/>
  <c r="R671" i="15"/>
  <c r="S671" i="15"/>
  <c r="T671" i="15"/>
  <c r="A672" i="15"/>
  <c r="B672" i="15"/>
  <c r="C672" i="15"/>
  <c r="D672" i="15"/>
  <c r="E672" i="15"/>
  <c r="F672" i="15"/>
  <c r="G672" i="15"/>
  <c r="S672" i="15" s="1"/>
  <c r="H672" i="15"/>
  <c r="I672" i="15"/>
  <c r="J672" i="15"/>
  <c r="K672" i="15"/>
  <c r="L672" i="15"/>
  <c r="M672" i="15"/>
  <c r="O672" i="15"/>
  <c r="Q672" i="15"/>
  <c r="R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O673" i="15"/>
  <c r="Q673" i="15"/>
  <c r="R673" i="15"/>
  <c r="S673" i="15"/>
  <c r="T673" i="15"/>
  <c r="A674" i="15"/>
  <c r="B674" i="15"/>
  <c r="C674" i="15"/>
  <c r="D674" i="15"/>
  <c r="E674" i="15"/>
  <c r="F674" i="15"/>
  <c r="G674" i="15"/>
  <c r="S674" i="15" s="1"/>
  <c r="H674" i="15"/>
  <c r="I674" i="15"/>
  <c r="J674" i="15"/>
  <c r="K674" i="15"/>
  <c r="L674" i="15"/>
  <c r="M674" i="15"/>
  <c r="O674" i="15"/>
  <c r="Q674" i="15"/>
  <c r="R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O675" i="15"/>
  <c r="Q675" i="15"/>
  <c r="R675" i="15"/>
  <c r="S675" i="15"/>
  <c r="T675" i="15"/>
  <c r="A676" i="15"/>
  <c r="B676" i="15"/>
  <c r="C676" i="15"/>
  <c r="D676" i="15"/>
  <c r="E676" i="15"/>
  <c r="F676" i="15"/>
  <c r="G676" i="15"/>
  <c r="S676" i="15" s="1"/>
  <c r="H676" i="15"/>
  <c r="I676" i="15"/>
  <c r="J676" i="15"/>
  <c r="K676" i="15"/>
  <c r="L676" i="15"/>
  <c r="M676" i="15"/>
  <c r="O676" i="15"/>
  <c r="Q676" i="15"/>
  <c r="R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O677" i="15"/>
  <c r="Q677" i="15"/>
  <c r="R677" i="15"/>
  <c r="S677" i="15"/>
  <c r="T677" i="15"/>
  <c r="A678" i="15"/>
  <c r="B678" i="15"/>
  <c r="C678" i="15"/>
  <c r="D678" i="15"/>
  <c r="E678" i="15"/>
  <c r="F678" i="15"/>
  <c r="G678" i="15"/>
  <c r="S678" i="15" s="1"/>
  <c r="H678" i="15"/>
  <c r="I678" i="15"/>
  <c r="J678" i="15"/>
  <c r="K678" i="15"/>
  <c r="L678" i="15"/>
  <c r="M678" i="15"/>
  <c r="O678" i="15"/>
  <c r="Q678" i="15"/>
  <c r="R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O679" i="15"/>
  <c r="Q679" i="15"/>
  <c r="R679" i="15"/>
  <c r="S679" i="15"/>
  <c r="T679" i="15"/>
  <c r="A680" i="15"/>
  <c r="B680" i="15"/>
  <c r="C680" i="15"/>
  <c r="D680" i="15"/>
  <c r="E680" i="15"/>
  <c r="F680" i="15"/>
  <c r="G680" i="15"/>
  <c r="S680" i="15" s="1"/>
  <c r="H680" i="15"/>
  <c r="I680" i="15"/>
  <c r="J680" i="15"/>
  <c r="K680" i="15"/>
  <c r="L680" i="15"/>
  <c r="M680" i="15"/>
  <c r="O680" i="15"/>
  <c r="Q680" i="15"/>
  <c r="R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N676" i="15" s="1"/>
  <c r="N671" i="15" s="1"/>
  <c r="N666" i="15" s="1"/>
  <c r="N661" i="15" s="1"/>
  <c r="N656" i="15" s="1"/>
  <c r="N651" i="15" s="1"/>
  <c r="N646" i="15" s="1"/>
  <c r="N641" i="15" s="1"/>
  <c r="N636" i="15" s="1"/>
  <c r="N631" i="15" s="1"/>
  <c r="N626" i="15" s="1"/>
  <c r="N621" i="15" s="1"/>
  <c r="N616" i="15" s="1"/>
  <c r="N611" i="15" s="1"/>
  <c r="N606" i="15" s="1"/>
  <c r="N601" i="15" s="1"/>
  <c r="N596" i="15" s="1"/>
  <c r="N591" i="15" s="1"/>
  <c r="N586" i="15" s="1"/>
  <c r="N581" i="15" s="1"/>
  <c r="N576" i="15" s="1"/>
  <c r="N571" i="15" s="1"/>
  <c r="N566" i="15" s="1"/>
  <c r="N561" i="15" s="1"/>
  <c r="N556" i="15" s="1"/>
  <c r="N551" i="15" s="1"/>
  <c r="N546" i="15" s="1"/>
  <c r="N541" i="15" s="1"/>
  <c r="N536" i="15" s="1"/>
  <c r="N531" i="15" s="1"/>
  <c r="N526" i="15" s="1"/>
  <c r="N521" i="15" s="1"/>
  <c r="N516" i="15" s="1"/>
  <c r="N511" i="15" s="1"/>
  <c r="N506" i="15" s="1"/>
  <c r="N501" i="15" s="1"/>
  <c r="N496" i="15" s="1"/>
  <c r="N491" i="15" s="1"/>
  <c r="N486" i="15" s="1"/>
  <c r="N481" i="15" s="1"/>
  <c r="N476" i="15" s="1"/>
  <c r="N471" i="15" s="1"/>
  <c r="N466" i="15" s="1"/>
  <c r="N461" i="15" s="1"/>
  <c r="N456" i="15" s="1"/>
  <c r="O681" i="15"/>
  <c r="P681" i="15"/>
  <c r="P676" i="15" s="1"/>
  <c r="P671" i="15" s="1"/>
  <c r="P666" i="15" s="1"/>
  <c r="P661" i="15" s="1"/>
  <c r="P656" i="15" s="1"/>
  <c r="P651" i="15" s="1"/>
  <c r="P646" i="15" s="1"/>
  <c r="P641" i="15" s="1"/>
  <c r="P636" i="15" s="1"/>
  <c r="P631" i="15" s="1"/>
  <c r="P626" i="15" s="1"/>
  <c r="P621" i="15" s="1"/>
  <c r="P616" i="15" s="1"/>
  <c r="P611" i="15" s="1"/>
  <c r="P606" i="15" s="1"/>
  <c r="P601" i="15" s="1"/>
  <c r="P596" i="15" s="1"/>
  <c r="P591" i="15" s="1"/>
  <c r="P586" i="15" s="1"/>
  <c r="P581" i="15" s="1"/>
  <c r="P576" i="15" s="1"/>
  <c r="P571" i="15" s="1"/>
  <c r="P566" i="15" s="1"/>
  <c r="P561" i="15" s="1"/>
  <c r="P556" i="15" s="1"/>
  <c r="P551" i="15" s="1"/>
  <c r="P546" i="15" s="1"/>
  <c r="P541" i="15" s="1"/>
  <c r="P536" i="15" s="1"/>
  <c r="P531" i="15" s="1"/>
  <c r="P526" i="15" s="1"/>
  <c r="P521" i="15" s="1"/>
  <c r="P516" i="15" s="1"/>
  <c r="P511" i="15" s="1"/>
  <c r="P506" i="15" s="1"/>
  <c r="P501" i="15" s="1"/>
  <c r="P496" i="15" s="1"/>
  <c r="P491" i="15" s="1"/>
  <c r="P486" i="15" s="1"/>
  <c r="P481" i="15" s="1"/>
  <c r="P476" i="15" s="1"/>
  <c r="P471" i="15" s="1"/>
  <c r="P466" i="15" s="1"/>
  <c r="P461" i="15" s="1"/>
  <c r="P456" i="15" s="1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N677" i="15" s="1"/>
  <c r="N672" i="15" s="1"/>
  <c r="N667" i="15" s="1"/>
  <c r="N662" i="15" s="1"/>
  <c r="N657" i="15" s="1"/>
  <c r="N652" i="15" s="1"/>
  <c r="N647" i="15" s="1"/>
  <c r="N642" i="15" s="1"/>
  <c r="N637" i="15" s="1"/>
  <c r="N632" i="15" s="1"/>
  <c r="N627" i="15" s="1"/>
  <c r="N622" i="15" s="1"/>
  <c r="N617" i="15" s="1"/>
  <c r="N612" i="15" s="1"/>
  <c r="N607" i="15" s="1"/>
  <c r="N602" i="15" s="1"/>
  <c r="N597" i="15" s="1"/>
  <c r="N592" i="15" s="1"/>
  <c r="N587" i="15" s="1"/>
  <c r="N582" i="15" s="1"/>
  <c r="N577" i="15" s="1"/>
  <c r="N572" i="15" s="1"/>
  <c r="N567" i="15" s="1"/>
  <c r="N562" i="15" s="1"/>
  <c r="N557" i="15" s="1"/>
  <c r="N552" i="15" s="1"/>
  <c r="N547" i="15" s="1"/>
  <c r="N542" i="15" s="1"/>
  <c r="N537" i="15" s="1"/>
  <c r="N532" i="15" s="1"/>
  <c r="N527" i="15" s="1"/>
  <c r="N522" i="15" s="1"/>
  <c r="N517" i="15" s="1"/>
  <c r="N512" i="15" s="1"/>
  <c r="N507" i="15" s="1"/>
  <c r="N502" i="15" s="1"/>
  <c r="N497" i="15" s="1"/>
  <c r="N492" i="15" s="1"/>
  <c r="N487" i="15" s="1"/>
  <c r="N482" i="15" s="1"/>
  <c r="N477" i="15" s="1"/>
  <c r="N472" i="15" s="1"/>
  <c r="N467" i="15" s="1"/>
  <c r="N462" i="15" s="1"/>
  <c r="N457" i="15" s="1"/>
  <c r="O682" i="15"/>
  <c r="P682" i="15"/>
  <c r="P677" i="15" s="1"/>
  <c r="P672" i="15" s="1"/>
  <c r="P667" i="15" s="1"/>
  <c r="P662" i="15" s="1"/>
  <c r="P657" i="15" s="1"/>
  <c r="P652" i="15" s="1"/>
  <c r="P647" i="15" s="1"/>
  <c r="P642" i="15" s="1"/>
  <c r="P637" i="15" s="1"/>
  <c r="P632" i="15" s="1"/>
  <c r="P627" i="15" s="1"/>
  <c r="P622" i="15" s="1"/>
  <c r="P617" i="15" s="1"/>
  <c r="P612" i="15" s="1"/>
  <c r="P607" i="15" s="1"/>
  <c r="P602" i="15" s="1"/>
  <c r="P597" i="15" s="1"/>
  <c r="P592" i="15" s="1"/>
  <c r="P587" i="15" s="1"/>
  <c r="P582" i="15" s="1"/>
  <c r="P577" i="15" s="1"/>
  <c r="P572" i="15" s="1"/>
  <c r="P567" i="15" s="1"/>
  <c r="P562" i="15" s="1"/>
  <c r="P557" i="15" s="1"/>
  <c r="P552" i="15" s="1"/>
  <c r="P547" i="15" s="1"/>
  <c r="P542" i="15" s="1"/>
  <c r="P537" i="15" s="1"/>
  <c r="P532" i="15" s="1"/>
  <c r="P527" i="15" s="1"/>
  <c r="P522" i="15" s="1"/>
  <c r="P517" i="15" s="1"/>
  <c r="P512" i="15" s="1"/>
  <c r="P507" i="15" s="1"/>
  <c r="P502" i="15" s="1"/>
  <c r="P497" i="15" s="1"/>
  <c r="P492" i="15" s="1"/>
  <c r="P487" i="15" s="1"/>
  <c r="P482" i="15" s="1"/>
  <c r="P477" i="15" s="1"/>
  <c r="P472" i="15" s="1"/>
  <c r="P467" i="15" s="1"/>
  <c r="P462" i="15" s="1"/>
  <c r="P457" i="15" s="1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N678" i="15" s="1"/>
  <c r="N673" i="15" s="1"/>
  <c r="N668" i="15" s="1"/>
  <c r="N663" i="15" s="1"/>
  <c r="N658" i="15" s="1"/>
  <c r="N653" i="15" s="1"/>
  <c r="N648" i="15" s="1"/>
  <c r="N643" i="15" s="1"/>
  <c r="N638" i="15" s="1"/>
  <c r="N633" i="15" s="1"/>
  <c r="N628" i="15" s="1"/>
  <c r="N623" i="15" s="1"/>
  <c r="N618" i="15" s="1"/>
  <c r="N613" i="15" s="1"/>
  <c r="N608" i="15" s="1"/>
  <c r="N603" i="15" s="1"/>
  <c r="N598" i="15" s="1"/>
  <c r="N593" i="15" s="1"/>
  <c r="N588" i="15" s="1"/>
  <c r="N583" i="15" s="1"/>
  <c r="N578" i="15" s="1"/>
  <c r="N573" i="15" s="1"/>
  <c r="N568" i="15" s="1"/>
  <c r="N563" i="15" s="1"/>
  <c r="N558" i="15" s="1"/>
  <c r="N553" i="15" s="1"/>
  <c r="N548" i="15" s="1"/>
  <c r="N543" i="15" s="1"/>
  <c r="N538" i="15" s="1"/>
  <c r="N533" i="15" s="1"/>
  <c r="N528" i="15" s="1"/>
  <c r="N523" i="15" s="1"/>
  <c r="N518" i="15" s="1"/>
  <c r="N513" i="15" s="1"/>
  <c r="N508" i="15" s="1"/>
  <c r="N503" i="15" s="1"/>
  <c r="N498" i="15" s="1"/>
  <c r="N493" i="15" s="1"/>
  <c r="N488" i="15" s="1"/>
  <c r="N483" i="15" s="1"/>
  <c r="N478" i="15" s="1"/>
  <c r="N473" i="15" s="1"/>
  <c r="N468" i="15" s="1"/>
  <c r="N463" i="15" s="1"/>
  <c r="N458" i="15" s="1"/>
  <c r="O683" i="15"/>
  <c r="P683" i="15"/>
  <c r="P678" i="15" s="1"/>
  <c r="P673" i="15" s="1"/>
  <c r="P668" i="15" s="1"/>
  <c r="P663" i="15" s="1"/>
  <c r="P658" i="15" s="1"/>
  <c r="P653" i="15" s="1"/>
  <c r="P648" i="15" s="1"/>
  <c r="P643" i="15" s="1"/>
  <c r="P638" i="15" s="1"/>
  <c r="P633" i="15" s="1"/>
  <c r="P628" i="15" s="1"/>
  <c r="P623" i="15" s="1"/>
  <c r="P618" i="15" s="1"/>
  <c r="P613" i="15" s="1"/>
  <c r="P608" i="15" s="1"/>
  <c r="P603" i="15" s="1"/>
  <c r="P598" i="15" s="1"/>
  <c r="P593" i="15" s="1"/>
  <c r="P588" i="15" s="1"/>
  <c r="P583" i="15" s="1"/>
  <c r="P578" i="15" s="1"/>
  <c r="P573" i="15" s="1"/>
  <c r="P568" i="15" s="1"/>
  <c r="P563" i="15" s="1"/>
  <c r="P558" i="15" s="1"/>
  <c r="P553" i="15" s="1"/>
  <c r="P548" i="15" s="1"/>
  <c r="P543" i="15" s="1"/>
  <c r="P538" i="15" s="1"/>
  <c r="P533" i="15" s="1"/>
  <c r="P528" i="15" s="1"/>
  <c r="P523" i="15" s="1"/>
  <c r="P518" i="15" s="1"/>
  <c r="P513" i="15" s="1"/>
  <c r="P508" i="15" s="1"/>
  <c r="P503" i="15" s="1"/>
  <c r="P498" i="15" s="1"/>
  <c r="P493" i="15" s="1"/>
  <c r="P488" i="15" s="1"/>
  <c r="P483" i="15" s="1"/>
  <c r="P478" i="15" s="1"/>
  <c r="P473" i="15" s="1"/>
  <c r="P468" i="15" s="1"/>
  <c r="P463" i="15" s="1"/>
  <c r="P458" i="15" s="1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N679" i="15" s="1"/>
  <c r="N674" i="15" s="1"/>
  <c r="N669" i="15" s="1"/>
  <c r="N664" i="15" s="1"/>
  <c r="N659" i="15" s="1"/>
  <c r="N654" i="15" s="1"/>
  <c r="N649" i="15" s="1"/>
  <c r="N644" i="15" s="1"/>
  <c r="N639" i="15" s="1"/>
  <c r="N634" i="15" s="1"/>
  <c r="N629" i="15" s="1"/>
  <c r="N624" i="15" s="1"/>
  <c r="N619" i="15" s="1"/>
  <c r="N614" i="15" s="1"/>
  <c r="N609" i="15" s="1"/>
  <c r="N604" i="15" s="1"/>
  <c r="N599" i="15" s="1"/>
  <c r="N594" i="15" s="1"/>
  <c r="N589" i="15" s="1"/>
  <c r="N584" i="15" s="1"/>
  <c r="N579" i="15" s="1"/>
  <c r="N574" i="15" s="1"/>
  <c r="N569" i="15" s="1"/>
  <c r="N564" i="15" s="1"/>
  <c r="N559" i="15" s="1"/>
  <c r="N554" i="15" s="1"/>
  <c r="N549" i="15" s="1"/>
  <c r="N544" i="15" s="1"/>
  <c r="N539" i="15" s="1"/>
  <c r="N534" i="15" s="1"/>
  <c r="N529" i="15" s="1"/>
  <c r="N524" i="15" s="1"/>
  <c r="N519" i="15" s="1"/>
  <c r="N514" i="15" s="1"/>
  <c r="N509" i="15" s="1"/>
  <c r="N504" i="15" s="1"/>
  <c r="N499" i="15" s="1"/>
  <c r="N494" i="15" s="1"/>
  <c r="N489" i="15" s="1"/>
  <c r="N484" i="15" s="1"/>
  <c r="N479" i="15" s="1"/>
  <c r="N474" i="15" s="1"/>
  <c r="N469" i="15" s="1"/>
  <c r="N464" i="15" s="1"/>
  <c r="N459" i="15" s="1"/>
  <c r="N454" i="15" s="1"/>
  <c r="O684" i="15"/>
  <c r="P684" i="15"/>
  <c r="P679" i="15" s="1"/>
  <c r="P674" i="15" s="1"/>
  <c r="P669" i="15" s="1"/>
  <c r="P664" i="15" s="1"/>
  <c r="P659" i="15" s="1"/>
  <c r="P654" i="15" s="1"/>
  <c r="P649" i="15" s="1"/>
  <c r="P644" i="15" s="1"/>
  <c r="P639" i="15" s="1"/>
  <c r="P634" i="15" s="1"/>
  <c r="P629" i="15" s="1"/>
  <c r="P624" i="15" s="1"/>
  <c r="P619" i="15" s="1"/>
  <c r="P614" i="15" s="1"/>
  <c r="P609" i="15" s="1"/>
  <c r="P604" i="15" s="1"/>
  <c r="P599" i="15" s="1"/>
  <c r="P594" i="15" s="1"/>
  <c r="P589" i="15" s="1"/>
  <c r="P584" i="15" s="1"/>
  <c r="P579" i="15" s="1"/>
  <c r="P574" i="15" s="1"/>
  <c r="P569" i="15" s="1"/>
  <c r="P564" i="15" s="1"/>
  <c r="P559" i="15" s="1"/>
  <c r="P554" i="15" s="1"/>
  <c r="P549" i="15" s="1"/>
  <c r="P544" i="15" s="1"/>
  <c r="P539" i="15" s="1"/>
  <c r="P534" i="15" s="1"/>
  <c r="P529" i="15" s="1"/>
  <c r="P524" i="15" s="1"/>
  <c r="P519" i="15" s="1"/>
  <c r="P514" i="15" s="1"/>
  <c r="P509" i="15" s="1"/>
  <c r="P504" i="15" s="1"/>
  <c r="P499" i="15" s="1"/>
  <c r="P494" i="15" s="1"/>
  <c r="P489" i="15" s="1"/>
  <c r="P484" i="15" s="1"/>
  <c r="P479" i="15" s="1"/>
  <c r="P474" i="15" s="1"/>
  <c r="P469" i="15" s="1"/>
  <c r="P464" i="15" s="1"/>
  <c r="P459" i="15" s="1"/>
  <c r="P454" i="15" s="1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N680" i="15" s="1"/>
  <c r="N675" i="15" s="1"/>
  <c r="N670" i="15" s="1"/>
  <c r="N665" i="15" s="1"/>
  <c r="N660" i="15" s="1"/>
  <c r="N655" i="15" s="1"/>
  <c r="N650" i="15" s="1"/>
  <c r="N645" i="15" s="1"/>
  <c r="N640" i="15" s="1"/>
  <c r="N635" i="15" s="1"/>
  <c r="N630" i="15" s="1"/>
  <c r="N625" i="15" s="1"/>
  <c r="N620" i="15" s="1"/>
  <c r="N615" i="15" s="1"/>
  <c r="N610" i="15" s="1"/>
  <c r="N605" i="15" s="1"/>
  <c r="N600" i="15" s="1"/>
  <c r="N595" i="15" s="1"/>
  <c r="N590" i="15" s="1"/>
  <c r="N585" i="15" s="1"/>
  <c r="N580" i="15" s="1"/>
  <c r="N575" i="15" s="1"/>
  <c r="N570" i="15" s="1"/>
  <c r="N565" i="15" s="1"/>
  <c r="N560" i="15" s="1"/>
  <c r="N555" i="15" s="1"/>
  <c r="N550" i="15" s="1"/>
  <c r="N545" i="15" s="1"/>
  <c r="N540" i="15" s="1"/>
  <c r="N535" i="15" s="1"/>
  <c r="N530" i="15" s="1"/>
  <c r="N525" i="15" s="1"/>
  <c r="N520" i="15" s="1"/>
  <c r="N515" i="15" s="1"/>
  <c r="N510" i="15" s="1"/>
  <c r="N505" i="15" s="1"/>
  <c r="N500" i="15" s="1"/>
  <c r="N495" i="15" s="1"/>
  <c r="N490" i="15" s="1"/>
  <c r="N485" i="15" s="1"/>
  <c r="N480" i="15" s="1"/>
  <c r="N475" i="15" s="1"/>
  <c r="N470" i="15" s="1"/>
  <c r="N465" i="15" s="1"/>
  <c r="N460" i="15" s="1"/>
  <c r="N455" i="15" s="1"/>
  <c r="O685" i="15"/>
  <c r="P685" i="15"/>
  <c r="P680" i="15" s="1"/>
  <c r="P675" i="15" s="1"/>
  <c r="P670" i="15" s="1"/>
  <c r="P665" i="15" s="1"/>
  <c r="P660" i="15" s="1"/>
  <c r="P655" i="15" s="1"/>
  <c r="P650" i="15" s="1"/>
  <c r="P645" i="15" s="1"/>
  <c r="P640" i="15" s="1"/>
  <c r="P635" i="15" s="1"/>
  <c r="P630" i="15" s="1"/>
  <c r="P625" i="15" s="1"/>
  <c r="P620" i="15" s="1"/>
  <c r="P615" i="15" s="1"/>
  <c r="P610" i="15" s="1"/>
  <c r="P605" i="15" s="1"/>
  <c r="P600" i="15" s="1"/>
  <c r="P595" i="15" s="1"/>
  <c r="P590" i="15" s="1"/>
  <c r="P585" i="15" s="1"/>
  <c r="P580" i="15" s="1"/>
  <c r="P575" i="15" s="1"/>
  <c r="P570" i="15" s="1"/>
  <c r="P565" i="15" s="1"/>
  <c r="P560" i="15" s="1"/>
  <c r="P555" i="15" s="1"/>
  <c r="P550" i="15" s="1"/>
  <c r="P545" i="15" s="1"/>
  <c r="P540" i="15" s="1"/>
  <c r="P535" i="15" s="1"/>
  <c r="P530" i="15" s="1"/>
  <c r="P525" i="15" s="1"/>
  <c r="P520" i="15" s="1"/>
  <c r="P515" i="15" s="1"/>
  <c r="P510" i="15" s="1"/>
  <c r="P505" i="15" s="1"/>
  <c r="P500" i="15" s="1"/>
  <c r="P495" i="15" s="1"/>
  <c r="P490" i="15" s="1"/>
  <c r="P485" i="15" s="1"/>
  <c r="P480" i="15" s="1"/>
  <c r="P475" i="15" s="1"/>
  <c r="P470" i="15" s="1"/>
  <c r="P465" i="15" s="1"/>
  <c r="P460" i="15" s="1"/>
  <c r="P455" i="15" s="1"/>
  <c r="Q685" i="15"/>
  <c r="R685" i="15"/>
  <c r="S685" i="15"/>
  <c r="T685" i="15"/>
  <c r="S235" i="15" l="1"/>
  <c r="S231" i="15"/>
  <c r="S215" i="15"/>
  <c r="S171" i="15"/>
  <c r="S163" i="15"/>
  <c r="S143" i="15"/>
  <c r="S135" i="15"/>
  <c r="S131" i="15"/>
  <c r="S111" i="15"/>
  <c r="S103" i="15"/>
  <c r="S95" i="15"/>
  <c r="S75" i="15"/>
  <c r="S67" i="15"/>
  <c r="S63" i="15"/>
  <c r="S55" i="15"/>
  <c r="S51" i="15"/>
  <c r="S47" i="15"/>
  <c r="S43" i="15"/>
  <c r="S39" i="15"/>
  <c r="S243" i="15"/>
  <c r="S239" i="15"/>
  <c r="S227" i="15"/>
  <c r="S211" i="15"/>
  <c r="S207" i="15"/>
  <c r="S175" i="15"/>
  <c r="S159" i="15"/>
  <c r="S127" i="15"/>
  <c r="S123" i="15"/>
  <c r="S83" i="15"/>
  <c r="S71" i="15"/>
  <c r="S219" i="15"/>
  <c r="S199" i="15"/>
  <c r="S195" i="15"/>
  <c r="S191" i="15"/>
  <c r="S187" i="15"/>
  <c r="S183" i="15"/>
  <c r="S179" i="15"/>
  <c r="S167" i="15"/>
  <c r="S155" i="15"/>
  <c r="S151" i="15"/>
  <c r="S147" i="15"/>
  <c r="S139" i="15"/>
  <c r="S119" i="15"/>
  <c r="S107" i="15"/>
  <c r="S91" i="15"/>
  <c r="S87" i="15"/>
  <c r="S14" i="15"/>
  <c r="S244" i="15"/>
  <c r="S240" i="15"/>
  <c r="S236" i="15"/>
  <c r="S232" i="15"/>
  <c r="S228" i="15"/>
  <c r="S224" i="15"/>
  <c r="S220" i="15"/>
  <c r="S216" i="15"/>
  <c r="S212" i="15"/>
  <c r="S208" i="15"/>
  <c r="S204" i="15"/>
  <c r="S200" i="15"/>
  <c r="S196" i="15"/>
  <c r="S192" i="15"/>
  <c r="S188" i="15"/>
  <c r="S184" i="15"/>
  <c r="S180" i="15"/>
  <c r="S176" i="15"/>
  <c r="S172" i="15"/>
  <c r="S168" i="15"/>
  <c r="S164" i="15"/>
  <c r="S160" i="15"/>
  <c r="S156" i="15"/>
  <c r="S152" i="15"/>
  <c r="S148" i="15"/>
  <c r="S144" i="15"/>
  <c r="S140" i="15"/>
  <c r="S136" i="15"/>
  <c r="S132" i="15"/>
  <c r="S128" i="15"/>
  <c r="S124" i="15"/>
  <c r="S120" i="15"/>
  <c r="S116" i="15"/>
  <c r="S112" i="15"/>
  <c r="S108" i="15"/>
  <c r="S104" i="15"/>
  <c r="S100" i="15"/>
  <c r="S96" i="15"/>
  <c r="S92" i="15"/>
  <c r="S88" i="15"/>
  <c r="S84" i="15"/>
  <c r="S80" i="15"/>
  <c r="S76" i="15"/>
  <c r="S72" i="15"/>
  <c r="S68" i="15"/>
  <c r="S64" i="15"/>
  <c r="S60" i="15"/>
  <c r="S56" i="15"/>
  <c r="S52" i="15"/>
  <c r="S48" i="15"/>
  <c r="S44" i="15"/>
  <c r="S40" i="15"/>
  <c r="S36" i="15"/>
  <c r="S32" i="15"/>
  <c r="S28" i="15"/>
  <c r="S24" i="15"/>
  <c r="S20" i="15"/>
  <c r="S16" i="15"/>
  <c r="S15" i="15"/>
  <c r="S31" i="15"/>
  <c r="S27" i="15"/>
  <c r="S241" i="15"/>
  <c r="S237" i="15"/>
  <c r="S233" i="15"/>
  <c r="S229" i="15"/>
  <c r="S225" i="15"/>
  <c r="S221" i="15"/>
  <c r="S217" i="15"/>
  <c r="S213" i="15"/>
  <c r="S209" i="15"/>
  <c r="S205" i="15"/>
  <c r="S201" i="15"/>
  <c r="S197" i="15"/>
  <c r="S193" i="15"/>
  <c r="S189" i="15"/>
  <c r="S185" i="15"/>
  <c r="S181" i="15"/>
  <c r="S177" i="15"/>
  <c r="S173" i="15"/>
  <c r="S169" i="15"/>
  <c r="S165" i="15"/>
  <c r="S161" i="15"/>
  <c r="S157" i="15"/>
  <c r="S153" i="15"/>
  <c r="S149" i="15"/>
  <c r="S145" i="15"/>
  <c r="S141" i="15"/>
  <c r="S137" i="15"/>
  <c r="S133" i="15"/>
  <c r="S129" i="15"/>
  <c r="S125" i="15"/>
  <c r="S121" i="15"/>
  <c r="S117" i="15"/>
  <c r="S113" i="15"/>
  <c r="S109" i="15"/>
  <c r="S105" i="15"/>
  <c r="S101" i="15"/>
  <c r="S97" i="15"/>
  <c r="S35" i="15"/>
  <c r="S19" i="15"/>
  <c r="S242" i="15"/>
  <c r="S238" i="15"/>
  <c r="S234" i="15"/>
  <c r="S230" i="15"/>
  <c r="S226" i="15"/>
  <c r="S222" i="15"/>
  <c r="S218" i="15"/>
  <c r="S214" i="15"/>
  <c r="S210" i="15"/>
  <c r="S206" i="15"/>
  <c r="S202" i="15"/>
  <c r="S198" i="15"/>
  <c r="S194" i="15"/>
  <c r="S190" i="15"/>
  <c r="S186" i="15"/>
  <c r="S182" i="15"/>
  <c r="S178" i="15"/>
  <c r="S174" i="15"/>
  <c r="S170" i="15"/>
  <c r="S166" i="15"/>
  <c r="S162" i="15"/>
  <c r="S158" i="15"/>
  <c r="S154" i="15"/>
  <c r="S150" i="15"/>
  <c r="S146" i="15"/>
  <c r="S142" i="15"/>
  <c r="S138" i="15"/>
  <c r="S134" i="15"/>
  <c r="S130" i="15"/>
  <c r="S126" i="15"/>
  <c r="S122" i="15"/>
  <c r="S118" i="15"/>
  <c r="S114" i="15"/>
  <c r="S110" i="15"/>
  <c r="S106" i="15"/>
  <c r="S102" i="15"/>
  <c r="S98" i="15"/>
  <c r="S93" i="15"/>
  <c r="S89" i="15"/>
  <c r="S85" i="15"/>
  <c r="S81" i="15"/>
  <c r="S77" i="15"/>
  <c r="S73" i="15"/>
  <c r="S69" i="15"/>
  <c r="S65" i="15"/>
  <c r="S61" i="15"/>
  <c r="S57" i="15"/>
  <c r="S53" i="15"/>
  <c r="S49" i="15"/>
  <c r="S45" i="15"/>
  <c r="S41" i="15"/>
  <c r="S37" i="15"/>
  <c r="S33" i="15"/>
  <c r="S29" i="15"/>
  <c r="S25" i="15"/>
  <c r="S21" i="15"/>
  <c r="S17" i="15"/>
  <c r="S12" i="15"/>
  <c r="S94" i="15"/>
  <c r="S90" i="15"/>
  <c r="S86" i="15"/>
  <c r="S82" i="15"/>
  <c r="S78" i="15"/>
  <c r="S74" i="15"/>
  <c r="S70" i="15"/>
  <c r="S66" i="15"/>
  <c r="S62" i="15"/>
  <c r="S58" i="15"/>
  <c r="S54" i="15"/>
  <c r="S50" i="15"/>
  <c r="S46" i="15"/>
  <c r="S42" i="15"/>
  <c r="S38" i="15"/>
  <c r="S34" i="15"/>
  <c r="S30" i="15"/>
  <c r="S26" i="15"/>
  <c r="S22" i="15"/>
  <c r="S18" i="15"/>
  <c r="S13" i="15"/>
  <c r="V11" i="9"/>
  <c r="V15" i="9"/>
  <c r="Z10" i="9" l="1"/>
  <c r="Z11" i="9" s="1"/>
  <c r="V13" i="9" s="1"/>
</calcChain>
</file>

<file path=xl/sharedStrings.xml><?xml version="1.0" encoding="utf-8"?>
<sst xmlns="http://schemas.openxmlformats.org/spreadsheetml/2006/main" count="1443" uniqueCount="579">
  <si>
    <t>Kunde</t>
  </si>
  <si>
    <t>Firma:</t>
  </si>
  <si>
    <t>Musterstrasse 12</t>
  </si>
  <si>
    <t>Einkauf:</t>
  </si>
  <si>
    <t>Anonymized Item 18</t>
  </si>
  <si>
    <t>Straße:</t>
  </si>
  <si>
    <t>8000 Zürich</t>
  </si>
  <si>
    <t>E-Mail:</t>
  </si>
  <si>
    <t>Hans Muster</t>
  </si>
  <si>
    <t>PLZ Ort:</t>
  </si>
  <si>
    <t>orders@musterfashion.ch</t>
  </si>
  <si>
    <t>Bexio AU:</t>
  </si>
  <si>
    <t>Liefertermin:</t>
  </si>
  <si>
    <t xml:space="preserve">Datum: </t>
  </si>
  <si>
    <t>Zahlungskonditionen:</t>
  </si>
  <si>
    <t>10 Tage 4% Skonto, 30 Tage netto</t>
  </si>
  <si>
    <t>Mittens/Acc</t>
  </si>
  <si>
    <t>6-12M</t>
  </si>
  <si>
    <t>1-2Y</t>
  </si>
  <si>
    <t>2-4Y</t>
  </si>
  <si>
    <t>4-6Y</t>
  </si>
  <si>
    <t>6-8Y</t>
  </si>
  <si>
    <t>8-10Y</t>
  </si>
  <si>
    <t>10-12Y</t>
  </si>
  <si>
    <t>12-14Y</t>
  </si>
  <si>
    <t>14-16Y</t>
  </si>
  <si>
    <t>Hats/Necks</t>
  </si>
  <si>
    <t>one size</t>
  </si>
  <si>
    <t>2-6Y</t>
  </si>
  <si>
    <t>6-10Y</t>
  </si>
  <si>
    <t>10+Y</t>
  </si>
  <si>
    <t>EK exkl. MWST</t>
  </si>
  <si>
    <t>Shoes</t>
  </si>
  <si>
    <t>22/23</t>
  </si>
  <si>
    <t>24/25</t>
  </si>
  <si>
    <t>26/27</t>
  </si>
  <si>
    <t>28/29</t>
  </si>
  <si>
    <t>30/31</t>
  </si>
  <si>
    <t>32/33</t>
  </si>
  <si>
    <t>34/35</t>
  </si>
  <si>
    <t>36/37</t>
  </si>
  <si>
    <t>38/39</t>
  </si>
  <si>
    <t>40/41</t>
  </si>
  <si>
    <t>Rabatt:</t>
  </si>
  <si>
    <t>Socks/UWear</t>
  </si>
  <si>
    <t>23/26</t>
  </si>
  <si>
    <t>27/30</t>
  </si>
  <si>
    <t>31/34</t>
  </si>
  <si>
    <t>35/38</t>
  </si>
  <si>
    <t>39/42</t>
  </si>
  <si>
    <t>92/104</t>
  </si>
  <si>
    <t>116/128</t>
  </si>
  <si>
    <t>140/152</t>
  </si>
  <si>
    <t>164/176</t>
  </si>
  <si>
    <t>TOTAL exkl MWST:</t>
  </si>
  <si>
    <t>Shoes 20-31</t>
  </si>
  <si>
    <t>Shoes 32-42</t>
  </si>
  <si>
    <t xml:space="preserve">Total Menge: </t>
  </si>
  <si>
    <t>Mini</t>
  </si>
  <si>
    <t>Artikel Nr.</t>
  </si>
  <si>
    <t>Artikel</t>
  </si>
  <si>
    <t>Farbe</t>
  </si>
  <si>
    <t>Kids</t>
  </si>
  <si>
    <t>Total</t>
  </si>
  <si>
    <t>EP</t>
  </si>
  <si>
    <t>UVP</t>
  </si>
  <si>
    <t>Betrag</t>
  </si>
  <si>
    <t>Katalog Seite</t>
  </si>
  <si>
    <t>Anonymized Item 22</t>
  </si>
  <si>
    <t>Anonymized Item 56</t>
  </si>
  <si>
    <t>Anonymized Item 66</t>
  </si>
  <si>
    <t>Anonymized Item 28</t>
  </si>
  <si>
    <t>Anonymized Item 26</t>
  </si>
  <si>
    <t>Anonymized 854 Coronet Blue</t>
  </si>
  <si>
    <t>Anonymized Item 64</t>
  </si>
  <si>
    <t>Anonymized Item 63</t>
  </si>
  <si>
    <t>Anonymized Item 33</t>
  </si>
  <si>
    <t>Anonymized Item 35</t>
  </si>
  <si>
    <t>Hats</t>
  </si>
  <si>
    <t>Anonymized Item 38</t>
  </si>
  <si>
    <t>Anonymized 870 Total Eclipse</t>
  </si>
  <si>
    <t>Anonymized Item 72</t>
  </si>
  <si>
    <t>Anonymized Item 41</t>
  </si>
  <si>
    <t>Anonymized Item 73</t>
  </si>
  <si>
    <t>Anonymized Item 43</t>
  </si>
  <si>
    <t xml:space="preserve">Anonymized 9153 Kalamata </t>
  </si>
  <si>
    <t>Anonymized Item 70</t>
  </si>
  <si>
    <t>Anonymized Item 107</t>
  </si>
  <si>
    <t>Anonymized Item 47</t>
  </si>
  <si>
    <t>Anonymized Item 51</t>
  </si>
  <si>
    <t>Anonymized Item 68</t>
  </si>
  <si>
    <t>Anonymized Item 290</t>
  </si>
  <si>
    <t>Anonymized Item 57</t>
  </si>
  <si>
    <t>Anonymized Item 58</t>
  </si>
  <si>
    <t>Anonymized Item 140</t>
  </si>
  <si>
    <t>Anonymized Item 60</t>
  </si>
  <si>
    <t>Anonymized Item 75</t>
  </si>
  <si>
    <t>Anonymized Item 65</t>
  </si>
  <si>
    <t>Anonymized Item 71</t>
  </si>
  <si>
    <t>Anonymized Item 67</t>
  </si>
  <si>
    <t>Anonymized 7721 Dress Blues</t>
  </si>
  <si>
    <t>Anonymized Item 69</t>
  </si>
  <si>
    <t>Anonymized Item 218</t>
  </si>
  <si>
    <t>Anonymized Item 418</t>
  </si>
  <si>
    <t>Anonymized Item 74</t>
  </si>
  <si>
    <t>Anonymized 7548 Windward Blue</t>
  </si>
  <si>
    <t>Anonymized Item 109</t>
  </si>
  <si>
    <t>Anonymized 9304 Jadeite</t>
  </si>
  <si>
    <t>Anonymized Item 105</t>
  </si>
  <si>
    <t>Anonymized Item 106</t>
  </si>
  <si>
    <t>Anonymized Item 108</t>
  </si>
  <si>
    <t>Anonymized Item 110</t>
  </si>
  <si>
    <t>Anonymized Item 87</t>
  </si>
  <si>
    <t>Anonymized Item 88</t>
  </si>
  <si>
    <t>Anonymized Item 94</t>
  </si>
  <si>
    <t>Mittens</t>
  </si>
  <si>
    <t>Anonymized Item 104</t>
  </si>
  <si>
    <t>Shoes 32-41</t>
  </si>
  <si>
    <t>Anonymized 6071 Lavender Mist</t>
  </si>
  <si>
    <t>Anonymized 7450 Coronet Blue</t>
  </si>
  <si>
    <t>Anonymized Item 175</t>
  </si>
  <si>
    <t>Acc</t>
  </si>
  <si>
    <t>Anonymized Item 225</t>
  </si>
  <si>
    <t>Anonymized 9118 Tea</t>
  </si>
  <si>
    <t>Anonymized Item 407</t>
  </si>
  <si>
    <t>Anonymized Item 446</t>
  </si>
  <si>
    <t>Anonymized Item 398</t>
  </si>
  <si>
    <t>Anonymized Item 224</t>
  </si>
  <si>
    <t>Anonymized Item 399</t>
  </si>
  <si>
    <t>Anonymized Item 404</t>
  </si>
  <si>
    <t>Anonymized Item 120</t>
  </si>
  <si>
    <t>Anonymized Item 124</t>
  </si>
  <si>
    <t>Anonymized Item 125</t>
  </si>
  <si>
    <t>Anonymized Item 129</t>
  </si>
  <si>
    <t>Anonymized Item 133</t>
  </si>
  <si>
    <t>Anonymized Item 135</t>
  </si>
  <si>
    <t>Anonymized Item 137</t>
  </si>
  <si>
    <t>Anonymized Item 139</t>
  </si>
  <si>
    <t>Anonymized Item 141</t>
  </si>
  <si>
    <t>Anonymized Item 145</t>
  </si>
  <si>
    <t>Anonymized Item 147</t>
  </si>
  <si>
    <t>Anonymized 7946 Baja Blue</t>
  </si>
  <si>
    <t>Anonymized Item 415</t>
  </si>
  <si>
    <t>Anonymized Item 458</t>
  </si>
  <si>
    <t>Anonymized Item 406</t>
  </si>
  <si>
    <t>Anonymized 8425 Pool Green</t>
  </si>
  <si>
    <t>Anonymized Item 417</t>
  </si>
  <si>
    <t>Anonymized Item 232</t>
  </si>
  <si>
    <t>Anonymized Item 155</t>
  </si>
  <si>
    <t>Anonymized Item 375</t>
  </si>
  <si>
    <t>Anonymized Item 158</t>
  </si>
  <si>
    <t>Anonymized Item 160</t>
  </si>
  <si>
    <t>Anonymized Item 161</t>
  </si>
  <si>
    <t>Anonymized Item 162</t>
  </si>
  <si>
    <t>Anonymized Item 164</t>
  </si>
  <si>
    <t>Anonymized Item 184</t>
  </si>
  <si>
    <t>Anonymized Item 165</t>
  </si>
  <si>
    <t>Anonymized Item 166</t>
  </si>
  <si>
    <t>Anonymized Item 169</t>
  </si>
  <si>
    <t>Anonymized Item 202</t>
  </si>
  <si>
    <t>Anonymized Item 172</t>
  </si>
  <si>
    <t>Anonymized Item 174</t>
  </si>
  <si>
    <t>Anonymized Item 176</t>
  </si>
  <si>
    <t>Anonymized Item 178</t>
  </si>
  <si>
    <t>Anonymized Item 180</t>
  </si>
  <si>
    <t>Anonymized Item 183</t>
  </si>
  <si>
    <t>Anonymized Item 186</t>
  </si>
  <si>
    <t>Anonymized Item 188</t>
  </si>
  <si>
    <t>Anonymized Item 190</t>
  </si>
  <si>
    <t>Anonymized Item 193</t>
  </si>
  <si>
    <t>Anonymized Item 197</t>
  </si>
  <si>
    <t>Anonymized Item 195</t>
  </si>
  <si>
    <t>Anonymized Item 200</t>
  </si>
  <si>
    <t>Anonymized Item 206</t>
  </si>
  <si>
    <t>Anonymized Item 456</t>
  </si>
  <si>
    <t>Anonymized 9651 Dark Forest</t>
  </si>
  <si>
    <t>Anonymized Item 419</t>
  </si>
  <si>
    <t>Anonymized 9899 Gras Green</t>
  </si>
  <si>
    <t>Anonymized Item 214</t>
  </si>
  <si>
    <t>Anonymized Item 220</t>
  </si>
  <si>
    <t>Anonymized Item 222</t>
  </si>
  <si>
    <t>Anonymized 8025 Quetzal Green</t>
  </si>
  <si>
    <t>Anonymized Item 227</t>
  </si>
  <si>
    <t>Anonymized Item 230</t>
  </si>
  <si>
    <t>Anonymized Item 233</t>
  </si>
  <si>
    <t>Anonymized 6685 Violet Tulle</t>
  </si>
  <si>
    <t>Anonymized Item 426</t>
  </si>
  <si>
    <t>Anonymized Item 463</t>
  </si>
  <si>
    <t>Anonymized Item 237</t>
  </si>
  <si>
    <t>Anonymized Item 388</t>
  </si>
  <si>
    <t>Anonymized 7850 Total Eclipse</t>
  </si>
  <si>
    <t>Anonymized Item 444</t>
  </si>
  <si>
    <t>Anonymized Item 241</t>
  </si>
  <si>
    <t>Anonymized Item 244</t>
  </si>
  <si>
    <t>Anonymized Item 246</t>
  </si>
  <si>
    <t>Anonymized Item 248</t>
  </si>
  <si>
    <t>Anonymized Item 254</t>
  </si>
  <si>
    <t>Anonymized Item 420</t>
  </si>
  <si>
    <t>Anonymized Item 259</t>
  </si>
  <si>
    <t>Anonymized Item 378</t>
  </si>
  <si>
    <t>Anonymized Item 454</t>
  </si>
  <si>
    <t>Anonymized 7334 Persian Jewel</t>
  </si>
  <si>
    <t>Anonymized Item 448</t>
  </si>
  <si>
    <t>Anonymized Item 450</t>
  </si>
  <si>
    <t>Anonymized Item 452</t>
  </si>
  <si>
    <t>Anonymized Item 264</t>
  </si>
  <si>
    <t>Anonymized Item 268</t>
  </si>
  <si>
    <t>Anonymized Item 371</t>
  </si>
  <si>
    <t>Anonymized Item 273</t>
  </si>
  <si>
    <t>Anonymized Item 275</t>
  </si>
  <si>
    <t>Anonymized Item 280</t>
  </si>
  <si>
    <t>Anonymized Item 285</t>
  </si>
  <si>
    <t>Anonymized Item 287</t>
  </si>
  <si>
    <t>Anonymized Item 288</t>
  </si>
  <si>
    <t>Anonymized Item 292</t>
  </si>
  <si>
    <t>Anonymized Item 298</t>
  </si>
  <si>
    <t>Anonymized Item 300</t>
  </si>
  <si>
    <t>Anonymized Item 310</t>
  </si>
  <si>
    <t>Anonymized Item 304</t>
  </si>
  <si>
    <t>Anonymized Item 361</t>
  </si>
  <si>
    <t>Anonymized Item 312</t>
  </si>
  <si>
    <t>Anonymized Item 314</t>
  </si>
  <si>
    <t>Anonymized Item 318</t>
  </si>
  <si>
    <t>Anonymized Item 322</t>
  </si>
  <si>
    <t>Anonymized Item 325</t>
  </si>
  <si>
    <t>Anonymized Item 329</t>
  </si>
  <si>
    <t>Anonymized Item 337</t>
  </si>
  <si>
    <t>Anonymized Item 339</t>
  </si>
  <si>
    <t>Anonymized Item 341</t>
  </si>
  <si>
    <t>Anonymized Item 342</t>
  </si>
  <si>
    <t>Anonymized Item 343</t>
  </si>
  <si>
    <t>Anonymized Item 345</t>
  </si>
  <si>
    <t>Anonymized Item 347</t>
  </si>
  <si>
    <t>Anonymized Item 349</t>
  </si>
  <si>
    <t>Anonymized Item 351</t>
  </si>
  <si>
    <t>Anonymized Item 354</t>
  </si>
  <si>
    <t>Anonymized Item 355</t>
  </si>
  <si>
    <t>Anonymized Item 358</t>
  </si>
  <si>
    <t>Anonymized Item 360</t>
  </si>
  <si>
    <t>Anonymized Item 363</t>
  </si>
  <si>
    <t>Anonymized Item 365</t>
  </si>
  <si>
    <t>Anonymized Item 370</t>
  </si>
  <si>
    <t>Anonymized Item 372</t>
  </si>
  <si>
    <t>Anonymized Item 384</t>
  </si>
  <si>
    <t>Anonymized Item 390</t>
  </si>
  <si>
    <t>Anonymized Item 387</t>
  </si>
  <si>
    <t>Anonymized Item 392</t>
  </si>
  <si>
    <t>Anonymized Item 394</t>
  </si>
  <si>
    <t>Anonymized Item 396</t>
  </si>
  <si>
    <t>Anonymized Sandals</t>
  </si>
  <si>
    <t>Anonymized Item 405</t>
  </si>
  <si>
    <t>Anonymized Item 414</t>
  </si>
  <si>
    <t>Anonymized 2808 Morel</t>
  </si>
  <si>
    <t>Anonymized Item 424</t>
  </si>
  <si>
    <t>Anonymized Item 421</t>
  </si>
  <si>
    <t>Anonymized Item 422</t>
  </si>
  <si>
    <t>Anonymized Item 432</t>
  </si>
  <si>
    <t>Anonymized Item 440</t>
  </si>
  <si>
    <t>Anonymized Item 434</t>
  </si>
  <si>
    <t>Anonymized Item 445</t>
  </si>
  <si>
    <t>Anonymized Item 453</t>
  </si>
  <si>
    <t>Anonymized 0%</t>
  </si>
  <si>
    <t>Anonymized Item 464</t>
  </si>
  <si>
    <t>Anonymized 5%</t>
  </si>
  <si>
    <t>Anonymized Item 465</t>
  </si>
  <si>
    <t>Anonymized 8%</t>
  </si>
  <si>
    <t>Anonymized Item 466</t>
  </si>
  <si>
    <t>Anonymized 12%</t>
  </si>
  <si>
    <t>Diese bitte nie verändern</t>
  </si>
  <si>
    <t>Packliste  Color Kids FS 2026</t>
  </si>
  <si>
    <t>Kunde:</t>
  </si>
  <si>
    <t>UVP CHF</t>
  </si>
  <si>
    <t>Muster Fashion AG</t>
  </si>
  <si>
    <t>Anonymized 161 Phantom</t>
  </si>
  <si>
    <t>Anonymized Item 19</t>
  </si>
  <si>
    <t>Anonymized Item 20</t>
  </si>
  <si>
    <t>Anonymized 772 Dress Blues</t>
  </si>
  <si>
    <t>Anonymized Item 21</t>
  </si>
  <si>
    <t>Anonymized Item 23</t>
  </si>
  <si>
    <t>Anonymized Item 24</t>
  </si>
  <si>
    <t>Anonymized 563 Honeysuckle</t>
  </si>
  <si>
    <t>Anonymized Item 25</t>
  </si>
  <si>
    <t>Anonymized Item 27</t>
  </si>
  <si>
    <t>Anonymized 663 Lavender Mist</t>
  </si>
  <si>
    <t>Anonymized Item 29</t>
  </si>
  <si>
    <t>Anonymized Item 30</t>
  </si>
  <si>
    <t>Anonymized Item 31</t>
  </si>
  <si>
    <t>Anonymized Item 32</t>
  </si>
  <si>
    <t>Anonymized Item 34</t>
  </si>
  <si>
    <t>Anonymized Item 36</t>
  </si>
  <si>
    <t>Anonymized Item 37</t>
  </si>
  <si>
    <t>Anonymized Item 39</t>
  </si>
  <si>
    <t>Anonymized 535 Festival Fuchsia</t>
  </si>
  <si>
    <t>Anonymized Item 40</t>
  </si>
  <si>
    <t>Anonymized 575 Ash Rose</t>
  </si>
  <si>
    <t>Anonymized Item 42</t>
  </si>
  <si>
    <t>Anonymized 1191 Black</t>
  </si>
  <si>
    <t>Anonymized Item 44</t>
  </si>
  <si>
    <t>Anonymized 5005 Foxglove</t>
  </si>
  <si>
    <t>Anonymized Item 45</t>
  </si>
  <si>
    <t>Anonymized Item 46</t>
  </si>
  <si>
    <t>Anonymized 794 Ensign Blue</t>
  </si>
  <si>
    <t>Anonymized Item 48</t>
  </si>
  <si>
    <t>Anonymized 140 Black</t>
  </si>
  <si>
    <t>Anonymized Item 49</t>
  </si>
  <si>
    <t>Anonymized Item 50</t>
  </si>
  <si>
    <t>Anonymized Item 52</t>
  </si>
  <si>
    <t>Anonymized Item 53</t>
  </si>
  <si>
    <t>Anonymized Item 54</t>
  </si>
  <si>
    <t>Anonymized Item 55</t>
  </si>
  <si>
    <t>Anonymized Item 59</t>
  </si>
  <si>
    <t>Anonymized Item 61</t>
  </si>
  <si>
    <t>Anonymized Item 62</t>
  </si>
  <si>
    <t>Anonymized 1880 Ebony</t>
  </si>
  <si>
    <t>Anonymized Item 76</t>
  </si>
  <si>
    <t>Anonymized 3957 Spectra Yellow</t>
  </si>
  <si>
    <t>Anonymized Item 77</t>
  </si>
  <si>
    <t>Anonymized Item 78</t>
  </si>
  <si>
    <t>Anonymized 6716 Purple Rose</t>
  </si>
  <si>
    <t>Anonymized Item 79</t>
  </si>
  <si>
    <t>Anonymized Item 80</t>
  </si>
  <si>
    <t>Anonymized Item 81</t>
  </si>
  <si>
    <t>Anonymized Item 82</t>
  </si>
  <si>
    <t>Anonymized Item 83</t>
  </si>
  <si>
    <t>Anonymized Item 84</t>
  </si>
  <si>
    <t>Anonymized Item 85</t>
  </si>
  <si>
    <t>Anonymized Item 86</t>
  </si>
  <si>
    <t>Anonymized Item 89</t>
  </si>
  <si>
    <t>Anonymized Item 90</t>
  </si>
  <si>
    <t>Anonymized Item 91</t>
  </si>
  <si>
    <t>Anonymized Item 92</t>
  </si>
  <si>
    <t>Anonymized Item 93</t>
  </si>
  <si>
    <t>Anonymized Item 95</t>
  </si>
  <si>
    <t>Anonymized Item 96</t>
  </si>
  <si>
    <t>Anonymized Item 97</t>
  </si>
  <si>
    <t>Anonymized Item 98</t>
  </si>
  <si>
    <t>Anonymized Item 99</t>
  </si>
  <si>
    <t>Anonymized Item 100</t>
  </si>
  <si>
    <t>Anonymized Item 101</t>
  </si>
  <si>
    <t>Anonymized Item 102</t>
  </si>
  <si>
    <t>Anonymized Item 103</t>
  </si>
  <si>
    <t>Anonymized Item 111</t>
  </si>
  <si>
    <t>Anonymized Item 112</t>
  </si>
  <si>
    <t>Anonymized 4202 Zephyr</t>
  </si>
  <si>
    <t>Anonymized Item 113</t>
  </si>
  <si>
    <t>Anonymized 5021 Pale Lilac</t>
  </si>
  <si>
    <t>Anonymized Item 114</t>
  </si>
  <si>
    <t>Anonymized 6149 Marlin</t>
  </si>
  <si>
    <t>Anonymized Item 115</t>
  </si>
  <si>
    <t>Anonymized 7054 Nouvean Navy</t>
  </si>
  <si>
    <t>Anonymized Item 116</t>
  </si>
  <si>
    <t>Anonymized 7490 Placid blue</t>
  </si>
  <si>
    <t>Anonymized Item 117</t>
  </si>
  <si>
    <t>Anonymized Item 118</t>
  </si>
  <si>
    <t>Anonymized Item 119</t>
  </si>
  <si>
    <t>Anonymized Item 121</t>
  </si>
  <si>
    <t>Anonymized Item 122</t>
  </si>
  <si>
    <t>Anonymized Item 123</t>
  </si>
  <si>
    <t>Anonymized Item 126</t>
  </si>
  <si>
    <t>Anonymized Item 127</t>
  </si>
  <si>
    <t>Anonymized Item 128</t>
  </si>
  <si>
    <t>Anonymized Item 130</t>
  </si>
  <si>
    <t>Anonymized Item 131</t>
  </si>
  <si>
    <t>Anonymized Item 132</t>
  </si>
  <si>
    <t>Anonymized Item 134</t>
  </si>
  <si>
    <t>Anonymized Item 136</t>
  </si>
  <si>
    <t>Anonymized Item 138</t>
  </si>
  <si>
    <t>Anonymized Item 142</t>
  </si>
  <si>
    <t>Anonymized Item 143</t>
  </si>
  <si>
    <t>Anonymized Item 144</t>
  </si>
  <si>
    <t>Anonymized Item 146</t>
  </si>
  <si>
    <t>Anonymized 3741 Sunny Lime</t>
  </si>
  <si>
    <t>Anonymized Item 148</t>
  </si>
  <si>
    <t>Anonymized 5381 Pink Glo</t>
  </si>
  <si>
    <t>Anonymized Item 149</t>
  </si>
  <si>
    <t>Anonymized Item 150</t>
  </si>
  <si>
    <t>Anonymized 6820 Iris Orchid</t>
  </si>
  <si>
    <t>Anonymized Item 151</t>
  </si>
  <si>
    <t>Anonymized Item 152</t>
  </si>
  <si>
    <t>Anonymized 3810 Tender Yellow</t>
  </si>
  <si>
    <t>Anonymized Item 153</t>
  </si>
  <si>
    <t>Anonymized Item 154</t>
  </si>
  <si>
    <t>Anonymized Item 156</t>
  </si>
  <si>
    <t>Anonymized Item 157</t>
  </si>
  <si>
    <t>Anonymized 3825 Popcorn</t>
  </si>
  <si>
    <t>Anonymized Item 159</t>
  </si>
  <si>
    <t>Anonymized 4173 Cotton Candy</t>
  </si>
  <si>
    <t>Anonymized Item 163</t>
  </si>
  <si>
    <t>Anonymized Item 167</t>
  </si>
  <si>
    <t>Anonymized 5036 Peach Pink</t>
  </si>
  <si>
    <t>Anonymized Item 168</t>
  </si>
  <si>
    <t>Anonymized Item 170</t>
  </si>
  <si>
    <t>Anonymized Item 171</t>
  </si>
  <si>
    <t>Anonymized Item 173</t>
  </si>
  <si>
    <t>Anonymized Item 177</t>
  </si>
  <si>
    <t>Anonymized Item 179</t>
  </si>
  <si>
    <t>Anonymized Item 181</t>
  </si>
  <si>
    <t>Anonymized Item 182</t>
  </si>
  <si>
    <t>Anonymized Item 185</t>
  </si>
  <si>
    <t>Anonymized Item 187</t>
  </si>
  <si>
    <t>Anonymized Item 189</t>
  </si>
  <si>
    <t>Anonymized Item 191</t>
  </si>
  <si>
    <t>Anonymized Item 192</t>
  </si>
  <si>
    <t>Anonymized Item 194</t>
  </si>
  <si>
    <t xml:space="preserve">Anonymized 6056 Lilac Breeze </t>
  </si>
  <si>
    <t>Anonymized Item 196</t>
  </si>
  <si>
    <t>Anonymized Item 198</t>
  </si>
  <si>
    <t>Anonymized Item 199</t>
  </si>
  <si>
    <t>Anonymized 3257 Sun Orange</t>
  </si>
  <si>
    <t>Anonymized Item 201</t>
  </si>
  <si>
    <t>Anonymized Item 203</t>
  </si>
  <si>
    <t>Anonymized Item 204</t>
  </si>
  <si>
    <t>Anonymized Item 205</t>
  </si>
  <si>
    <t>Anonymized Item 207</t>
  </si>
  <si>
    <t>Anonymized Item 208</t>
  </si>
  <si>
    <t>Anonymized Item 209</t>
  </si>
  <si>
    <t>Anonymized Item 210</t>
  </si>
  <si>
    <t>Anonymized Item 211</t>
  </si>
  <si>
    <t>Anonymized Item 212</t>
  </si>
  <si>
    <t>Anonymized Item 213</t>
  </si>
  <si>
    <t>Anonymized Item 215</t>
  </si>
  <si>
    <t>Anonymized Item 216</t>
  </si>
  <si>
    <t>Anonymized Item 217</t>
  </si>
  <si>
    <t>Anonymized Item 219</t>
  </si>
  <si>
    <t>Anonymized Item 221</t>
  </si>
  <si>
    <t>Anonymized Item 223</t>
  </si>
  <si>
    <t>Anonymized Item 226</t>
  </si>
  <si>
    <t>Anonymized Item 228</t>
  </si>
  <si>
    <t>Anonymized Item 229</t>
  </si>
  <si>
    <t>Anonymized Item 231</t>
  </si>
  <si>
    <t>Anonymized 2159 Seagrass</t>
  </si>
  <si>
    <t>Anonymized Item 234</t>
  </si>
  <si>
    <t>Anonymized Item 235</t>
  </si>
  <si>
    <t>Anonymized 1161 Snow White</t>
  </si>
  <si>
    <t>Anonymized Item 236</t>
  </si>
  <si>
    <t>Anonymized Item 238</t>
  </si>
  <si>
    <t>Anonymized Item 239</t>
  </si>
  <si>
    <t>Anonymized Item 240</t>
  </si>
  <si>
    <t>Anonymized Item 242</t>
  </si>
  <si>
    <t>Anonymized Item 243</t>
  </si>
  <si>
    <t>Anonymized Item 245</t>
  </si>
  <si>
    <t>Anonymized Item 247</t>
  </si>
  <si>
    <t>Anonymized 1108 Castle Wall</t>
  </si>
  <si>
    <t>Anonymized Item 249</t>
  </si>
  <si>
    <t>Anonymized Item 250</t>
  </si>
  <si>
    <t>Anonymized Item 251</t>
  </si>
  <si>
    <t>Anonymized Item 252</t>
  </si>
  <si>
    <t>Anonymized Item 253</t>
  </si>
  <si>
    <t>Anonymized 1919 Phantom</t>
  </si>
  <si>
    <t>Anonymized Item 255</t>
  </si>
  <si>
    <t>Anonymized Item 256</t>
  </si>
  <si>
    <t>Anonymized 2160 Coca Mocha</t>
  </si>
  <si>
    <t>Anonymized Item 257</t>
  </si>
  <si>
    <t>Anonymized Item 258</t>
  </si>
  <si>
    <t>Anonymized Item 260</t>
  </si>
  <si>
    <t>Anonymized 7880 Surf The Web</t>
  </si>
  <si>
    <t>Anonymized Item 261</t>
  </si>
  <si>
    <t>Anonymized Item 262</t>
  </si>
  <si>
    <t>Anonymized Item 263</t>
  </si>
  <si>
    <t>Anonymized 3431 Peach Sorbet</t>
  </si>
  <si>
    <t>Anonymized Item 265</t>
  </si>
  <si>
    <t>Anonymized Item 266</t>
  </si>
  <si>
    <t>Anonymized Item 267</t>
  </si>
  <si>
    <t>Anonymized Item 269</t>
  </si>
  <si>
    <t>Anonymized Item 270</t>
  </si>
  <si>
    <t>Anonymized Item 271</t>
  </si>
  <si>
    <t>Anonymized Item 272</t>
  </si>
  <si>
    <t>Anonymized Item 274</t>
  </si>
  <si>
    <t>Anonymized Item 276</t>
  </si>
  <si>
    <t>Anonymized Item 277</t>
  </si>
  <si>
    <t>Anonymized Item 278</t>
  </si>
  <si>
    <t>Anonymized Item 279</t>
  </si>
  <si>
    <t>Anonymized Item 281</t>
  </si>
  <si>
    <t>Anonymized Item 282</t>
  </si>
  <si>
    <t>Anonymized Item 283</t>
  </si>
  <si>
    <t>Anonymized Item 284</t>
  </si>
  <si>
    <t>Anonymized Item 286</t>
  </si>
  <si>
    <t>Anonymized Item 289</t>
  </si>
  <si>
    <t>Anonymized Item 291</t>
  </si>
  <si>
    <t>Anonymized Item 293</t>
  </si>
  <si>
    <t>Anonymized Item 294</t>
  </si>
  <si>
    <t>Anonymized Item 295</t>
  </si>
  <si>
    <t>Anonymized Item 296</t>
  </si>
  <si>
    <t>Anonymized Item 297</t>
  </si>
  <si>
    <t>Anonymized Item 299</t>
  </si>
  <si>
    <t>Anonymized Item 301</t>
  </si>
  <si>
    <t>Anonymized Item 302</t>
  </si>
  <si>
    <t>Anonymized Item 303</t>
  </si>
  <si>
    <t xml:space="preserve">Anonymized 1191 Black </t>
  </si>
  <si>
    <t>Anonymized Item 305</t>
  </si>
  <si>
    <t>Anonymized Item 306</t>
  </si>
  <si>
    <t>Anonymized Item 307</t>
  </si>
  <si>
    <t>Anonymized Item 308</t>
  </si>
  <si>
    <t>Anonymized Item 309</t>
  </si>
  <si>
    <t>Anonymized Item 311</t>
  </si>
  <si>
    <t>Anonymized Item 313</t>
  </si>
  <si>
    <t>Anonymized Item 315</t>
  </si>
  <si>
    <t>Anonymized Item 316</t>
  </si>
  <si>
    <t>Anonymized Item 317</t>
  </si>
  <si>
    <t>Anonymized Item 319</t>
  </si>
  <si>
    <t>Anonymized Item 320</t>
  </si>
  <si>
    <t>Anonymized Item 321</t>
  </si>
  <si>
    <t>Anonymized Item 323</t>
  </si>
  <si>
    <t>Anonymized Item 324</t>
  </si>
  <si>
    <t>Anonymized Item 326</t>
  </si>
  <si>
    <t>Anonymized Item 327</t>
  </si>
  <si>
    <t>Anonymized Item 328</t>
  </si>
  <si>
    <t>Anonymized Item 330</t>
  </si>
  <si>
    <t>Anonymized Item 331</t>
  </si>
  <si>
    <t>Anonymized Item 332</t>
  </si>
  <si>
    <t>Anonymized Item 333</t>
  </si>
  <si>
    <t>Anonymized Item 334</t>
  </si>
  <si>
    <t>Anonymized Item 335</t>
  </si>
  <si>
    <t>Anonymized Item 336</t>
  </si>
  <si>
    <t>Anonymized Item 338</t>
  </si>
  <si>
    <t>Anonymized Item 340</t>
  </si>
  <si>
    <t>Anonymized Item 344</t>
  </si>
  <si>
    <t>Anonymized Item 346</t>
  </si>
  <si>
    <t>Anonymized Item 348</t>
  </si>
  <si>
    <t>Anonymized Item 350</t>
  </si>
  <si>
    <t>Anonymized Item 352</t>
  </si>
  <si>
    <t>Anonymized Item 353</t>
  </si>
  <si>
    <t>Anonymized Item 356</t>
  </si>
  <si>
    <t>Anonymized Item 357</t>
  </si>
  <si>
    <t>Anonymized Item 359</t>
  </si>
  <si>
    <t>Anonymized Item 362</t>
  </si>
  <si>
    <t>Anonymized Item 364</t>
  </si>
  <si>
    <t>Anonymized Item 366</t>
  </si>
  <si>
    <t>Anonymized Item 367</t>
  </si>
  <si>
    <t>Anonymized Item 368</t>
  </si>
  <si>
    <t>Anonymized Item 369</t>
  </si>
  <si>
    <t>Anonymized Item 373</t>
  </si>
  <si>
    <t>Anonymized Item 374</t>
  </si>
  <si>
    <t>Anonymized Item 376</t>
  </si>
  <si>
    <t>Anonymized Item 377</t>
  </si>
  <si>
    <t>Anonymized Item 379</t>
  </si>
  <si>
    <t>Anonymized Item 380</t>
  </si>
  <si>
    <t>Anonymized Item 381</t>
  </si>
  <si>
    <t>Anonymized Item 382</t>
  </si>
  <si>
    <t>Anonymized Item 383</t>
  </si>
  <si>
    <t>Anonymized Item 385</t>
  </si>
  <si>
    <t>Anonymized Item 386</t>
  </si>
  <si>
    <t>Anonymized Item 389</t>
  </si>
  <si>
    <t>Anonymized Item 391</t>
  </si>
  <si>
    <t>Anonymized Item 393</t>
  </si>
  <si>
    <t>Anonymized Item 395</t>
  </si>
  <si>
    <t>Anonymized Item 397</t>
  </si>
  <si>
    <t>Anonymized Item 408</t>
  </si>
  <si>
    <t>Anonymized Item 409</t>
  </si>
  <si>
    <t>Anonymized Item 410</t>
  </si>
  <si>
    <t>Anonymized Item 411</t>
  </si>
  <si>
    <t>Anonymized Item 412</t>
  </si>
  <si>
    <t>Anonymized Item 413</t>
  </si>
  <si>
    <t>Anonymized Item 416</t>
  </si>
  <si>
    <t>Anonymized 6009 Keepsake Lilac</t>
  </si>
  <si>
    <t>Anonymized Item 423</t>
  </si>
  <si>
    <t>Anonymized Item 425</t>
  </si>
  <si>
    <t>Anonymized Item 427</t>
  </si>
  <si>
    <t>Anonymized Item 428</t>
  </si>
  <si>
    <t>Anonymized Item 429</t>
  </si>
  <si>
    <t>Anonymized Item 430</t>
  </si>
  <si>
    <t>Anonymized Item 431</t>
  </si>
  <si>
    <t>Anonymized 5831 Carmine</t>
  </si>
  <si>
    <t>Anonymized Item 433</t>
  </si>
  <si>
    <t>Anonymized Item 435</t>
  </si>
  <si>
    <t>Anonymized Item 436</t>
  </si>
  <si>
    <t>Anonymized Item 437</t>
  </si>
  <si>
    <t>Anonymized Item 438</t>
  </si>
  <si>
    <t>Anonymized Item 439</t>
  </si>
  <si>
    <t>Anonymized Item 441</t>
  </si>
  <si>
    <t>Anonymized Item 442</t>
  </si>
  <si>
    <t>Anonymized Item 443</t>
  </si>
  <si>
    <t>Anonymized Item 447</t>
  </si>
  <si>
    <t>Anonymized Item 449</t>
  </si>
  <si>
    <t>Anonymized Item 451</t>
  </si>
  <si>
    <t>Anonymized Item 455</t>
  </si>
  <si>
    <t>Anonymized Item 457</t>
  </si>
  <si>
    <t>Anonymized Item 459</t>
  </si>
  <si>
    <t>Auftragsbestätigung Muster 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</si>
</sst>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CHF&quot;\ * #,##0.00_ ;_ &quot;CHF&quot;\ * \-#,##0.00_ ;_ &quot;CHF&quot;\ * &quot;-&quot;??_ ;_ @_ "/>
    <numFmt numFmtId="164" formatCode="[$öS-C07]\ #,##0.00"/>
    <numFmt numFmtId="165" formatCode="_-* #,##0.00\ [$€-1]_-;\-* #,##0.00\ [$€-1]_-;_-* &quot;-&quot;??\ [$€-1]_-"/>
    <numFmt numFmtId="166" formatCode="d/m/yy;@"/>
  </numFmts>
  <fonts count="2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10"/>
      <name val="Calibri"/>
      <family val="2"/>
      <scheme val="minor"/>
    </font>
    <font>
      <b/>
      <sz val="11"/>
      <color indexed="1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b/>
      <sz val="10"/>
      <name val="Arial Narrow"/>
      <family val="2"/>
    </font>
    <font>
      <sz val="10"/>
      <color rgb="FFFF0000"/>
      <name val="Calibri"/>
      <family val="2"/>
      <scheme val="minor"/>
    </font>
    <font>
      <u/>
      <sz val="10"/>
      <name val="Arial"/>
      <family val="2"/>
    </font>
    <font>
      <b/>
      <sz val="9"/>
      <name val="Arial"/>
      <family val="2"/>
    </font>
    <font>
      <b/>
      <i/>
      <sz val="1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8"/>
      <name val="Arial"/>
      <family val="2"/>
    </font>
    <font>
      <b/>
      <sz val="10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7"/>
      <name val="Arial"/>
      <family val="2"/>
    </font>
    <font>
      <b/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5" fontId="3" fillId="0" borderId="0" applyFont="0" applyFill="0" applyBorder="0" applyAlignment="0" applyProtection="0"/>
    <xf numFmtId="0" fontId="2" fillId="0" borderId="0"/>
    <xf numFmtId="44" fontId="18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45">
    <xf numFmtId="0" fontId="0" fillId="0" borderId="0" xfId="0"/>
    <xf numFmtId="0" fontId="7" fillId="0" borderId="0" xfId="0" applyFont="1" applyAlignment="1">
      <alignment vertical="center"/>
    </xf>
    <xf numFmtId="0" fontId="5" fillId="0" borderId="0" xfId="0" applyFont="1"/>
    <xf numFmtId="0" fontId="9" fillId="0" borderId="0" xfId="0" applyFont="1"/>
    <xf numFmtId="0" fontId="7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" fontId="7" fillId="0" borderId="0" xfId="0" applyNumberFormat="1" applyFont="1" applyAlignment="1">
      <alignment horizontal="left" vertical="center" indent="1"/>
    </xf>
    <xf numFmtId="0" fontId="6" fillId="0" borderId="0" xfId="0" applyFont="1" applyAlignment="1">
      <alignment vertical="center" wrapText="1"/>
    </xf>
    <xf numFmtId="49" fontId="4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centerContinuous" vertical="center"/>
    </xf>
    <xf numFmtId="0" fontId="7" fillId="0" borderId="0" xfId="0" applyFont="1" applyAlignment="1">
      <alignment horizontal="right" vertical="center"/>
    </xf>
    <xf numFmtId="1" fontId="12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" fontId="7" fillId="0" borderId="0" xfId="0" applyNumberFormat="1" applyFont="1" applyAlignment="1">
      <alignment horizontal="left" vertical="center" indent="2"/>
    </xf>
    <xf numFmtId="0" fontId="10" fillId="0" borderId="0" xfId="0" applyFont="1"/>
    <xf numFmtId="0" fontId="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" fontId="8" fillId="0" borderId="0" xfId="0" applyNumberFormat="1" applyFont="1"/>
    <xf numFmtId="166" fontId="10" fillId="0" borderId="0" xfId="0" applyNumberFormat="1" applyFont="1" applyProtection="1">
      <protection locked="0"/>
    </xf>
    <xf numFmtId="0" fontId="11" fillId="0" borderId="0" xfId="0" applyFont="1"/>
    <xf numFmtId="1" fontId="7" fillId="0" borderId="0" xfId="0" applyNumberFormat="1" applyFont="1"/>
    <xf numFmtId="49" fontId="7" fillId="0" borderId="0" xfId="0" applyNumberFormat="1" applyFont="1" applyProtection="1">
      <protection locked="0"/>
    </xf>
    <xf numFmtId="49" fontId="7" fillId="0" borderId="0" xfId="0" applyNumberFormat="1" applyFont="1"/>
    <xf numFmtId="1" fontId="10" fillId="0" borderId="0" xfId="0" applyNumberFormat="1" applyFont="1"/>
    <xf numFmtId="0" fontId="13" fillId="0" borderId="0" xfId="0" applyFont="1"/>
    <xf numFmtId="1" fontId="14" fillId="0" borderId="0" xfId="0" applyNumberFormat="1" applyFont="1"/>
    <xf numFmtId="14" fontId="9" fillId="0" borderId="0" xfId="0" applyNumberFormat="1" applyFont="1" applyAlignment="1">
      <alignment wrapText="1"/>
    </xf>
    <xf numFmtId="0" fontId="16" fillId="2" borderId="2" xfId="0" applyFont="1" applyFill="1" applyBorder="1" applyAlignment="1">
      <alignment horizontal="center"/>
    </xf>
    <xf numFmtId="49" fontId="17" fillId="0" borderId="0" xfId="0" applyNumberFormat="1" applyFont="1" applyProtection="1">
      <protection locked="0"/>
    </xf>
    <xf numFmtId="0" fontId="12" fillId="0" borderId="0" xfId="0" applyFont="1" applyAlignment="1">
      <alignment vertical="center"/>
    </xf>
    <xf numFmtId="2" fontId="12" fillId="0" borderId="0" xfId="0" applyNumberFormat="1" applyFont="1" applyAlignment="1">
      <alignment horizontal="left"/>
    </xf>
    <xf numFmtId="2" fontId="5" fillId="0" borderId="0" xfId="0" applyNumberFormat="1" applyFont="1" applyAlignment="1">
      <alignment vertical="center"/>
    </xf>
    <xf numFmtId="2" fontId="5" fillId="0" borderId="0" xfId="0" applyNumberFormat="1" applyFont="1"/>
    <xf numFmtId="2" fontId="9" fillId="0" borderId="0" xfId="0" applyNumberFormat="1" applyFont="1"/>
    <xf numFmtId="2" fontId="7" fillId="0" borderId="0" xfId="0" applyNumberFormat="1" applyFont="1"/>
    <xf numFmtId="2" fontId="7" fillId="0" borderId="0" xfId="0" applyNumberFormat="1" applyFont="1" applyAlignment="1">
      <alignment vertical="center"/>
    </xf>
    <xf numFmtId="2" fontId="9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12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 applyProtection="1">
      <alignment horizontal="center"/>
      <protection locked="0"/>
    </xf>
    <xf numFmtId="3" fontId="10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/>
    </xf>
    <xf numFmtId="1" fontId="7" fillId="0" borderId="2" xfId="0" applyNumberFormat="1" applyFont="1" applyBorder="1" applyAlignment="1">
      <alignment horizontal="center"/>
    </xf>
    <xf numFmtId="44" fontId="7" fillId="0" borderId="2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1" fontId="7" fillId="0" borderId="0" xfId="0" applyNumberFormat="1" applyFont="1" applyAlignment="1">
      <alignment vertical="center"/>
    </xf>
    <xf numFmtId="0" fontId="10" fillId="2" borderId="2" xfId="0" applyFont="1" applyFill="1" applyBorder="1" applyAlignment="1">
      <alignment horizontal="left" vertical="center"/>
    </xf>
    <xf numFmtId="1" fontId="10" fillId="2" borderId="2" xfId="0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1" fontId="10" fillId="2" borderId="2" xfId="0" applyNumberFormat="1" applyFont="1" applyFill="1" applyBorder="1" applyAlignment="1">
      <alignment horizontal="left" vertical="center" indent="2"/>
    </xf>
    <xf numFmtId="1" fontId="10" fillId="2" borderId="2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44" fontId="7" fillId="0" borderId="0" xfId="3" applyFont="1" applyFill="1" applyAlignment="1" applyProtection="1">
      <alignment horizontal="center"/>
    </xf>
    <xf numFmtId="44" fontId="9" fillId="0" borderId="0" xfId="0" applyNumberFormat="1" applyFont="1"/>
    <xf numFmtId="1" fontId="10" fillId="2" borderId="2" xfId="0" applyNumberFormat="1" applyFont="1" applyFill="1" applyBorder="1" applyAlignment="1">
      <alignment horizontal="center"/>
    </xf>
    <xf numFmtId="0" fontId="11" fillId="0" borderId="0" xfId="0" applyFont="1" applyAlignment="1">
      <alignment horizontal="left"/>
    </xf>
    <xf numFmtId="1" fontId="7" fillId="0" borderId="0" xfId="0" applyNumberFormat="1" applyFont="1" applyAlignment="1">
      <alignment horizontal="left" vertical="center"/>
    </xf>
    <xf numFmtId="0" fontId="16" fillId="2" borderId="2" xfId="0" applyFont="1" applyFill="1" applyBorder="1" applyAlignment="1">
      <alignment horizontal="center" vertical="center"/>
    </xf>
    <xf numFmtId="1" fontId="11" fillId="0" borderId="0" xfId="0" applyNumberFormat="1" applyFont="1" applyAlignment="1">
      <alignment horizontal="center"/>
    </xf>
    <xf numFmtId="1" fontId="7" fillId="0" borderId="0" xfId="0" applyNumberFormat="1" applyFont="1" applyAlignment="1" applyProtection="1">
      <alignment horizontal="center"/>
      <protection locked="0"/>
    </xf>
    <xf numFmtId="1" fontId="10" fillId="0" borderId="0" xfId="0" applyNumberFormat="1" applyFont="1" applyAlignment="1">
      <alignment horizontal="left"/>
    </xf>
    <xf numFmtId="1" fontId="7" fillId="0" borderId="0" xfId="0" applyNumberFormat="1" applyFont="1" applyAlignment="1" applyProtection="1">
      <alignment horizontal="left"/>
      <protection locked="0"/>
    </xf>
    <xf numFmtId="0" fontId="7" fillId="0" borderId="2" xfId="2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2" fontId="9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" fontId="22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center"/>
    </xf>
    <xf numFmtId="3" fontId="7" fillId="0" borderId="0" xfId="0" applyNumberFormat="1" applyFont="1"/>
    <xf numFmtId="1" fontId="10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49" fontId="16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" fontId="10" fillId="0" borderId="0" xfId="0" applyNumberFormat="1" applyFont="1" applyAlignment="1">
      <alignment horizontal="center"/>
    </xf>
    <xf numFmtId="0" fontId="23" fillId="0" borderId="2" xfId="0" applyFont="1" applyBorder="1" applyAlignment="1">
      <alignment horizontal="center"/>
    </xf>
    <xf numFmtId="1" fontId="23" fillId="0" borderId="2" xfId="0" applyNumberFormat="1" applyFont="1" applyBorder="1" applyAlignment="1">
      <alignment horizontal="center"/>
    </xf>
    <xf numFmtId="2" fontId="0" fillId="0" borderId="2" xfId="3" applyNumberFormat="1" applyFont="1" applyFill="1" applyBorder="1" applyAlignment="1">
      <alignment horizontal="center"/>
    </xf>
    <xf numFmtId="0" fontId="9" fillId="0" borderId="2" xfId="0" applyFont="1" applyBorder="1"/>
    <xf numFmtId="2" fontId="9" fillId="0" borderId="2" xfId="3" applyNumberFormat="1" applyFont="1" applyFill="1" applyBorder="1" applyAlignment="1">
      <alignment horizontal="center"/>
    </xf>
    <xf numFmtId="1" fontId="7" fillId="0" borderId="2" xfId="0" applyNumberFormat="1" applyFont="1" applyBorder="1" applyAlignment="1">
      <alignment horizontal="center" vertical="center"/>
    </xf>
    <xf numFmtId="0" fontId="19" fillId="2" borderId="2" xfId="0" applyFont="1" applyFill="1" applyBorder="1" applyAlignment="1">
      <alignment horizontal="center"/>
    </xf>
    <xf numFmtId="0" fontId="24" fillId="2" borderId="2" xfId="0" applyFont="1" applyFill="1" applyBorder="1" applyAlignment="1" applyProtection="1">
      <alignment horizontal="center" vertical="center"/>
      <protection locked="0"/>
    </xf>
    <xf numFmtId="9" fontId="25" fillId="2" borderId="2" xfId="0" applyNumberFormat="1" applyFont="1" applyFill="1" applyBorder="1" applyAlignment="1" applyProtection="1">
      <alignment horizontal="center" vertical="center"/>
      <protection locked="0"/>
    </xf>
    <xf numFmtId="0" fontId="23" fillId="0" borderId="2" xfId="0" applyFont="1" applyBorder="1"/>
    <xf numFmtId="0" fontId="26" fillId="0" borderId="2" xfId="4" applyFont="1" applyBorder="1" applyAlignment="1">
      <alignment horizontal="left"/>
    </xf>
    <xf numFmtId="0" fontId="26" fillId="0" borderId="2" xfId="4" applyFont="1" applyBorder="1"/>
    <xf numFmtId="2" fontId="23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left"/>
    </xf>
    <xf numFmtId="1" fontId="23" fillId="0" borderId="2" xfId="0" applyNumberFormat="1" applyFont="1" applyBorder="1" applyAlignment="1">
      <alignment vertical="center"/>
    </xf>
    <xf numFmtId="1" fontId="23" fillId="0" borderId="2" xfId="0" applyNumberFormat="1" applyFont="1" applyBorder="1" applyAlignment="1">
      <alignment horizontal="left" vertical="center" indent="1"/>
    </xf>
    <xf numFmtId="49" fontId="7" fillId="0" borderId="0" xfId="0" applyNumberFormat="1" applyFont="1" applyAlignment="1">
      <alignment horizontal="left" vertical="center" indent="1"/>
    </xf>
    <xf numFmtId="0" fontId="27" fillId="2" borderId="2" xfId="0" applyFont="1" applyFill="1" applyBorder="1" applyAlignment="1">
      <alignment horizontal="center" vertical="center"/>
    </xf>
    <xf numFmtId="49" fontId="28" fillId="2" borderId="2" xfId="0" applyNumberFormat="1" applyFont="1" applyFill="1" applyBorder="1" applyAlignment="1">
      <alignment horizontal="center" vertical="center"/>
    </xf>
    <xf numFmtId="49" fontId="27" fillId="2" borderId="2" xfId="0" applyNumberFormat="1" applyFont="1" applyFill="1" applyBorder="1" applyAlignment="1">
      <alignment horizontal="center"/>
    </xf>
    <xf numFmtId="44" fontId="9" fillId="0" borderId="0" xfId="0" applyNumberFormat="1" applyFont="1" applyAlignment="1">
      <alignment horizontal="center"/>
    </xf>
    <xf numFmtId="0" fontId="9" fillId="2" borderId="0" xfId="0" applyFont="1" applyFill="1"/>
    <xf numFmtId="2" fontId="9" fillId="2" borderId="0" xfId="0" applyNumberFormat="1" applyFont="1" applyFill="1" applyAlignment="1">
      <alignment horizontal="center"/>
    </xf>
    <xf numFmtId="2" fontId="9" fillId="2" borderId="0" xfId="0" applyNumberFormat="1" applyFont="1" applyFill="1"/>
    <xf numFmtId="2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44" fontId="9" fillId="2" borderId="0" xfId="0" applyNumberFormat="1" applyFont="1" applyFill="1" applyAlignment="1">
      <alignment horizontal="center"/>
    </xf>
    <xf numFmtId="0" fontId="7" fillId="2" borderId="2" xfId="0" applyFont="1" applyFill="1" applyBorder="1" applyAlignment="1">
      <alignment horizontal="center"/>
    </xf>
    <xf numFmtId="1" fontId="6" fillId="2" borderId="2" xfId="0" applyNumberFormat="1" applyFont="1" applyFill="1" applyBorder="1" applyAlignment="1">
      <alignment horizontal="center"/>
    </xf>
    <xf numFmtId="49" fontId="9" fillId="0" borderId="0" xfId="0" applyNumberFormat="1" applyFont="1" applyAlignment="1">
      <alignment horizontal="left"/>
    </xf>
    <xf numFmtId="0" fontId="9" fillId="0" borderId="2" xfId="0" applyFont="1" applyBorder="1" applyAlignment="1">
      <alignment horizontal="right"/>
    </xf>
    <xf numFmtId="0" fontId="9" fillId="0" borderId="2" xfId="0" applyFont="1" applyBorder="1" applyAlignment="1">
      <alignment horizontal="center"/>
    </xf>
    <xf numFmtId="44" fontId="9" fillId="0" borderId="2" xfId="0" applyNumberFormat="1" applyFont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right"/>
    </xf>
    <xf numFmtId="1" fontId="7" fillId="0" borderId="0" xfId="0" applyNumberFormat="1" applyFont="1" applyProtection="1">
      <protection locked="0"/>
    </xf>
    <xf numFmtId="0" fontId="9" fillId="2" borderId="2" xfId="0" applyFont="1" applyFill="1" applyBorder="1" applyAlignment="1">
      <alignment horizontal="center"/>
    </xf>
    <xf numFmtId="164" fontId="9" fillId="0" borderId="0" xfId="0" applyNumberFormat="1" applyFont="1" applyAlignment="1">
      <alignment horizontal="center" vertical="center" wrapText="1"/>
    </xf>
    <xf numFmtId="0" fontId="15" fillId="0" borderId="0" xfId="0" applyFont="1" applyProtection="1">
      <protection locked="0"/>
    </xf>
    <xf numFmtId="44" fontId="10" fillId="0" borderId="0" xfId="0" applyNumberFormat="1" applyFont="1" applyAlignment="1">
      <alignment horizontal="center" vertical="center"/>
    </xf>
    <xf numFmtId="49" fontId="27" fillId="2" borderId="2" xfId="0" applyNumberFormat="1" applyFont="1" applyFill="1" applyBorder="1" applyAlignment="1" applyProtection="1">
      <alignment horizontal="center"/>
      <protection locked="0"/>
    </xf>
    <xf numFmtId="49" fontId="27" fillId="2" borderId="2" xfId="0" applyNumberFormat="1" applyFont="1" applyFill="1" applyBorder="1" applyProtection="1">
      <protection locked="0"/>
    </xf>
    <xf numFmtId="49" fontId="27" fillId="2" borderId="1" xfId="0" applyNumberFormat="1" applyFont="1" applyFill="1" applyBorder="1" applyProtection="1">
      <protection locked="0"/>
    </xf>
    <xf numFmtId="14" fontId="11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center" vertical="center"/>
    </xf>
    <xf numFmtId="49" fontId="27" fillId="2" borderId="3" xfId="0" applyNumberFormat="1" applyFont="1" applyFill="1" applyBorder="1" applyAlignment="1" applyProtection="1">
      <alignment horizontal="center"/>
      <protection locked="0"/>
    </xf>
    <xf numFmtId="49" fontId="27" fillId="2" borderId="1" xfId="0" applyNumberFormat="1" applyFont="1" applyFill="1" applyBorder="1" applyAlignment="1" applyProtection="1">
      <alignment horizontal="center"/>
      <protection locked="0"/>
    </xf>
    <xf numFmtId="1" fontId="21" fillId="0" borderId="0" xfId="0" applyNumberFormat="1" applyFont="1" applyAlignment="1">
      <alignment horizontal="left"/>
    </xf>
  </cellXfs>
  <cellStyles count="6">
    <cellStyle name="Currency" xfId="3" builtinId="4"/>
    <cellStyle name="Euro" xfId="1" xr:uid="{00000000-0005-0000-0000-000000000000}"/>
    <cellStyle name="Normal" xfId="0" builtinId="0"/>
    <cellStyle name="Standard 2" xfId="2" xr:uid="{00000000-0005-0000-0000-000003000000}"/>
    <cellStyle name="Standard 3" xfId="4" xr:uid="{00000000-0005-0000-0000-000004000000}"/>
    <cellStyle name="Währung 2" xfId="5" xr:uid="{00000000-0005-0000-0000-00000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152400</xdr:colOff>
      <xdr:row>2</xdr:row>
      <xdr:rowOff>9525</xdr:rowOff>
    </xdr:from>
    <xdr:ext cx="952500" cy="933450"/>
    <xdr:pic>
      <xdr:nvPicPr>
        <xdr:cNvPr id="2" name="Grafik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952500" cy="9334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466"/>
  <sheetViews>
    <sheetView tabSelected="1" workbookViewId="0">
      <selection activeCell="C7" sqref="C7"/>
    </sheetView>
  </sheetViews>
  <sheetFormatPr defaultColWidth="12.140625" defaultRowHeight="12.75" outlineLevelCol="1" x14ac:dyDescent="0.2"/>
  <cols>
    <col min="1" max="1" width="9.85546875" style="6" customWidth="1"/>
    <col min="2" max="2" width="31.5703125" style="62" customWidth="1" outlineLevel="1"/>
    <col min="3" max="3" width="18.85546875" style="8" customWidth="1" outlineLevel="1"/>
    <col min="4" max="4" width="10.5703125" style="8" customWidth="1" outlineLevel="1"/>
    <col min="5" max="12" width="4.85546875" style="4" customWidth="1" outlineLevel="1"/>
    <col min="13" max="14" width="4.85546875" style="4" customWidth="1"/>
    <col min="15" max="18" width="4.85546875" style="7" customWidth="1"/>
    <col min="19" max="19" width="9.5703125" style="6" customWidth="1"/>
    <col min="20" max="20" width="7.5703125" style="50" customWidth="1"/>
    <col min="21" max="21" width="8.42578125" style="43" customWidth="1"/>
    <col min="22" max="22" width="14.85546875" style="50" customWidth="1"/>
    <col min="23" max="23" width="13.5703125" style="50" customWidth="1"/>
    <col min="24" max="24" width="12.140625" style="6" customWidth="1"/>
    <col min="25" max="25" width="15.42578125" style="43" customWidth="1"/>
    <col min="26" max="26" width="14.42578125" style="4" customWidth="1"/>
    <col min="27" max="27" width="9.140625" style="4" customWidth="1"/>
    <col min="28" max="28" width="10" style="4" customWidth="1"/>
    <col min="29" max="29" width="10.42578125" style="4" customWidth="1"/>
    <col min="30" max="30" width="10.140625" style="4" customWidth="1"/>
    <col min="31" max="31" width="12.140625" customWidth="1"/>
  </cols>
  <sheetData>
    <row r="1" spans="1:26" s="12" customFormat="1" ht="20.25" customHeight="1" x14ac:dyDescent="0.35">
      <c r="A1" s="58" t="s">
        <v>578</v>
      </c>
      <c r="B1" s="15"/>
      <c r="C1" s="16"/>
      <c r="D1" s="16"/>
      <c r="G1" s="17"/>
      <c r="H1" s="18"/>
      <c r="I1" s="18"/>
      <c r="J1" s="18"/>
      <c r="K1" s="18"/>
      <c r="L1" s="18"/>
      <c r="O1" s="35"/>
      <c r="P1" s="35"/>
      <c r="Q1" s="35"/>
      <c r="R1" s="35"/>
      <c r="S1" s="35"/>
      <c r="T1" s="83"/>
      <c r="U1" s="40"/>
      <c r="V1" s="49"/>
      <c r="W1" s="49"/>
      <c r="X1" s="46"/>
      <c r="Y1" s="40"/>
    </row>
    <row r="2" spans="1:26" s="2" customFormat="1" ht="20.25" customHeight="1" x14ac:dyDescent="0.25">
      <c r="A2" s="23"/>
      <c r="C2" s="10"/>
      <c r="D2" s="10"/>
      <c r="G2" s="9"/>
      <c r="H2" s="134"/>
      <c r="I2" s="134"/>
      <c r="J2" s="134"/>
      <c r="K2" s="134"/>
      <c r="L2" s="134"/>
      <c r="M2" s="5"/>
      <c r="N2" s="5"/>
      <c r="O2" s="20"/>
      <c r="P2" s="20"/>
      <c r="Q2" s="20"/>
      <c r="R2" s="20"/>
      <c r="S2" s="23"/>
      <c r="T2" s="84"/>
      <c r="U2" s="140"/>
      <c r="V2" s="140"/>
      <c r="W2" s="140"/>
      <c r="X2" s="23"/>
      <c r="Y2" s="41"/>
    </row>
    <row r="3" spans="1:26" s="3" customFormat="1" ht="19.350000000000001" customHeight="1" x14ac:dyDescent="0.25">
      <c r="A3" s="77" t="s">
        <v>0</v>
      </c>
      <c r="B3" s="26"/>
      <c r="C3" s="54"/>
      <c r="D3" s="22"/>
      <c r="E3" s="37"/>
      <c r="G3" s="27"/>
      <c r="H3" s="30"/>
      <c r="I3" s="30"/>
      <c r="J3" s="30"/>
      <c r="K3" s="30"/>
      <c r="L3" s="30"/>
      <c r="M3" s="28"/>
      <c r="N3" s="28"/>
      <c r="S3" s="25"/>
      <c r="T3" s="85"/>
      <c r="U3" s="140"/>
      <c r="V3" s="140"/>
      <c r="W3" s="140"/>
      <c r="X3" s="25"/>
      <c r="Y3" s="42"/>
    </row>
    <row r="4" spans="1:26" ht="19.350000000000001" customHeight="1" x14ac:dyDescent="0.2">
      <c r="A4" s="70" t="s">
        <v>1</v>
      </c>
      <c r="B4" s="132" t="s">
        <v>272</v>
      </c>
      <c r="C4" s="6"/>
      <c r="D4" s="6" t="s">
        <v>3</v>
      </c>
      <c r="E4" s="4" t="s">
        <v>8</v>
      </c>
      <c r="O4" s="4"/>
      <c r="P4" s="4"/>
      <c r="Q4" s="4"/>
      <c r="R4" s="4"/>
    </row>
    <row r="5" spans="1:26" ht="19.350000000000001" customHeight="1" x14ac:dyDescent="0.2">
      <c r="A5" s="70" t="s">
        <v>5</v>
      </c>
      <c r="B5" s="132" t="s">
        <v>2</v>
      </c>
      <c r="C5" s="6"/>
      <c r="D5" s="6" t="s">
        <v>7</v>
      </c>
      <c r="E5" s="4" t="s">
        <v>10</v>
      </c>
      <c r="O5" s="4"/>
      <c r="P5" s="4"/>
      <c r="Q5" s="4"/>
      <c r="R5" s="4"/>
    </row>
    <row r="6" spans="1:26" ht="19.350000000000001" customHeight="1" x14ac:dyDescent="0.2">
      <c r="A6" s="70" t="s">
        <v>9</v>
      </c>
      <c r="B6" s="132" t="s">
        <v>6</v>
      </c>
      <c r="C6" s="6"/>
      <c r="D6" s="31" t="s">
        <v>11</v>
      </c>
      <c r="E6" s="135"/>
      <c r="O6" s="4"/>
      <c r="P6" s="4"/>
      <c r="Q6" s="4"/>
      <c r="R6" s="4"/>
      <c r="V6" s="71"/>
      <c r="W6" s="71"/>
    </row>
    <row r="7" spans="1:26" ht="19.350000000000001" customHeight="1" x14ac:dyDescent="0.25">
      <c r="A7" s="70"/>
      <c r="B7" s="30"/>
      <c r="C7" s="4"/>
      <c r="D7" s="33" t="s">
        <v>12</v>
      </c>
      <c r="E7" s="22"/>
      <c r="F7" s="1"/>
      <c r="O7" s="4"/>
      <c r="P7" s="4"/>
      <c r="Q7" s="4"/>
      <c r="R7" s="4"/>
      <c r="S7" s="85" t="s">
        <v>13</v>
      </c>
      <c r="T7" s="141">
        <v>46170</v>
      </c>
      <c r="U7" s="141"/>
      <c r="V7" s="55"/>
      <c r="W7" s="70"/>
    </row>
    <row r="8" spans="1:26" s="1" customFormat="1" ht="15.6" customHeight="1" x14ac:dyDescent="0.2">
      <c r="A8" s="79" t="s">
        <v>14</v>
      </c>
      <c r="B8" s="32"/>
      <c r="C8" s="22"/>
      <c r="D8" s="92"/>
      <c r="E8" s="93"/>
      <c r="F8" s="93"/>
      <c r="G8" s="93"/>
      <c r="H8" s="93"/>
      <c r="I8" s="4"/>
      <c r="J8" s="4"/>
      <c r="K8" s="4"/>
      <c r="L8" s="4"/>
      <c r="M8" s="4"/>
      <c r="N8" s="4"/>
      <c r="O8" s="22"/>
      <c r="P8" s="22"/>
      <c r="Q8" s="22"/>
      <c r="R8" s="22"/>
      <c r="S8" s="22"/>
      <c r="T8" s="121"/>
      <c r="U8" s="122"/>
      <c r="V8" s="136"/>
      <c r="W8" s="136"/>
      <c r="X8" s="47"/>
      <c r="Y8" s="44"/>
    </row>
    <row r="9" spans="1:26" s="1" customFormat="1" ht="15" customHeight="1" x14ac:dyDescent="0.2">
      <c r="A9" s="80" t="s">
        <v>15</v>
      </c>
      <c r="B9" s="29"/>
      <c r="C9" s="22"/>
      <c r="D9" s="87"/>
      <c r="E9" s="88"/>
      <c r="F9" s="88"/>
      <c r="G9" s="89"/>
      <c r="H9" s="90"/>
      <c r="I9" s="88"/>
      <c r="J9" s="88"/>
      <c r="K9" s="4"/>
      <c r="L9" s="4"/>
      <c r="M9" s="4"/>
      <c r="N9" s="4"/>
      <c r="O9" s="91"/>
      <c r="P9" s="91"/>
      <c r="Q9" s="91"/>
      <c r="R9" s="91"/>
      <c r="S9" s="53"/>
      <c r="T9" s="50"/>
      <c r="U9" s="44"/>
      <c r="V9" s="51"/>
      <c r="W9" s="51"/>
      <c r="X9" s="47"/>
      <c r="Y9" s="44"/>
    </row>
    <row r="10" spans="1:26" s="1" customFormat="1" ht="15.6" customHeight="1" x14ac:dyDescent="0.2">
      <c r="A10" s="78"/>
      <c r="B10" s="29"/>
      <c r="C10" s="22"/>
      <c r="D10" s="68" t="s">
        <v>16</v>
      </c>
      <c r="E10" s="116" t="s">
        <v>17</v>
      </c>
      <c r="F10" s="116" t="s">
        <v>18</v>
      </c>
      <c r="G10" s="116" t="s">
        <v>19</v>
      </c>
      <c r="H10" s="116" t="s">
        <v>20</v>
      </c>
      <c r="I10" s="116" t="s">
        <v>21</v>
      </c>
      <c r="J10" s="116" t="s">
        <v>22</v>
      </c>
      <c r="K10" s="116" t="s">
        <v>23</v>
      </c>
      <c r="L10" s="116" t="s">
        <v>24</v>
      </c>
      <c r="M10" s="137" t="s">
        <v>25</v>
      </c>
      <c r="N10" s="137"/>
      <c r="O10" s="137"/>
      <c r="P10" s="137"/>
      <c r="Q10" s="138"/>
      <c r="R10" s="139"/>
      <c r="S10" s="52"/>
      <c r="T10" s="50"/>
      <c r="U10" s="44"/>
      <c r="V10" s="55"/>
      <c r="W10" s="55"/>
      <c r="X10" s="47"/>
      <c r="Y10" s="44"/>
      <c r="Z10" s="44">
        <f>V11/100*V12</f>
        <v>178.24</v>
      </c>
    </row>
    <row r="11" spans="1:26" s="3" customFormat="1" ht="16.350000000000001" customHeight="1" x14ac:dyDescent="0.25">
      <c r="A11" s="25"/>
      <c r="B11" s="34"/>
      <c r="C11" s="29"/>
      <c r="D11" s="76" t="s">
        <v>26</v>
      </c>
      <c r="E11" s="114" t="s">
        <v>27</v>
      </c>
      <c r="F11" s="76">
        <v>48</v>
      </c>
      <c r="G11" s="76">
        <v>50</v>
      </c>
      <c r="H11" s="94">
        <v>52</v>
      </c>
      <c r="I11" s="76">
        <v>54</v>
      </c>
      <c r="J11" s="76">
        <v>56</v>
      </c>
      <c r="K11" s="115" t="s">
        <v>28</v>
      </c>
      <c r="L11" s="115" t="s">
        <v>29</v>
      </c>
      <c r="M11" s="115" t="s">
        <v>30</v>
      </c>
      <c r="N11" s="104"/>
      <c r="O11" s="105"/>
      <c r="P11" s="105"/>
      <c r="Q11" s="105"/>
      <c r="R11" s="105"/>
      <c r="T11" s="45" t="s">
        <v>31</v>
      </c>
      <c r="U11" s="42"/>
      <c r="V11" s="117">
        <f>SUM(V18:V459)</f>
        <v>2228</v>
      </c>
      <c r="W11" s="42"/>
      <c r="Z11" s="72">
        <f>V11-Z10</f>
        <v>2049.7600000000002</v>
      </c>
    </row>
    <row r="12" spans="1:26" s="3" customFormat="1" ht="16.5" customHeight="1" x14ac:dyDescent="0.25">
      <c r="A12" s="25"/>
      <c r="B12" s="34"/>
      <c r="C12" s="29"/>
      <c r="D12" s="73" t="s">
        <v>32</v>
      </c>
      <c r="E12" s="76" t="s">
        <v>33</v>
      </c>
      <c r="F12" s="76" t="s">
        <v>34</v>
      </c>
      <c r="G12" s="76" t="s">
        <v>35</v>
      </c>
      <c r="H12" s="76" t="s">
        <v>36</v>
      </c>
      <c r="I12" s="76" t="s">
        <v>37</v>
      </c>
      <c r="J12" s="76" t="s">
        <v>38</v>
      </c>
      <c r="K12" s="76" t="s">
        <v>39</v>
      </c>
      <c r="L12" s="76" t="s">
        <v>40</v>
      </c>
      <c r="M12" s="76" t="s">
        <v>41</v>
      </c>
      <c r="N12" s="76" t="s">
        <v>42</v>
      </c>
      <c r="O12" s="76"/>
      <c r="P12" s="76"/>
      <c r="Q12" s="76"/>
      <c r="R12" s="76"/>
      <c r="T12" s="45" t="s">
        <v>43</v>
      </c>
      <c r="U12" s="42"/>
      <c r="V12" s="25">
        <v>8</v>
      </c>
      <c r="W12" s="42"/>
    </row>
    <row r="13" spans="1:26" s="3" customFormat="1" ht="16.5" customHeight="1" x14ac:dyDescent="0.25">
      <c r="A13" s="25"/>
      <c r="B13" s="34"/>
      <c r="C13" s="29"/>
      <c r="D13" s="125" t="s">
        <v>44</v>
      </c>
      <c r="E13" s="76" t="s">
        <v>45</v>
      </c>
      <c r="F13" s="76" t="s">
        <v>46</v>
      </c>
      <c r="G13" s="76" t="s">
        <v>47</v>
      </c>
      <c r="H13" s="76" t="s">
        <v>48</v>
      </c>
      <c r="I13" s="76" t="s">
        <v>49</v>
      </c>
      <c r="J13" s="76"/>
      <c r="K13" s="142" t="s">
        <v>50</v>
      </c>
      <c r="L13" s="143"/>
      <c r="M13" s="142" t="s">
        <v>51</v>
      </c>
      <c r="N13" s="143"/>
      <c r="O13" s="142" t="s">
        <v>52</v>
      </c>
      <c r="P13" s="143"/>
      <c r="Q13" s="142" t="s">
        <v>53</v>
      </c>
      <c r="R13" s="143"/>
      <c r="S13" s="118"/>
      <c r="T13" s="119" t="s">
        <v>54</v>
      </c>
      <c r="U13" s="120"/>
      <c r="V13" s="123">
        <f>ROUNDUP(Z11,1)</f>
        <v>2049.7999999999997</v>
      </c>
      <c r="W13" s="42"/>
    </row>
    <row r="14" spans="1:26" s="1" customFormat="1" ht="18" customHeight="1" x14ac:dyDescent="0.2">
      <c r="A14" s="47"/>
      <c r="B14" s="62"/>
      <c r="C14" s="21"/>
      <c r="D14" s="73" t="s">
        <v>55</v>
      </c>
      <c r="E14" s="76">
        <v>20</v>
      </c>
      <c r="F14" s="76">
        <v>21</v>
      </c>
      <c r="G14" s="76">
        <v>22</v>
      </c>
      <c r="H14" s="76">
        <v>23</v>
      </c>
      <c r="I14" s="76">
        <v>24</v>
      </c>
      <c r="J14" s="76">
        <v>25</v>
      </c>
      <c r="K14" s="76">
        <v>26</v>
      </c>
      <c r="L14" s="76">
        <v>27</v>
      </c>
      <c r="M14" s="76">
        <v>28</v>
      </c>
      <c r="N14" s="76">
        <v>29</v>
      </c>
      <c r="O14" s="76">
        <v>30</v>
      </c>
      <c r="P14" s="76">
        <v>31</v>
      </c>
      <c r="Q14" s="76"/>
      <c r="R14" s="76"/>
      <c r="S14" s="14"/>
      <c r="T14" s="51"/>
      <c r="U14" s="44"/>
      <c r="V14" s="47"/>
      <c r="W14" s="44"/>
    </row>
    <row r="15" spans="1:26" s="1" customFormat="1" ht="18" customHeight="1" x14ac:dyDescent="0.2">
      <c r="A15" s="47"/>
      <c r="B15" s="62"/>
      <c r="C15" s="75"/>
      <c r="D15" s="68" t="s">
        <v>56</v>
      </c>
      <c r="E15" s="76">
        <v>32</v>
      </c>
      <c r="F15" s="76">
        <v>33</v>
      </c>
      <c r="G15" s="76">
        <v>34</v>
      </c>
      <c r="H15" s="76">
        <v>35</v>
      </c>
      <c r="I15" s="76">
        <v>36</v>
      </c>
      <c r="J15" s="76">
        <v>37</v>
      </c>
      <c r="K15" s="76">
        <v>38</v>
      </c>
      <c r="L15" s="76">
        <v>39</v>
      </c>
      <c r="M15" s="76">
        <v>40</v>
      </c>
      <c r="N15" s="76">
        <v>41</v>
      </c>
      <c r="O15" s="76">
        <v>42</v>
      </c>
      <c r="P15" s="76"/>
      <c r="Q15" s="76"/>
      <c r="R15" s="76"/>
      <c r="S15" s="14"/>
      <c r="T15" s="51" t="s">
        <v>57</v>
      </c>
      <c r="U15" s="44"/>
      <c r="V15" s="55">
        <f>SUM(S18:S459)</f>
        <v>103</v>
      </c>
      <c r="W15" s="44"/>
    </row>
    <row r="16" spans="1:26" s="1" customFormat="1" ht="18" customHeight="1" x14ac:dyDescent="0.2">
      <c r="A16" s="47"/>
      <c r="B16" s="62"/>
      <c r="C16" s="75"/>
      <c r="D16" s="68" t="s">
        <v>58</v>
      </c>
      <c r="E16" s="76">
        <v>62</v>
      </c>
      <c r="F16" s="76">
        <v>68</v>
      </c>
      <c r="G16" s="76">
        <v>74</v>
      </c>
      <c r="H16" s="76">
        <v>80</v>
      </c>
      <c r="I16" s="76">
        <v>86</v>
      </c>
      <c r="J16" s="76">
        <v>92</v>
      </c>
      <c r="K16" s="76">
        <v>98</v>
      </c>
      <c r="L16" s="76">
        <v>104</v>
      </c>
      <c r="M16" s="76">
        <v>110</v>
      </c>
      <c r="N16" s="76">
        <v>116</v>
      </c>
      <c r="O16" s="76"/>
      <c r="P16" s="76"/>
      <c r="Q16" s="76"/>
      <c r="R16" s="76"/>
      <c r="S16" s="14"/>
      <c r="T16" s="51"/>
      <c r="U16" s="44"/>
      <c r="V16" s="47"/>
      <c r="W16" s="44"/>
    </row>
    <row r="17" spans="1:23" s="1" customFormat="1" ht="33" customHeight="1" x14ac:dyDescent="0.2">
      <c r="A17" s="69" t="s">
        <v>59</v>
      </c>
      <c r="B17" s="64" t="s">
        <v>60</v>
      </c>
      <c r="C17" s="67" t="s">
        <v>61</v>
      </c>
      <c r="D17" s="68" t="s">
        <v>62</v>
      </c>
      <c r="E17" s="76">
        <v>92</v>
      </c>
      <c r="F17" s="76">
        <v>98</v>
      </c>
      <c r="G17" s="76">
        <v>104</v>
      </c>
      <c r="H17" s="76">
        <v>110</v>
      </c>
      <c r="I17" s="76">
        <v>116</v>
      </c>
      <c r="J17" s="76">
        <v>122</v>
      </c>
      <c r="K17" s="76">
        <v>128</v>
      </c>
      <c r="L17" s="76">
        <v>134</v>
      </c>
      <c r="M17" s="76">
        <v>140</v>
      </c>
      <c r="N17" s="76">
        <v>146</v>
      </c>
      <c r="O17" s="76">
        <v>152</v>
      </c>
      <c r="P17" s="76">
        <v>158</v>
      </c>
      <c r="Q17" s="76">
        <v>164</v>
      </c>
      <c r="R17" s="76">
        <v>176</v>
      </c>
      <c r="S17" s="69" t="s">
        <v>63</v>
      </c>
      <c r="T17" s="66" t="s">
        <v>64</v>
      </c>
      <c r="U17" s="66" t="s">
        <v>65</v>
      </c>
      <c r="V17" s="65" t="s">
        <v>66</v>
      </c>
      <c r="W17" s="51" t="s">
        <v>67</v>
      </c>
    </row>
    <row r="18" spans="1:23" ht="15" hidden="1" customHeight="1" x14ac:dyDescent="0.2">
      <c r="A18" s="95">
        <v>5437</v>
      </c>
      <c r="B18" s="95" t="s">
        <v>4</v>
      </c>
      <c r="C18" s="95" t="s">
        <v>273</v>
      </c>
      <c r="D18" s="82" t="s">
        <v>58</v>
      </c>
      <c r="E18" s="103"/>
      <c r="F18" s="103"/>
      <c r="G18" s="103"/>
      <c r="H18" s="82"/>
      <c r="I18" s="82"/>
      <c r="J18" s="103"/>
      <c r="K18" s="103"/>
      <c r="L18" s="103"/>
      <c r="M18" s="103"/>
      <c r="N18" s="103"/>
      <c r="O18" s="103"/>
      <c r="P18" s="103"/>
      <c r="Q18" s="103"/>
      <c r="R18" s="103"/>
      <c r="S18" s="56">
        <f t="shared" ref="S18:S81" si="0">SUM(E18:R18)</f>
        <v>0</v>
      </c>
      <c r="T18" s="99">
        <v>27.4</v>
      </c>
      <c r="U18" s="99">
        <v>59.9</v>
      </c>
      <c r="V18" s="57">
        <f t="shared" ref="V18:V81" si="1">S18*T18</f>
        <v>0</v>
      </c>
    </row>
    <row r="19" spans="1:23" ht="15" hidden="1" customHeight="1" x14ac:dyDescent="0.2">
      <c r="A19" s="95">
        <v>5437</v>
      </c>
      <c r="B19" s="95" t="s">
        <v>274</v>
      </c>
      <c r="C19" s="95" t="s">
        <v>273</v>
      </c>
      <c r="D19" s="82" t="s">
        <v>62</v>
      </c>
      <c r="E19" s="82"/>
      <c r="F19" s="82"/>
      <c r="G19" s="82"/>
      <c r="H19" s="82"/>
      <c r="I19" s="82"/>
      <c r="J19" s="82"/>
      <c r="K19" s="82"/>
      <c r="L19" s="82"/>
      <c r="M19" s="82"/>
      <c r="N19" s="103"/>
      <c r="O19" s="82"/>
      <c r="P19" s="103"/>
      <c r="Q19" s="82"/>
      <c r="R19" s="103"/>
      <c r="S19" s="56">
        <f t="shared" si="0"/>
        <v>0</v>
      </c>
      <c r="T19" s="99">
        <v>27.4</v>
      </c>
      <c r="U19" s="99">
        <v>59.9</v>
      </c>
      <c r="V19" s="57">
        <f t="shared" si="1"/>
        <v>0</v>
      </c>
    </row>
    <row r="20" spans="1:23" ht="15" hidden="1" customHeight="1" x14ac:dyDescent="0.2">
      <c r="A20" s="95">
        <v>5437</v>
      </c>
      <c r="B20" s="95" t="s">
        <v>275</v>
      </c>
      <c r="C20" s="95" t="s">
        <v>276</v>
      </c>
      <c r="D20" s="82" t="s">
        <v>58</v>
      </c>
      <c r="E20" s="103"/>
      <c r="F20" s="103"/>
      <c r="G20" s="103"/>
      <c r="H20" s="82"/>
      <c r="I20" s="82"/>
      <c r="J20" s="103"/>
      <c r="K20" s="103"/>
      <c r="L20" s="103"/>
      <c r="M20" s="103"/>
      <c r="N20" s="103"/>
      <c r="O20" s="103"/>
      <c r="P20" s="103"/>
      <c r="Q20" s="103"/>
      <c r="R20" s="103"/>
      <c r="S20" s="56">
        <f t="shared" si="0"/>
        <v>0</v>
      </c>
      <c r="T20" s="99">
        <v>27.4</v>
      </c>
      <c r="U20" s="99">
        <v>59.9</v>
      </c>
      <c r="V20" s="57">
        <f t="shared" si="1"/>
        <v>0</v>
      </c>
    </row>
    <row r="21" spans="1:23" ht="15" hidden="1" customHeight="1" x14ac:dyDescent="0.2">
      <c r="A21" s="95">
        <v>5437</v>
      </c>
      <c r="B21" s="95" t="s">
        <v>277</v>
      </c>
      <c r="C21" s="95" t="s">
        <v>276</v>
      </c>
      <c r="D21" s="82" t="s">
        <v>62</v>
      </c>
      <c r="E21" s="82"/>
      <c r="F21" s="82"/>
      <c r="G21" s="82"/>
      <c r="H21" s="82"/>
      <c r="I21" s="82"/>
      <c r="J21" s="82"/>
      <c r="K21" s="82"/>
      <c r="L21" s="82"/>
      <c r="M21" s="82"/>
      <c r="N21" s="103"/>
      <c r="O21" s="82"/>
      <c r="P21" s="103"/>
      <c r="Q21" s="82"/>
      <c r="R21" s="103"/>
      <c r="S21" s="56">
        <f t="shared" si="0"/>
        <v>0</v>
      </c>
      <c r="T21" s="99">
        <v>27.4</v>
      </c>
      <c r="U21" s="99">
        <v>59.9</v>
      </c>
      <c r="V21" s="57">
        <f t="shared" si="1"/>
        <v>0</v>
      </c>
    </row>
    <row r="22" spans="1:23" ht="15" hidden="1" customHeight="1" x14ac:dyDescent="0.2">
      <c r="A22" s="95">
        <v>5438</v>
      </c>
      <c r="B22" s="95" t="s">
        <v>68</v>
      </c>
      <c r="C22" s="95" t="s">
        <v>273</v>
      </c>
      <c r="D22" s="82" t="s">
        <v>58</v>
      </c>
      <c r="E22" s="103"/>
      <c r="F22" s="103"/>
      <c r="G22" s="103"/>
      <c r="H22" s="82"/>
      <c r="I22" s="82"/>
      <c r="J22" s="103"/>
      <c r="K22" s="103"/>
      <c r="L22" s="103"/>
      <c r="M22" s="103"/>
      <c r="N22" s="103"/>
      <c r="O22" s="103"/>
      <c r="P22" s="103"/>
      <c r="Q22" s="103"/>
      <c r="R22" s="103"/>
      <c r="S22" s="56">
        <f t="shared" si="0"/>
        <v>0</v>
      </c>
      <c r="T22" s="99">
        <v>20.9</v>
      </c>
      <c r="U22" s="99">
        <v>45.9</v>
      </c>
      <c r="V22" s="57">
        <f t="shared" si="1"/>
        <v>0</v>
      </c>
    </row>
    <row r="23" spans="1:23" ht="15" hidden="1" customHeight="1" x14ac:dyDescent="0.2">
      <c r="A23" s="95">
        <v>5438</v>
      </c>
      <c r="B23" s="95" t="s">
        <v>278</v>
      </c>
      <c r="C23" s="95" t="s">
        <v>273</v>
      </c>
      <c r="D23" s="82" t="s">
        <v>62</v>
      </c>
      <c r="E23" s="82"/>
      <c r="F23" s="82"/>
      <c r="G23" s="82"/>
      <c r="H23" s="82"/>
      <c r="I23" s="82"/>
      <c r="J23" s="82"/>
      <c r="K23" s="82"/>
      <c r="L23" s="82"/>
      <c r="M23" s="82"/>
      <c r="N23" s="103"/>
      <c r="O23" s="82"/>
      <c r="P23" s="103"/>
      <c r="Q23" s="82"/>
      <c r="R23" s="103"/>
      <c r="S23" s="56">
        <f t="shared" si="0"/>
        <v>0</v>
      </c>
      <c r="T23" s="99">
        <v>20.9</v>
      </c>
      <c r="U23" s="99">
        <v>45.9</v>
      </c>
      <c r="V23" s="57">
        <f t="shared" si="1"/>
        <v>0</v>
      </c>
    </row>
    <row r="24" spans="1:23" ht="15" hidden="1" customHeight="1" x14ac:dyDescent="0.2">
      <c r="A24" s="95">
        <v>5438</v>
      </c>
      <c r="B24" s="95" t="s">
        <v>279</v>
      </c>
      <c r="C24" s="95" t="s">
        <v>280</v>
      </c>
      <c r="D24" s="82" t="s">
        <v>58</v>
      </c>
      <c r="E24" s="103"/>
      <c r="F24" s="103"/>
      <c r="G24" s="103"/>
      <c r="H24" s="82"/>
      <c r="I24" s="82"/>
      <c r="J24" s="103"/>
      <c r="K24" s="103"/>
      <c r="L24" s="103"/>
      <c r="M24" s="103"/>
      <c r="N24" s="103"/>
      <c r="O24" s="103"/>
      <c r="P24" s="103"/>
      <c r="Q24" s="103"/>
      <c r="R24" s="103"/>
      <c r="S24" s="56">
        <f t="shared" si="0"/>
        <v>0</v>
      </c>
      <c r="T24" s="99">
        <v>20.9</v>
      </c>
      <c r="U24" s="99">
        <v>45.9</v>
      </c>
      <c r="V24" s="57">
        <f t="shared" si="1"/>
        <v>0</v>
      </c>
    </row>
    <row r="25" spans="1:23" ht="15" hidden="1" customHeight="1" x14ac:dyDescent="0.2">
      <c r="A25" s="95">
        <v>5438</v>
      </c>
      <c r="B25" s="95" t="s">
        <v>281</v>
      </c>
      <c r="C25" s="95" t="s">
        <v>280</v>
      </c>
      <c r="D25" s="82" t="s">
        <v>62</v>
      </c>
      <c r="E25" s="82"/>
      <c r="F25" s="82"/>
      <c r="G25" s="82"/>
      <c r="H25" s="82"/>
      <c r="I25" s="82"/>
      <c r="J25" s="82"/>
      <c r="K25" s="82"/>
      <c r="L25" s="82"/>
      <c r="M25" s="82"/>
      <c r="N25" s="103"/>
      <c r="O25" s="82"/>
      <c r="P25" s="103"/>
      <c r="Q25" s="82"/>
      <c r="R25" s="103"/>
      <c r="S25" s="56">
        <f t="shared" si="0"/>
        <v>0</v>
      </c>
      <c r="T25" s="99">
        <v>20.9</v>
      </c>
      <c r="U25" s="99">
        <v>45.9</v>
      </c>
      <c r="V25" s="57">
        <f t="shared" si="1"/>
        <v>0</v>
      </c>
    </row>
    <row r="26" spans="1:23" ht="15" hidden="1" customHeight="1" x14ac:dyDescent="0.2">
      <c r="A26" s="95">
        <v>5438</v>
      </c>
      <c r="B26" s="95" t="s">
        <v>72</v>
      </c>
      <c r="C26" s="95" t="s">
        <v>276</v>
      </c>
      <c r="D26" s="82" t="s">
        <v>58</v>
      </c>
      <c r="E26" s="103"/>
      <c r="F26" s="103"/>
      <c r="G26" s="103"/>
      <c r="H26" s="82"/>
      <c r="I26" s="82"/>
      <c r="J26" s="103"/>
      <c r="K26" s="103"/>
      <c r="L26" s="103"/>
      <c r="M26" s="103"/>
      <c r="N26" s="103"/>
      <c r="O26" s="103"/>
      <c r="P26" s="103"/>
      <c r="Q26" s="103"/>
      <c r="R26" s="103"/>
      <c r="S26" s="56">
        <f t="shared" si="0"/>
        <v>0</v>
      </c>
      <c r="T26" s="99">
        <v>20.9</v>
      </c>
      <c r="U26" s="99">
        <v>45.9</v>
      </c>
      <c r="V26" s="57">
        <f t="shared" si="1"/>
        <v>0</v>
      </c>
    </row>
    <row r="27" spans="1:23" ht="15" hidden="1" customHeight="1" x14ac:dyDescent="0.2">
      <c r="A27" s="95">
        <v>5438</v>
      </c>
      <c r="B27" s="95" t="s">
        <v>282</v>
      </c>
      <c r="C27" s="95" t="s">
        <v>276</v>
      </c>
      <c r="D27" s="82" t="s">
        <v>62</v>
      </c>
      <c r="E27" s="82"/>
      <c r="F27" s="82"/>
      <c r="G27" s="82"/>
      <c r="H27" s="82"/>
      <c r="I27" s="82"/>
      <c r="J27" s="82"/>
      <c r="K27" s="82"/>
      <c r="L27" s="82"/>
      <c r="M27" s="82"/>
      <c r="N27" s="103"/>
      <c r="O27" s="82"/>
      <c r="P27" s="103"/>
      <c r="Q27" s="82"/>
      <c r="R27" s="103"/>
      <c r="S27" s="56">
        <f t="shared" si="0"/>
        <v>0</v>
      </c>
      <c r="T27" s="99">
        <v>20.9</v>
      </c>
      <c r="U27" s="99">
        <v>45.9</v>
      </c>
      <c r="V27" s="57">
        <f t="shared" si="1"/>
        <v>0</v>
      </c>
    </row>
    <row r="28" spans="1:23" ht="15" hidden="1" customHeight="1" x14ac:dyDescent="0.2">
      <c r="A28" s="95">
        <v>5583</v>
      </c>
      <c r="B28" s="95" t="s">
        <v>71</v>
      </c>
      <c r="C28" s="95" t="s">
        <v>283</v>
      </c>
      <c r="D28" s="82" t="s">
        <v>62</v>
      </c>
      <c r="E28" s="82"/>
      <c r="F28" s="82"/>
      <c r="G28" s="82"/>
      <c r="H28" s="82"/>
      <c r="I28" s="82"/>
      <c r="J28" s="82"/>
      <c r="K28" s="82"/>
      <c r="L28" s="82"/>
      <c r="M28" s="82"/>
      <c r="N28" s="103"/>
      <c r="O28" s="82"/>
      <c r="P28" s="103"/>
      <c r="Q28" s="82"/>
      <c r="R28" s="103"/>
      <c r="S28" s="56">
        <f t="shared" si="0"/>
        <v>0</v>
      </c>
      <c r="T28" s="99">
        <v>13.6</v>
      </c>
      <c r="U28" s="99">
        <v>29.9</v>
      </c>
      <c r="V28" s="57">
        <f t="shared" si="1"/>
        <v>0</v>
      </c>
    </row>
    <row r="29" spans="1:23" ht="15" hidden="1" customHeight="1" x14ac:dyDescent="0.2">
      <c r="A29" s="95">
        <v>5583</v>
      </c>
      <c r="B29" s="95" t="s">
        <v>284</v>
      </c>
      <c r="C29" s="95" t="s">
        <v>276</v>
      </c>
      <c r="D29" s="82" t="s">
        <v>62</v>
      </c>
      <c r="E29" s="82"/>
      <c r="F29" s="82"/>
      <c r="G29" s="82"/>
      <c r="H29" s="82"/>
      <c r="I29" s="82"/>
      <c r="J29" s="82"/>
      <c r="K29" s="82"/>
      <c r="L29" s="82"/>
      <c r="M29" s="82"/>
      <c r="N29" s="103"/>
      <c r="O29" s="82"/>
      <c r="P29" s="103"/>
      <c r="Q29" s="82"/>
      <c r="R29" s="103"/>
      <c r="S29" s="56">
        <f t="shared" si="0"/>
        <v>0</v>
      </c>
      <c r="T29" s="99">
        <v>13.6</v>
      </c>
      <c r="U29" s="99">
        <v>29.9</v>
      </c>
      <c r="V29" s="57">
        <f t="shared" si="1"/>
        <v>0</v>
      </c>
    </row>
    <row r="30" spans="1:23" ht="15" hidden="1" customHeight="1" x14ac:dyDescent="0.2">
      <c r="A30" s="95">
        <v>5583</v>
      </c>
      <c r="B30" s="95" t="s">
        <v>285</v>
      </c>
      <c r="C30" s="95" t="s">
        <v>73</v>
      </c>
      <c r="D30" s="82" t="s">
        <v>62</v>
      </c>
      <c r="E30" s="82"/>
      <c r="F30" s="82"/>
      <c r="G30" s="82"/>
      <c r="H30" s="82"/>
      <c r="I30" s="82"/>
      <c r="J30" s="82"/>
      <c r="K30" s="82"/>
      <c r="L30" s="82"/>
      <c r="M30" s="82"/>
      <c r="N30" s="103"/>
      <c r="O30" s="82"/>
      <c r="P30" s="103"/>
      <c r="Q30" s="82"/>
      <c r="R30" s="103"/>
      <c r="S30" s="56">
        <f t="shared" si="0"/>
        <v>0</v>
      </c>
      <c r="T30" s="99">
        <v>13.6</v>
      </c>
      <c r="U30" s="99">
        <v>29.9</v>
      </c>
      <c r="V30" s="57">
        <f t="shared" si="1"/>
        <v>0</v>
      </c>
    </row>
    <row r="31" spans="1:23" ht="15" hidden="1" customHeight="1" x14ac:dyDescent="0.2">
      <c r="A31" s="95">
        <v>5584</v>
      </c>
      <c r="B31" s="95" t="s">
        <v>286</v>
      </c>
      <c r="C31" s="95" t="s">
        <v>283</v>
      </c>
      <c r="D31" s="82" t="s">
        <v>62</v>
      </c>
      <c r="E31" s="82"/>
      <c r="F31" s="82"/>
      <c r="G31" s="82"/>
      <c r="H31" s="82"/>
      <c r="I31" s="82"/>
      <c r="J31" s="82"/>
      <c r="K31" s="82"/>
      <c r="L31" s="82"/>
      <c r="M31" s="82"/>
      <c r="N31" s="103"/>
      <c r="O31" s="82"/>
      <c r="P31" s="103"/>
      <c r="Q31" s="82"/>
      <c r="R31" s="103"/>
      <c r="S31" s="56">
        <f t="shared" si="0"/>
        <v>0</v>
      </c>
      <c r="T31" s="99">
        <v>13.6</v>
      </c>
      <c r="U31" s="99">
        <v>29.9</v>
      </c>
      <c r="V31" s="57">
        <f t="shared" si="1"/>
        <v>0</v>
      </c>
    </row>
    <row r="32" spans="1:23" ht="15" hidden="1" customHeight="1" x14ac:dyDescent="0.2">
      <c r="A32" s="95">
        <v>5584</v>
      </c>
      <c r="B32" s="95" t="s">
        <v>287</v>
      </c>
      <c r="C32" s="95" t="s">
        <v>276</v>
      </c>
      <c r="D32" s="82" t="s">
        <v>62</v>
      </c>
      <c r="E32" s="82"/>
      <c r="F32" s="82"/>
      <c r="G32" s="82"/>
      <c r="H32" s="82"/>
      <c r="I32" s="82"/>
      <c r="J32" s="82"/>
      <c r="K32" s="82"/>
      <c r="L32" s="82"/>
      <c r="M32" s="82"/>
      <c r="N32" s="103"/>
      <c r="O32" s="82"/>
      <c r="P32" s="103"/>
      <c r="Q32" s="82"/>
      <c r="R32" s="103"/>
      <c r="S32" s="56">
        <f t="shared" si="0"/>
        <v>0</v>
      </c>
      <c r="T32" s="99">
        <v>13.6</v>
      </c>
      <c r="U32" s="99">
        <v>29.9</v>
      </c>
      <c r="V32" s="57">
        <f t="shared" si="1"/>
        <v>0</v>
      </c>
    </row>
    <row r="33" spans="1:22" ht="15" hidden="1" customHeight="1" x14ac:dyDescent="0.2">
      <c r="A33" s="95">
        <v>5586</v>
      </c>
      <c r="B33" s="95" t="s">
        <v>76</v>
      </c>
      <c r="C33" s="95" t="s">
        <v>276</v>
      </c>
      <c r="D33" s="82" t="s">
        <v>78</v>
      </c>
      <c r="E33" s="82"/>
      <c r="F33" s="82"/>
      <c r="G33" s="82"/>
      <c r="H33" s="82"/>
      <c r="I33" s="82"/>
      <c r="J33" s="82"/>
      <c r="K33" s="82"/>
      <c r="L33" s="82"/>
      <c r="M33" s="82"/>
      <c r="N33" s="103"/>
      <c r="O33" s="82"/>
      <c r="P33" s="103"/>
      <c r="Q33" s="82"/>
      <c r="R33" s="103"/>
      <c r="S33" s="56">
        <f t="shared" si="0"/>
        <v>0</v>
      </c>
      <c r="T33" s="99">
        <v>9.1</v>
      </c>
      <c r="U33" s="99">
        <v>19.899999999999999</v>
      </c>
      <c r="V33" s="57">
        <f t="shared" si="1"/>
        <v>0</v>
      </c>
    </row>
    <row r="34" spans="1:22" ht="15" hidden="1" customHeight="1" x14ac:dyDescent="0.2">
      <c r="A34" s="95">
        <v>5586</v>
      </c>
      <c r="B34" s="95" t="s">
        <v>288</v>
      </c>
      <c r="C34" s="95" t="s">
        <v>73</v>
      </c>
      <c r="D34" s="82" t="s">
        <v>78</v>
      </c>
      <c r="E34" s="82"/>
      <c r="F34" s="82"/>
      <c r="G34" s="82"/>
      <c r="H34" s="82"/>
      <c r="I34" s="82"/>
      <c r="J34" s="82"/>
      <c r="K34" s="82"/>
      <c r="L34" s="82"/>
      <c r="M34" s="82"/>
      <c r="N34" s="103"/>
      <c r="O34" s="82"/>
      <c r="P34" s="103"/>
      <c r="Q34" s="82"/>
      <c r="R34" s="103"/>
      <c r="S34" s="56">
        <f t="shared" si="0"/>
        <v>0</v>
      </c>
      <c r="T34" s="99">
        <v>9.1</v>
      </c>
      <c r="U34" s="99">
        <v>19.899999999999999</v>
      </c>
      <c r="V34" s="57">
        <f t="shared" si="1"/>
        <v>0</v>
      </c>
    </row>
    <row r="35" spans="1:22" ht="15" hidden="1" customHeight="1" x14ac:dyDescent="0.2">
      <c r="A35" s="95">
        <v>5587</v>
      </c>
      <c r="B35" s="95" t="s">
        <v>77</v>
      </c>
      <c r="C35" s="95" t="s">
        <v>283</v>
      </c>
      <c r="D35" s="82" t="s">
        <v>78</v>
      </c>
      <c r="E35" s="103"/>
      <c r="F35" s="82"/>
      <c r="G35" s="82"/>
      <c r="H35" s="82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56">
        <f t="shared" si="0"/>
        <v>0</v>
      </c>
      <c r="T35" s="99">
        <v>11.8</v>
      </c>
      <c r="U35" s="99">
        <v>25.9</v>
      </c>
      <c r="V35" s="57">
        <f t="shared" si="1"/>
        <v>0</v>
      </c>
    </row>
    <row r="36" spans="1:22" ht="15" hidden="1" customHeight="1" x14ac:dyDescent="0.2">
      <c r="A36" s="95">
        <v>5587</v>
      </c>
      <c r="B36" s="95" t="s">
        <v>289</v>
      </c>
      <c r="C36" s="95" t="s">
        <v>276</v>
      </c>
      <c r="D36" s="82" t="s">
        <v>78</v>
      </c>
      <c r="E36" s="103"/>
      <c r="F36" s="82"/>
      <c r="G36" s="82"/>
      <c r="H36" s="82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56">
        <f t="shared" si="0"/>
        <v>0</v>
      </c>
      <c r="T36" s="99">
        <v>11.8</v>
      </c>
      <c r="U36" s="99">
        <v>25.9</v>
      </c>
      <c r="V36" s="57">
        <f t="shared" si="1"/>
        <v>0</v>
      </c>
    </row>
    <row r="37" spans="1:22" ht="15" hidden="1" customHeight="1" x14ac:dyDescent="0.2">
      <c r="A37" s="95">
        <v>5587</v>
      </c>
      <c r="B37" s="95" t="s">
        <v>290</v>
      </c>
      <c r="C37" s="95" t="s">
        <v>73</v>
      </c>
      <c r="D37" s="82" t="s">
        <v>78</v>
      </c>
      <c r="E37" s="103"/>
      <c r="F37" s="82"/>
      <c r="G37" s="82"/>
      <c r="H37" s="82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56">
        <f t="shared" si="0"/>
        <v>0</v>
      </c>
      <c r="T37" s="99">
        <v>11.8</v>
      </c>
      <c r="U37" s="99">
        <v>25.9</v>
      </c>
      <c r="V37" s="57">
        <f t="shared" si="1"/>
        <v>0</v>
      </c>
    </row>
    <row r="38" spans="1:22" ht="15" hidden="1" customHeight="1" x14ac:dyDescent="0.2">
      <c r="A38" s="95">
        <v>5817</v>
      </c>
      <c r="B38" s="95" t="s">
        <v>79</v>
      </c>
      <c r="C38" s="95" t="s">
        <v>273</v>
      </c>
      <c r="D38" s="82" t="s">
        <v>62</v>
      </c>
      <c r="E38" s="82"/>
      <c r="F38" s="82"/>
      <c r="G38" s="82"/>
      <c r="H38" s="82"/>
      <c r="I38" s="82"/>
      <c r="J38" s="82"/>
      <c r="K38" s="82"/>
      <c r="L38" s="82"/>
      <c r="M38" s="82"/>
      <c r="N38" s="103"/>
      <c r="O38" s="82"/>
      <c r="P38" s="103"/>
      <c r="Q38" s="82"/>
      <c r="R38" s="103"/>
      <c r="S38" s="56">
        <f t="shared" si="0"/>
        <v>0</v>
      </c>
      <c r="T38" s="99">
        <v>13.6</v>
      </c>
      <c r="U38" s="99">
        <v>29.9</v>
      </c>
      <c r="V38" s="57">
        <f t="shared" si="1"/>
        <v>0</v>
      </c>
    </row>
    <row r="39" spans="1:22" ht="15" hidden="1" customHeight="1" x14ac:dyDescent="0.2">
      <c r="A39" s="95">
        <v>5817</v>
      </c>
      <c r="B39" s="95" t="s">
        <v>291</v>
      </c>
      <c r="C39" s="95" t="s">
        <v>292</v>
      </c>
      <c r="D39" s="82" t="s">
        <v>62</v>
      </c>
      <c r="E39" s="82"/>
      <c r="F39" s="82"/>
      <c r="G39" s="82"/>
      <c r="H39" s="82"/>
      <c r="I39" s="82"/>
      <c r="J39" s="82"/>
      <c r="K39" s="82"/>
      <c r="L39" s="82"/>
      <c r="M39" s="82"/>
      <c r="N39" s="103"/>
      <c r="O39" s="82"/>
      <c r="P39" s="103"/>
      <c r="Q39" s="82"/>
      <c r="R39" s="103"/>
      <c r="S39" s="56">
        <f t="shared" si="0"/>
        <v>0</v>
      </c>
      <c r="T39" s="99">
        <v>13.6</v>
      </c>
      <c r="U39" s="99">
        <v>29.9</v>
      </c>
      <c r="V39" s="57">
        <f t="shared" si="1"/>
        <v>0</v>
      </c>
    </row>
    <row r="40" spans="1:22" ht="15" hidden="1" customHeight="1" x14ac:dyDescent="0.2">
      <c r="A40" s="95">
        <v>5817</v>
      </c>
      <c r="B40" s="95" t="s">
        <v>293</v>
      </c>
      <c r="C40" s="95" t="s">
        <v>294</v>
      </c>
      <c r="D40" s="82" t="s">
        <v>62</v>
      </c>
      <c r="E40" s="82"/>
      <c r="F40" s="82"/>
      <c r="G40" s="82"/>
      <c r="H40" s="82"/>
      <c r="I40" s="82"/>
      <c r="J40" s="82"/>
      <c r="K40" s="82"/>
      <c r="L40" s="82"/>
      <c r="M40" s="82"/>
      <c r="N40" s="103"/>
      <c r="O40" s="82"/>
      <c r="P40" s="103"/>
      <c r="Q40" s="82"/>
      <c r="R40" s="103"/>
      <c r="S40" s="56">
        <f t="shared" si="0"/>
        <v>0</v>
      </c>
      <c r="T40" s="99">
        <v>13.6</v>
      </c>
      <c r="U40" s="99">
        <v>29.9</v>
      </c>
      <c r="V40" s="57">
        <f t="shared" si="1"/>
        <v>0</v>
      </c>
    </row>
    <row r="41" spans="1:22" ht="15" hidden="1" customHeight="1" x14ac:dyDescent="0.2">
      <c r="A41" s="95">
        <v>5817</v>
      </c>
      <c r="B41" s="95" t="s">
        <v>82</v>
      </c>
      <c r="C41" s="95" t="s">
        <v>80</v>
      </c>
      <c r="D41" s="82" t="s">
        <v>62</v>
      </c>
      <c r="E41" s="82"/>
      <c r="F41" s="82"/>
      <c r="G41" s="82"/>
      <c r="H41" s="82"/>
      <c r="I41" s="82"/>
      <c r="J41" s="82"/>
      <c r="K41" s="82"/>
      <c r="L41" s="82"/>
      <c r="M41" s="82"/>
      <c r="N41" s="103"/>
      <c r="O41" s="82"/>
      <c r="P41" s="103"/>
      <c r="Q41" s="82"/>
      <c r="R41" s="103"/>
      <c r="S41" s="56">
        <f t="shared" si="0"/>
        <v>0</v>
      </c>
      <c r="T41" s="99">
        <v>13.6</v>
      </c>
      <c r="U41" s="99">
        <v>29.9</v>
      </c>
      <c r="V41" s="57">
        <f t="shared" si="1"/>
        <v>0</v>
      </c>
    </row>
    <row r="42" spans="1:22" ht="15" hidden="1" customHeight="1" x14ac:dyDescent="0.2">
      <c r="A42" s="95">
        <v>5853</v>
      </c>
      <c r="B42" s="95" t="s">
        <v>295</v>
      </c>
      <c r="C42" s="95" t="s">
        <v>80</v>
      </c>
      <c r="D42" s="82" t="s">
        <v>62</v>
      </c>
      <c r="E42" s="82"/>
      <c r="F42" s="82"/>
      <c r="G42" s="82"/>
      <c r="H42" s="82"/>
      <c r="I42" s="82"/>
      <c r="J42" s="82"/>
      <c r="K42" s="82"/>
      <c r="L42" s="82"/>
      <c r="M42" s="82"/>
      <c r="N42" s="103"/>
      <c r="O42" s="82"/>
      <c r="P42" s="103"/>
      <c r="Q42" s="82"/>
      <c r="R42" s="103"/>
      <c r="S42" s="56">
        <f t="shared" si="0"/>
        <v>0</v>
      </c>
      <c r="T42" s="99">
        <v>22.7</v>
      </c>
      <c r="U42" s="99">
        <v>49.9</v>
      </c>
      <c r="V42" s="57">
        <f t="shared" si="1"/>
        <v>0</v>
      </c>
    </row>
    <row r="43" spans="1:22" ht="15" hidden="1" customHeight="1" x14ac:dyDescent="0.2">
      <c r="A43" s="95">
        <v>5968</v>
      </c>
      <c r="B43" s="95" t="s">
        <v>84</v>
      </c>
      <c r="C43" s="95" t="s">
        <v>296</v>
      </c>
      <c r="D43" s="82" t="s">
        <v>62</v>
      </c>
      <c r="E43" s="82"/>
      <c r="F43" s="103"/>
      <c r="G43" s="82"/>
      <c r="H43" s="103"/>
      <c r="I43" s="82"/>
      <c r="J43" s="103"/>
      <c r="K43" s="82"/>
      <c r="L43" s="103"/>
      <c r="M43" s="82"/>
      <c r="N43" s="103"/>
      <c r="O43" s="82"/>
      <c r="P43" s="103"/>
      <c r="Q43" s="82"/>
      <c r="R43" s="103"/>
      <c r="S43" s="56">
        <f t="shared" si="0"/>
        <v>0</v>
      </c>
      <c r="T43" s="99">
        <v>31.8</v>
      </c>
      <c r="U43" s="99">
        <v>69.900000000000006</v>
      </c>
      <c r="V43" s="57">
        <f t="shared" si="1"/>
        <v>0</v>
      </c>
    </row>
    <row r="44" spans="1:22" ht="15" hidden="1" customHeight="1" x14ac:dyDescent="0.2">
      <c r="A44" s="95">
        <v>5968</v>
      </c>
      <c r="B44" s="95" t="s">
        <v>297</v>
      </c>
      <c r="C44" s="95" t="s">
        <v>298</v>
      </c>
      <c r="D44" s="82" t="s">
        <v>62</v>
      </c>
      <c r="E44" s="82"/>
      <c r="F44" s="103"/>
      <c r="G44" s="82"/>
      <c r="H44" s="103"/>
      <c r="I44" s="82"/>
      <c r="J44" s="103"/>
      <c r="K44" s="82"/>
      <c r="L44" s="103"/>
      <c r="M44" s="82"/>
      <c r="N44" s="103"/>
      <c r="O44" s="82"/>
      <c r="P44" s="103"/>
      <c r="Q44" s="82"/>
      <c r="R44" s="103"/>
      <c r="S44" s="56">
        <f t="shared" si="0"/>
        <v>0</v>
      </c>
      <c r="T44" s="99">
        <v>31.8</v>
      </c>
      <c r="U44" s="99">
        <v>69.900000000000006</v>
      </c>
      <c r="V44" s="57">
        <f t="shared" si="1"/>
        <v>0</v>
      </c>
    </row>
    <row r="45" spans="1:22" ht="15" hidden="1" customHeight="1" x14ac:dyDescent="0.2">
      <c r="A45" s="95">
        <v>5968</v>
      </c>
      <c r="B45" s="95" t="s">
        <v>299</v>
      </c>
      <c r="C45" s="95" t="s">
        <v>292</v>
      </c>
      <c r="D45" s="82" t="s">
        <v>62</v>
      </c>
      <c r="E45" s="82"/>
      <c r="F45" s="103"/>
      <c r="G45" s="82"/>
      <c r="H45" s="103"/>
      <c r="I45" s="82"/>
      <c r="J45" s="103"/>
      <c r="K45" s="82"/>
      <c r="L45" s="103"/>
      <c r="M45" s="82"/>
      <c r="N45" s="103"/>
      <c r="O45" s="82"/>
      <c r="P45" s="103"/>
      <c r="Q45" s="82"/>
      <c r="R45" s="103"/>
      <c r="S45" s="56">
        <f t="shared" si="0"/>
        <v>0</v>
      </c>
      <c r="T45" s="99">
        <v>31.8</v>
      </c>
      <c r="U45" s="99">
        <v>69.900000000000006</v>
      </c>
      <c r="V45" s="57">
        <f t="shared" si="1"/>
        <v>0</v>
      </c>
    </row>
    <row r="46" spans="1:22" ht="15" hidden="1" customHeight="1" x14ac:dyDescent="0.2">
      <c r="A46" s="95">
        <v>5968</v>
      </c>
      <c r="B46" s="95" t="s">
        <v>300</v>
      </c>
      <c r="C46" s="95" t="s">
        <v>301</v>
      </c>
      <c r="D46" s="82" t="s">
        <v>62</v>
      </c>
      <c r="E46" s="82"/>
      <c r="F46" s="103"/>
      <c r="G46" s="82"/>
      <c r="H46" s="103"/>
      <c r="I46" s="82"/>
      <c r="J46" s="103"/>
      <c r="K46" s="82"/>
      <c r="L46" s="103"/>
      <c r="M46" s="82"/>
      <c r="N46" s="103"/>
      <c r="O46" s="82"/>
      <c r="P46" s="103"/>
      <c r="Q46" s="82"/>
      <c r="R46" s="103"/>
      <c r="S46" s="56">
        <f t="shared" si="0"/>
        <v>0</v>
      </c>
      <c r="T46" s="99">
        <v>31.8</v>
      </c>
      <c r="U46" s="99">
        <v>69.900000000000006</v>
      </c>
      <c r="V46" s="57">
        <f t="shared" si="1"/>
        <v>0</v>
      </c>
    </row>
    <row r="47" spans="1:22" ht="15" hidden="1" customHeight="1" x14ac:dyDescent="0.2">
      <c r="A47" s="95">
        <v>5968</v>
      </c>
      <c r="B47" s="95" t="s">
        <v>88</v>
      </c>
      <c r="C47" s="95" t="s">
        <v>80</v>
      </c>
      <c r="D47" s="82" t="s">
        <v>62</v>
      </c>
      <c r="E47" s="82"/>
      <c r="F47" s="103"/>
      <c r="G47" s="82"/>
      <c r="H47" s="103"/>
      <c r="I47" s="82"/>
      <c r="J47" s="103"/>
      <c r="K47" s="82"/>
      <c r="L47" s="103"/>
      <c r="M47" s="82"/>
      <c r="N47" s="103"/>
      <c r="O47" s="82"/>
      <c r="P47" s="103"/>
      <c r="Q47" s="82"/>
      <c r="R47" s="103"/>
      <c r="S47" s="56">
        <f t="shared" si="0"/>
        <v>0</v>
      </c>
      <c r="T47" s="99">
        <v>31.8</v>
      </c>
      <c r="U47" s="99">
        <v>69.900000000000006</v>
      </c>
      <c r="V47" s="57">
        <f t="shared" si="1"/>
        <v>0</v>
      </c>
    </row>
    <row r="48" spans="1:22" ht="15" hidden="1" customHeight="1" x14ac:dyDescent="0.2">
      <c r="A48" s="95">
        <v>5969</v>
      </c>
      <c r="B48" s="95" t="s">
        <v>302</v>
      </c>
      <c r="C48" s="95" t="s">
        <v>303</v>
      </c>
      <c r="D48" s="82" t="s">
        <v>62</v>
      </c>
      <c r="E48" s="82"/>
      <c r="F48" s="103"/>
      <c r="G48" s="82"/>
      <c r="H48" s="103"/>
      <c r="I48" s="82"/>
      <c r="J48" s="103"/>
      <c r="K48" s="82"/>
      <c r="L48" s="103"/>
      <c r="M48" s="82"/>
      <c r="N48" s="103"/>
      <c r="O48" s="82"/>
      <c r="P48" s="103"/>
      <c r="Q48" s="82"/>
      <c r="R48" s="103"/>
      <c r="S48" s="56">
        <f t="shared" si="0"/>
        <v>0</v>
      </c>
      <c r="T48" s="99">
        <v>22.7</v>
      </c>
      <c r="U48" s="99">
        <v>49.9</v>
      </c>
      <c r="V48" s="57">
        <f t="shared" si="1"/>
        <v>0</v>
      </c>
    </row>
    <row r="49" spans="1:22" ht="15" hidden="1" customHeight="1" x14ac:dyDescent="0.2">
      <c r="A49" s="95">
        <v>5969</v>
      </c>
      <c r="B49" s="95" t="s">
        <v>304</v>
      </c>
      <c r="C49" s="95" t="s">
        <v>292</v>
      </c>
      <c r="D49" s="82" t="s">
        <v>62</v>
      </c>
      <c r="E49" s="82"/>
      <c r="F49" s="103"/>
      <c r="G49" s="82"/>
      <c r="H49" s="103"/>
      <c r="I49" s="82"/>
      <c r="J49" s="103"/>
      <c r="K49" s="82"/>
      <c r="L49" s="103"/>
      <c r="M49" s="82"/>
      <c r="N49" s="103"/>
      <c r="O49" s="82"/>
      <c r="P49" s="103"/>
      <c r="Q49" s="82"/>
      <c r="R49" s="103"/>
      <c r="S49" s="56">
        <f t="shared" si="0"/>
        <v>0</v>
      </c>
      <c r="T49" s="99">
        <v>22.7</v>
      </c>
      <c r="U49" s="99">
        <v>49.9</v>
      </c>
      <c r="V49" s="57">
        <f t="shared" si="1"/>
        <v>0</v>
      </c>
    </row>
    <row r="50" spans="1:22" ht="15" hidden="1" customHeight="1" x14ac:dyDescent="0.2">
      <c r="A50" s="95">
        <v>5969</v>
      </c>
      <c r="B50" s="95" t="s">
        <v>305</v>
      </c>
      <c r="C50" s="95" t="s">
        <v>80</v>
      </c>
      <c r="D50" s="82" t="s">
        <v>62</v>
      </c>
      <c r="E50" s="82"/>
      <c r="F50" s="103"/>
      <c r="G50" s="82"/>
      <c r="H50" s="103"/>
      <c r="I50" s="82"/>
      <c r="J50" s="103"/>
      <c r="K50" s="82"/>
      <c r="L50" s="103"/>
      <c r="M50" s="82"/>
      <c r="N50" s="103"/>
      <c r="O50" s="82"/>
      <c r="P50" s="103"/>
      <c r="Q50" s="82"/>
      <c r="R50" s="103"/>
      <c r="S50" s="56">
        <f t="shared" si="0"/>
        <v>0</v>
      </c>
      <c r="T50" s="99">
        <v>22.7</v>
      </c>
      <c r="U50" s="99">
        <v>49.9</v>
      </c>
      <c r="V50" s="57">
        <f t="shared" si="1"/>
        <v>0</v>
      </c>
    </row>
    <row r="51" spans="1:22" ht="15" hidden="1" customHeight="1" x14ac:dyDescent="0.2">
      <c r="A51" s="95">
        <v>5970</v>
      </c>
      <c r="B51" s="95" t="s">
        <v>89</v>
      </c>
      <c r="C51" s="95" t="s">
        <v>292</v>
      </c>
      <c r="D51" s="82" t="s">
        <v>58</v>
      </c>
      <c r="E51" s="103"/>
      <c r="F51" s="103"/>
      <c r="G51" s="103"/>
      <c r="H51" s="82"/>
      <c r="I51" s="82"/>
      <c r="J51" s="103"/>
      <c r="K51" s="103"/>
      <c r="L51" s="103"/>
      <c r="M51" s="103"/>
      <c r="N51" s="103"/>
      <c r="O51" s="103"/>
      <c r="P51" s="103"/>
      <c r="Q51" s="103"/>
      <c r="R51" s="103"/>
      <c r="S51" s="56">
        <f t="shared" si="0"/>
        <v>0</v>
      </c>
      <c r="T51" s="99">
        <v>31.8</v>
      </c>
      <c r="U51" s="99">
        <v>69.900000000000006</v>
      </c>
      <c r="V51" s="57">
        <f t="shared" si="1"/>
        <v>0</v>
      </c>
    </row>
    <row r="52" spans="1:22" ht="15" hidden="1" customHeight="1" x14ac:dyDescent="0.2">
      <c r="A52" s="95">
        <v>5970</v>
      </c>
      <c r="B52" s="95" t="s">
        <v>306</v>
      </c>
      <c r="C52" s="95" t="s">
        <v>292</v>
      </c>
      <c r="D52" s="82" t="s">
        <v>62</v>
      </c>
      <c r="E52" s="82"/>
      <c r="F52" s="82"/>
      <c r="G52" s="82"/>
      <c r="H52" s="82"/>
      <c r="I52" s="82"/>
      <c r="J52" s="82"/>
      <c r="K52" s="82"/>
      <c r="L52" s="82"/>
      <c r="M52" s="82"/>
      <c r="N52" s="124"/>
      <c r="O52" s="82"/>
      <c r="P52" s="124"/>
      <c r="Q52" s="82"/>
      <c r="R52" s="103"/>
      <c r="S52" s="56">
        <f t="shared" si="0"/>
        <v>0</v>
      </c>
      <c r="T52" s="99">
        <v>31.8</v>
      </c>
      <c r="U52" s="99">
        <v>69.900000000000006</v>
      </c>
      <c r="V52" s="57">
        <f t="shared" si="1"/>
        <v>0</v>
      </c>
    </row>
    <row r="53" spans="1:22" ht="15" hidden="1" customHeight="1" x14ac:dyDescent="0.2">
      <c r="A53" s="95">
        <v>5970</v>
      </c>
      <c r="B53" s="95" t="s">
        <v>307</v>
      </c>
      <c r="C53" s="95" t="s">
        <v>80</v>
      </c>
      <c r="D53" s="82" t="s">
        <v>58</v>
      </c>
      <c r="E53" s="103"/>
      <c r="F53" s="103"/>
      <c r="G53" s="103"/>
      <c r="H53" s="82"/>
      <c r="I53" s="82"/>
      <c r="J53" s="103"/>
      <c r="K53" s="103"/>
      <c r="L53" s="103"/>
      <c r="M53" s="103"/>
      <c r="N53" s="124"/>
      <c r="O53" s="103"/>
      <c r="P53" s="124"/>
      <c r="Q53" s="103"/>
      <c r="R53" s="103"/>
      <c r="S53" s="56">
        <f t="shared" si="0"/>
        <v>0</v>
      </c>
      <c r="T53" s="99">
        <v>31.8</v>
      </c>
      <c r="U53" s="99">
        <v>69.900000000000006</v>
      </c>
      <c r="V53" s="57">
        <f t="shared" si="1"/>
        <v>0</v>
      </c>
    </row>
    <row r="54" spans="1:22" ht="15" hidden="1" customHeight="1" x14ac:dyDescent="0.2">
      <c r="A54" s="95">
        <v>5970</v>
      </c>
      <c r="B54" s="95" t="s">
        <v>308</v>
      </c>
      <c r="C54" s="95" t="s">
        <v>80</v>
      </c>
      <c r="D54" s="82" t="s">
        <v>62</v>
      </c>
      <c r="E54" s="82"/>
      <c r="F54" s="82"/>
      <c r="G54" s="82"/>
      <c r="H54" s="82"/>
      <c r="I54" s="82"/>
      <c r="J54" s="82"/>
      <c r="K54" s="82"/>
      <c r="L54" s="82"/>
      <c r="M54" s="82"/>
      <c r="N54" s="124"/>
      <c r="O54" s="82"/>
      <c r="P54" s="124"/>
      <c r="Q54" s="82"/>
      <c r="R54" s="103"/>
      <c r="S54" s="56">
        <f t="shared" si="0"/>
        <v>0</v>
      </c>
      <c r="T54" s="99">
        <v>31.8</v>
      </c>
      <c r="U54" s="99">
        <v>69.900000000000006</v>
      </c>
      <c r="V54" s="57">
        <f t="shared" si="1"/>
        <v>0</v>
      </c>
    </row>
    <row r="55" spans="1:22" ht="15" hidden="1" customHeight="1" x14ac:dyDescent="0.2">
      <c r="A55" s="95">
        <v>5971</v>
      </c>
      <c r="B55" s="95" t="s">
        <v>309</v>
      </c>
      <c r="C55" s="95" t="s">
        <v>273</v>
      </c>
      <c r="D55" s="82" t="s">
        <v>62</v>
      </c>
      <c r="E55" s="82"/>
      <c r="F55" s="82"/>
      <c r="G55" s="82"/>
      <c r="H55" s="82"/>
      <c r="I55" s="82"/>
      <c r="J55" s="82"/>
      <c r="K55" s="82"/>
      <c r="L55" s="82"/>
      <c r="M55" s="82"/>
      <c r="N55" s="103"/>
      <c r="O55" s="82"/>
      <c r="P55" s="103"/>
      <c r="Q55" s="82"/>
      <c r="R55" s="103"/>
      <c r="S55" s="56">
        <f t="shared" si="0"/>
        <v>0</v>
      </c>
      <c r="T55" s="99">
        <v>13.6</v>
      </c>
      <c r="U55" s="99">
        <v>29.9</v>
      </c>
      <c r="V55" s="57">
        <f t="shared" si="1"/>
        <v>0</v>
      </c>
    </row>
    <row r="56" spans="1:22" ht="15" hidden="1" customHeight="1" x14ac:dyDescent="0.2">
      <c r="A56" s="95">
        <v>6118</v>
      </c>
      <c r="B56" s="95" t="s">
        <v>69</v>
      </c>
      <c r="C56" s="95" t="s">
        <v>283</v>
      </c>
      <c r="D56" s="82" t="s">
        <v>58</v>
      </c>
      <c r="E56" s="103"/>
      <c r="F56" s="103"/>
      <c r="G56" s="82"/>
      <c r="H56" s="82"/>
      <c r="I56" s="82"/>
      <c r="J56" s="82"/>
      <c r="K56" s="82"/>
      <c r="L56" s="82"/>
      <c r="M56" s="103"/>
      <c r="N56" s="103"/>
      <c r="O56" s="103"/>
      <c r="P56" s="103"/>
      <c r="Q56" s="103"/>
      <c r="R56" s="103"/>
      <c r="S56" s="56">
        <f t="shared" si="0"/>
        <v>0</v>
      </c>
      <c r="T56" s="99">
        <v>18.2</v>
      </c>
      <c r="U56" s="99">
        <v>39.9</v>
      </c>
      <c r="V56" s="57">
        <f t="shared" si="1"/>
        <v>0</v>
      </c>
    </row>
    <row r="57" spans="1:22" ht="15" hidden="1" customHeight="1" x14ac:dyDescent="0.2">
      <c r="A57" s="95">
        <v>6118</v>
      </c>
      <c r="B57" s="95" t="s">
        <v>92</v>
      </c>
      <c r="C57" s="95" t="s">
        <v>73</v>
      </c>
      <c r="D57" s="82" t="s">
        <v>58</v>
      </c>
      <c r="E57" s="103"/>
      <c r="F57" s="103"/>
      <c r="G57" s="82"/>
      <c r="H57" s="82"/>
      <c r="I57" s="82"/>
      <c r="J57" s="82"/>
      <c r="K57" s="82"/>
      <c r="L57" s="82"/>
      <c r="M57" s="103"/>
      <c r="N57" s="103"/>
      <c r="O57" s="103"/>
      <c r="P57" s="103"/>
      <c r="Q57" s="103"/>
      <c r="R57" s="103"/>
      <c r="S57" s="56">
        <f t="shared" si="0"/>
        <v>0</v>
      </c>
      <c r="T57" s="99">
        <v>18.2</v>
      </c>
      <c r="U57" s="99">
        <v>39.9</v>
      </c>
      <c r="V57" s="57">
        <f t="shared" si="1"/>
        <v>0</v>
      </c>
    </row>
    <row r="58" spans="1:22" ht="15" hidden="1" customHeight="1" x14ac:dyDescent="0.2">
      <c r="A58" s="95">
        <v>6119</v>
      </c>
      <c r="B58" s="95" t="s">
        <v>93</v>
      </c>
      <c r="C58" s="95" t="s">
        <v>283</v>
      </c>
      <c r="D58" s="82" t="s">
        <v>58</v>
      </c>
      <c r="E58" s="82"/>
      <c r="F58" s="82"/>
      <c r="G58" s="82"/>
      <c r="H58" s="82"/>
      <c r="I58" s="82"/>
      <c r="J58" s="82"/>
      <c r="K58" s="103"/>
      <c r="L58" s="103"/>
      <c r="M58" s="103"/>
      <c r="N58" s="103"/>
      <c r="O58" s="103"/>
      <c r="P58" s="103"/>
      <c r="Q58" s="103"/>
      <c r="R58" s="103"/>
      <c r="S58" s="56">
        <f t="shared" si="0"/>
        <v>0</v>
      </c>
      <c r="T58" s="99">
        <v>10.9</v>
      </c>
      <c r="U58" s="99">
        <v>23.9</v>
      </c>
      <c r="V58" s="57">
        <f t="shared" si="1"/>
        <v>0</v>
      </c>
    </row>
    <row r="59" spans="1:22" ht="15" hidden="1" customHeight="1" x14ac:dyDescent="0.2">
      <c r="A59" s="95">
        <v>6120</v>
      </c>
      <c r="B59" s="95" t="s">
        <v>310</v>
      </c>
      <c r="C59" s="95" t="s">
        <v>73</v>
      </c>
      <c r="D59" s="82" t="s">
        <v>58</v>
      </c>
      <c r="E59" s="82"/>
      <c r="F59" s="82"/>
      <c r="G59" s="82"/>
      <c r="H59" s="82"/>
      <c r="I59" s="82"/>
      <c r="J59" s="82"/>
      <c r="K59" s="103"/>
      <c r="L59" s="103"/>
      <c r="M59" s="103"/>
      <c r="N59" s="103"/>
      <c r="O59" s="103"/>
      <c r="P59" s="103"/>
      <c r="Q59" s="103"/>
      <c r="R59" s="103"/>
      <c r="S59" s="56">
        <f t="shared" si="0"/>
        <v>0</v>
      </c>
      <c r="T59" s="99">
        <v>10.9</v>
      </c>
      <c r="U59" s="99">
        <v>23.9</v>
      </c>
      <c r="V59" s="57">
        <f t="shared" si="1"/>
        <v>0</v>
      </c>
    </row>
    <row r="60" spans="1:22" ht="15" hidden="1" customHeight="1" x14ac:dyDescent="0.2">
      <c r="A60" s="95">
        <v>6141</v>
      </c>
      <c r="B60" s="95" t="s">
        <v>95</v>
      </c>
      <c r="C60" s="95" t="s">
        <v>283</v>
      </c>
      <c r="D60" s="82" t="s">
        <v>62</v>
      </c>
      <c r="E60" s="82"/>
      <c r="F60" s="82"/>
      <c r="G60" s="82"/>
      <c r="H60" s="82"/>
      <c r="I60" s="82"/>
      <c r="J60" s="82"/>
      <c r="K60" s="82"/>
      <c r="L60" s="82"/>
      <c r="M60" s="82"/>
      <c r="N60" s="103"/>
      <c r="O60" s="82"/>
      <c r="P60" s="103"/>
      <c r="Q60" s="82"/>
      <c r="R60" s="103"/>
      <c r="S60" s="56">
        <f t="shared" si="0"/>
        <v>0</v>
      </c>
      <c r="T60" s="99">
        <v>13.6</v>
      </c>
      <c r="U60" s="99">
        <v>29.9</v>
      </c>
      <c r="V60" s="57">
        <f t="shared" si="1"/>
        <v>0</v>
      </c>
    </row>
    <row r="61" spans="1:22" ht="15" hidden="1" customHeight="1" x14ac:dyDescent="0.2">
      <c r="A61" s="95">
        <v>6141</v>
      </c>
      <c r="B61" s="95" t="s">
        <v>311</v>
      </c>
      <c r="C61" s="95" t="s">
        <v>276</v>
      </c>
      <c r="D61" s="82" t="s">
        <v>62</v>
      </c>
      <c r="E61" s="82"/>
      <c r="F61" s="82"/>
      <c r="G61" s="82"/>
      <c r="H61" s="82"/>
      <c r="I61" s="82"/>
      <c r="J61" s="82"/>
      <c r="K61" s="82"/>
      <c r="L61" s="82"/>
      <c r="M61" s="82"/>
      <c r="N61" s="103"/>
      <c r="O61" s="82"/>
      <c r="P61" s="103"/>
      <c r="Q61" s="82"/>
      <c r="R61" s="103"/>
      <c r="S61" s="56">
        <f t="shared" si="0"/>
        <v>0</v>
      </c>
      <c r="T61" s="99">
        <v>13.6</v>
      </c>
      <c r="U61" s="99">
        <v>29.9</v>
      </c>
      <c r="V61" s="57">
        <f t="shared" si="1"/>
        <v>0</v>
      </c>
    </row>
    <row r="62" spans="1:22" ht="15" hidden="1" customHeight="1" x14ac:dyDescent="0.2">
      <c r="A62" s="95">
        <v>6141</v>
      </c>
      <c r="B62" s="95" t="s">
        <v>312</v>
      </c>
      <c r="C62" s="95" t="s">
        <v>73</v>
      </c>
      <c r="D62" s="82" t="s">
        <v>62</v>
      </c>
      <c r="E62" s="82"/>
      <c r="F62" s="82"/>
      <c r="G62" s="82"/>
      <c r="H62" s="82"/>
      <c r="I62" s="82"/>
      <c r="J62" s="82"/>
      <c r="K62" s="82"/>
      <c r="L62" s="82"/>
      <c r="M62" s="82"/>
      <c r="N62" s="103"/>
      <c r="O62" s="82"/>
      <c r="P62" s="103"/>
      <c r="Q62" s="82"/>
      <c r="R62" s="103"/>
      <c r="S62" s="56">
        <f t="shared" si="0"/>
        <v>0</v>
      </c>
      <c r="T62" s="99">
        <v>13.6</v>
      </c>
      <c r="U62" s="99">
        <v>29.9</v>
      </c>
      <c r="V62" s="57">
        <f t="shared" si="1"/>
        <v>0</v>
      </c>
    </row>
    <row r="63" spans="1:22" ht="15" hidden="1" customHeight="1" x14ac:dyDescent="0.2">
      <c r="A63" s="95">
        <v>6145</v>
      </c>
      <c r="B63" s="95" t="s">
        <v>75</v>
      </c>
      <c r="C63" s="95" t="s">
        <v>283</v>
      </c>
      <c r="D63" s="82" t="s">
        <v>32</v>
      </c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103"/>
      <c r="P63" s="103"/>
      <c r="Q63" s="103"/>
      <c r="R63" s="103"/>
      <c r="S63" s="56">
        <f t="shared" si="0"/>
        <v>0</v>
      </c>
      <c r="T63" s="99">
        <v>9.1</v>
      </c>
      <c r="U63" s="99">
        <v>19.899999999999999</v>
      </c>
      <c r="V63" s="57">
        <f t="shared" si="1"/>
        <v>0</v>
      </c>
    </row>
    <row r="64" spans="1:22" ht="15" hidden="1" customHeight="1" x14ac:dyDescent="0.2">
      <c r="A64" s="95">
        <v>6145</v>
      </c>
      <c r="B64" s="95" t="s">
        <v>74</v>
      </c>
      <c r="C64" s="95" t="s">
        <v>276</v>
      </c>
      <c r="D64" s="82" t="s">
        <v>32</v>
      </c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103"/>
      <c r="P64" s="103"/>
      <c r="Q64" s="103"/>
      <c r="R64" s="103"/>
      <c r="S64" s="56">
        <f t="shared" si="0"/>
        <v>0</v>
      </c>
      <c r="T64" s="99">
        <v>9.1</v>
      </c>
      <c r="U64" s="99">
        <v>19.899999999999999</v>
      </c>
      <c r="V64" s="57">
        <f t="shared" si="1"/>
        <v>0</v>
      </c>
    </row>
    <row r="65" spans="1:22" ht="15" hidden="1" customHeight="1" x14ac:dyDescent="0.2">
      <c r="A65" s="95">
        <v>6147</v>
      </c>
      <c r="B65" s="95" t="s">
        <v>97</v>
      </c>
      <c r="C65" s="95" t="s">
        <v>276</v>
      </c>
      <c r="D65" s="82" t="s">
        <v>62</v>
      </c>
      <c r="E65" s="82"/>
      <c r="F65" s="82"/>
      <c r="G65" s="82"/>
      <c r="H65" s="82"/>
      <c r="I65" s="82"/>
      <c r="J65" s="82"/>
      <c r="K65" s="82"/>
      <c r="L65" s="82"/>
      <c r="M65" s="82"/>
      <c r="N65" s="103"/>
      <c r="O65" s="82"/>
      <c r="P65" s="103"/>
      <c r="Q65" s="82"/>
      <c r="R65" s="103"/>
      <c r="S65" s="56">
        <f t="shared" si="0"/>
        <v>0</v>
      </c>
      <c r="T65" s="99">
        <v>10.9</v>
      </c>
      <c r="U65" s="99">
        <v>23.9</v>
      </c>
      <c r="V65" s="57">
        <f t="shared" si="1"/>
        <v>0</v>
      </c>
    </row>
    <row r="66" spans="1:22" ht="15" hidden="1" customHeight="1" x14ac:dyDescent="0.2">
      <c r="A66" s="95">
        <v>6343</v>
      </c>
      <c r="B66" s="95" t="s">
        <v>70</v>
      </c>
      <c r="C66" s="95" t="s">
        <v>303</v>
      </c>
      <c r="D66" s="82" t="s">
        <v>62</v>
      </c>
      <c r="E66" s="103"/>
      <c r="F66" s="103"/>
      <c r="G66" s="82"/>
      <c r="H66" s="82"/>
      <c r="I66" s="82"/>
      <c r="J66" s="82"/>
      <c r="K66" s="82"/>
      <c r="L66" s="82"/>
      <c r="M66" s="82"/>
      <c r="N66" s="103"/>
      <c r="O66" s="82"/>
      <c r="P66" s="103"/>
      <c r="Q66" s="82"/>
      <c r="R66" s="82"/>
      <c r="S66" s="56">
        <f t="shared" si="0"/>
        <v>0</v>
      </c>
      <c r="T66" s="99">
        <v>13.6</v>
      </c>
      <c r="U66" s="99">
        <v>29.9</v>
      </c>
      <c r="V66" s="57">
        <f t="shared" si="1"/>
        <v>0</v>
      </c>
    </row>
    <row r="67" spans="1:22" ht="15" hidden="1" customHeight="1" x14ac:dyDescent="0.2">
      <c r="A67" s="95">
        <v>6344</v>
      </c>
      <c r="B67" s="95" t="s">
        <v>99</v>
      </c>
      <c r="C67" s="95" t="s">
        <v>303</v>
      </c>
      <c r="D67" s="82" t="s">
        <v>62</v>
      </c>
      <c r="E67" s="103"/>
      <c r="F67" s="103"/>
      <c r="G67" s="82"/>
      <c r="H67" s="82"/>
      <c r="I67" s="82"/>
      <c r="J67" s="82"/>
      <c r="K67" s="82"/>
      <c r="L67" s="82"/>
      <c r="M67" s="82"/>
      <c r="N67" s="103"/>
      <c r="O67" s="82"/>
      <c r="P67" s="103"/>
      <c r="Q67" s="82"/>
      <c r="R67" s="82"/>
      <c r="S67" s="56">
        <f t="shared" si="0"/>
        <v>0</v>
      </c>
      <c r="T67" s="99">
        <v>13.6</v>
      </c>
      <c r="U67" s="99">
        <v>29.9</v>
      </c>
      <c r="V67" s="57">
        <f t="shared" si="1"/>
        <v>0</v>
      </c>
    </row>
    <row r="68" spans="1:22" ht="15" hidden="1" customHeight="1" x14ac:dyDescent="0.2">
      <c r="A68" s="95">
        <v>6520</v>
      </c>
      <c r="B68" s="95" t="s">
        <v>90</v>
      </c>
      <c r="C68" s="95" t="s">
        <v>296</v>
      </c>
      <c r="D68" s="82" t="s">
        <v>32</v>
      </c>
      <c r="E68" s="82"/>
      <c r="F68" s="82"/>
      <c r="G68" s="82"/>
      <c r="H68" s="82"/>
      <c r="I68" s="82"/>
      <c r="J68" s="82"/>
      <c r="K68" s="82"/>
      <c r="L68" s="103"/>
      <c r="M68" s="103"/>
      <c r="N68" s="103"/>
      <c r="O68" s="103"/>
      <c r="P68" s="103"/>
      <c r="Q68" s="103"/>
      <c r="R68" s="103"/>
      <c r="S68" s="56">
        <f t="shared" si="0"/>
        <v>0</v>
      </c>
      <c r="T68" s="99">
        <v>7.7</v>
      </c>
      <c r="U68" s="99">
        <v>16.899999999999999</v>
      </c>
      <c r="V68" s="57">
        <f t="shared" si="1"/>
        <v>0</v>
      </c>
    </row>
    <row r="69" spans="1:22" ht="15" hidden="1" customHeight="1" x14ac:dyDescent="0.2">
      <c r="A69" s="95">
        <v>6534</v>
      </c>
      <c r="B69" s="95" t="s">
        <v>101</v>
      </c>
      <c r="C69" s="95" t="s">
        <v>296</v>
      </c>
      <c r="D69" s="82" t="s">
        <v>62</v>
      </c>
      <c r="E69" s="82"/>
      <c r="F69" s="82"/>
      <c r="G69" s="82"/>
      <c r="H69" s="82"/>
      <c r="I69" s="82"/>
      <c r="J69" s="82"/>
      <c r="K69" s="82"/>
      <c r="L69" s="82"/>
      <c r="M69" s="82"/>
      <c r="N69" s="103"/>
      <c r="O69" s="82"/>
      <c r="P69" s="103"/>
      <c r="Q69" s="82"/>
      <c r="R69" s="82"/>
      <c r="S69" s="56">
        <f t="shared" si="0"/>
        <v>0</v>
      </c>
      <c r="T69" s="99">
        <v>13.6</v>
      </c>
      <c r="U69" s="99">
        <v>29.9</v>
      </c>
      <c r="V69" s="57">
        <f t="shared" si="1"/>
        <v>0</v>
      </c>
    </row>
    <row r="70" spans="1:22" ht="15" hidden="1" customHeight="1" x14ac:dyDescent="0.2">
      <c r="A70" s="95">
        <v>6534</v>
      </c>
      <c r="B70" s="95" t="s">
        <v>86</v>
      </c>
      <c r="C70" s="95" t="s">
        <v>100</v>
      </c>
      <c r="D70" s="82" t="s">
        <v>62</v>
      </c>
      <c r="E70" s="82"/>
      <c r="F70" s="82"/>
      <c r="G70" s="82"/>
      <c r="H70" s="82"/>
      <c r="I70" s="82"/>
      <c r="J70" s="82"/>
      <c r="K70" s="82"/>
      <c r="L70" s="82"/>
      <c r="M70" s="82"/>
      <c r="N70" s="103"/>
      <c r="O70" s="82"/>
      <c r="P70" s="103"/>
      <c r="Q70" s="82"/>
      <c r="R70" s="82"/>
      <c r="S70" s="56">
        <f t="shared" si="0"/>
        <v>0</v>
      </c>
      <c r="T70" s="99">
        <v>13.6</v>
      </c>
      <c r="U70" s="99">
        <v>29.9</v>
      </c>
      <c r="V70" s="57">
        <f t="shared" si="1"/>
        <v>0</v>
      </c>
    </row>
    <row r="71" spans="1:22" ht="15" hidden="1" customHeight="1" x14ac:dyDescent="0.2">
      <c r="A71" s="95">
        <v>6722</v>
      </c>
      <c r="B71" s="95" t="s">
        <v>98</v>
      </c>
      <c r="C71" s="95" t="s">
        <v>292</v>
      </c>
      <c r="D71" s="82" t="s">
        <v>62</v>
      </c>
      <c r="E71" s="82"/>
      <c r="F71" s="82"/>
      <c r="G71" s="82"/>
      <c r="H71" s="82"/>
      <c r="I71" s="82"/>
      <c r="J71" s="82"/>
      <c r="K71" s="82"/>
      <c r="L71" s="103"/>
      <c r="M71" s="103"/>
      <c r="N71" s="103"/>
      <c r="O71" s="103"/>
      <c r="P71" s="103"/>
      <c r="Q71" s="103"/>
      <c r="R71" s="103"/>
      <c r="S71" s="56">
        <f t="shared" si="0"/>
        <v>0</v>
      </c>
      <c r="T71" s="99">
        <v>31.8</v>
      </c>
      <c r="U71" s="99">
        <v>69.900000000000006</v>
      </c>
      <c r="V71" s="57">
        <f t="shared" si="1"/>
        <v>0</v>
      </c>
    </row>
    <row r="72" spans="1:22" ht="15" hidden="1" customHeight="1" x14ac:dyDescent="0.2">
      <c r="A72" s="95">
        <v>6722</v>
      </c>
      <c r="B72" s="95" t="s">
        <v>81</v>
      </c>
      <c r="C72" s="95" t="s">
        <v>80</v>
      </c>
      <c r="D72" s="82" t="s">
        <v>62</v>
      </c>
      <c r="E72" s="82"/>
      <c r="F72" s="82"/>
      <c r="G72" s="82"/>
      <c r="H72" s="82"/>
      <c r="I72" s="82"/>
      <c r="J72" s="82"/>
      <c r="K72" s="82"/>
      <c r="L72" s="103"/>
      <c r="M72" s="103"/>
      <c r="N72" s="103"/>
      <c r="O72" s="103"/>
      <c r="P72" s="103"/>
      <c r="Q72" s="103"/>
      <c r="R72" s="103"/>
      <c r="S72" s="56">
        <f t="shared" si="0"/>
        <v>0</v>
      </c>
      <c r="T72" s="99">
        <v>31.8</v>
      </c>
      <c r="U72" s="99">
        <v>69.900000000000006</v>
      </c>
      <c r="V72" s="57">
        <f t="shared" si="1"/>
        <v>0</v>
      </c>
    </row>
    <row r="73" spans="1:22" ht="15" hidden="1" customHeight="1" x14ac:dyDescent="0.25">
      <c r="A73" s="100">
        <v>6846</v>
      </c>
      <c r="B73" s="100" t="s">
        <v>83</v>
      </c>
      <c r="C73" s="95" t="s">
        <v>298</v>
      </c>
      <c r="D73" s="82" t="s">
        <v>62</v>
      </c>
      <c r="E73" s="82"/>
      <c r="F73" s="82"/>
      <c r="G73" s="82"/>
      <c r="H73" s="82"/>
      <c r="I73" s="82"/>
      <c r="J73" s="82"/>
      <c r="K73" s="82"/>
      <c r="L73" s="82"/>
      <c r="M73" s="82"/>
      <c r="N73" s="103"/>
      <c r="O73" s="103"/>
      <c r="P73" s="103"/>
      <c r="Q73" s="103"/>
      <c r="R73" s="103"/>
      <c r="S73" s="56">
        <f t="shared" si="0"/>
        <v>0</v>
      </c>
      <c r="T73" s="101">
        <v>20.9</v>
      </c>
      <c r="U73" s="101">
        <v>45.9</v>
      </c>
      <c r="V73" s="57">
        <f t="shared" si="1"/>
        <v>0</v>
      </c>
    </row>
    <row r="74" spans="1:22" ht="15" hidden="1" customHeight="1" x14ac:dyDescent="0.25">
      <c r="A74" s="100">
        <v>6846</v>
      </c>
      <c r="B74" s="100" t="s">
        <v>104</v>
      </c>
      <c r="C74" s="100" t="s">
        <v>105</v>
      </c>
      <c r="D74" s="82" t="s">
        <v>62</v>
      </c>
      <c r="E74" s="82"/>
      <c r="F74" s="82"/>
      <c r="G74" s="82"/>
      <c r="H74" s="82"/>
      <c r="I74" s="82"/>
      <c r="J74" s="82"/>
      <c r="K74" s="82"/>
      <c r="L74" s="82"/>
      <c r="M74" s="82"/>
      <c r="N74" s="103"/>
      <c r="O74" s="103"/>
      <c r="P74" s="103"/>
      <c r="Q74" s="103"/>
      <c r="R74" s="103"/>
      <c r="S74" s="56">
        <f t="shared" si="0"/>
        <v>0</v>
      </c>
      <c r="T74" s="101">
        <v>20.9</v>
      </c>
      <c r="U74" s="101">
        <v>45.9</v>
      </c>
      <c r="V74" s="57">
        <f t="shared" si="1"/>
        <v>0</v>
      </c>
    </row>
    <row r="75" spans="1:22" ht="15" hidden="1" customHeight="1" x14ac:dyDescent="0.2">
      <c r="A75" s="95">
        <v>6847</v>
      </c>
      <c r="B75" s="95" t="s">
        <v>96</v>
      </c>
      <c r="C75" s="95" t="s">
        <v>313</v>
      </c>
      <c r="D75" s="82" t="s">
        <v>62</v>
      </c>
      <c r="E75" s="82"/>
      <c r="F75" s="82"/>
      <c r="G75" s="82"/>
      <c r="H75" s="82"/>
      <c r="I75" s="82"/>
      <c r="J75" s="82"/>
      <c r="K75" s="82"/>
      <c r="L75" s="82"/>
      <c r="M75" s="82"/>
      <c r="N75" s="103"/>
      <c r="O75" s="103"/>
      <c r="P75" s="103"/>
      <c r="Q75" s="103"/>
      <c r="R75" s="103"/>
      <c r="S75" s="56">
        <f t="shared" si="0"/>
        <v>0</v>
      </c>
      <c r="T75" s="99">
        <v>18.2</v>
      </c>
      <c r="U75" s="99">
        <v>39.9</v>
      </c>
      <c r="V75" s="57">
        <f t="shared" si="1"/>
        <v>0</v>
      </c>
    </row>
    <row r="76" spans="1:22" ht="15" hidden="1" customHeight="1" x14ac:dyDescent="0.2">
      <c r="A76" s="95">
        <v>6847</v>
      </c>
      <c r="B76" s="95" t="s">
        <v>314</v>
      </c>
      <c r="C76" s="95" t="s">
        <v>315</v>
      </c>
      <c r="D76" s="82" t="s">
        <v>62</v>
      </c>
      <c r="E76" s="82"/>
      <c r="F76" s="82"/>
      <c r="G76" s="82"/>
      <c r="H76" s="82"/>
      <c r="I76" s="82"/>
      <c r="J76" s="82"/>
      <c r="K76" s="82"/>
      <c r="L76" s="82"/>
      <c r="M76" s="82"/>
      <c r="N76" s="103"/>
      <c r="O76" s="103"/>
      <c r="P76" s="103"/>
      <c r="Q76" s="103"/>
      <c r="R76" s="103"/>
      <c r="S76" s="56">
        <f t="shared" si="0"/>
        <v>0</v>
      </c>
      <c r="T76" s="99">
        <v>18.2</v>
      </c>
      <c r="U76" s="99">
        <v>39.9</v>
      </c>
      <c r="V76" s="57">
        <f t="shared" si="1"/>
        <v>0</v>
      </c>
    </row>
    <row r="77" spans="1:22" ht="15" hidden="1" customHeight="1" x14ac:dyDescent="0.2">
      <c r="A77" s="95">
        <v>6847</v>
      </c>
      <c r="B77" s="95" t="s">
        <v>316</v>
      </c>
      <c r="C77" s="95" t="s">
        <v>298</v>
      </c>
      <c r="D77" s="82" t="s">
        <v>62</v>
      </c>
      <c r="E77" s="82"/>
      <c r="F77" s="82"/>
      <c r="G77" s="82"/>
      <c r="H77" s="82"/>
      <c r="I77" s="82"/>
      <c r="J77" s="82"/>
      <c r="K77" s="82"/>
      <c r="L77" s="82"/>
      <c r="M77" s="82"/>
      <c r="N77" s="103"/>
      <c r="O77" s="103"/>
      <c r="P77" s="103"/>
      <c r="Q77" s="103"/>
      <c r="R77" s="103"/>
      <c r="S77" s="56">
        <f t="shared" si="0"/>
        <v>0</v>
      </c>
      <c r="T77" s="99">
        <v>18.2</v>
      </c>
      <c r="U77" s="99">
        <v>39.9</v>
      </c>
      <c r="V77" s="57">
        <f t="shared" si="1"/>
        <v>0</v>
      </c>
    </row>
    <row r="78" spans="1:22" ht="15" hidden="1" customHeight="1" x14ac:dyDescent="0.2">
      <c r="A78" s="95">
        <v>6847</v>
      </c>
      <c r="B78" s="95" t="s">
        <v>317</v>
      </c>
      <c r="C78" s="95" t="s">
        <v>318</v>
      </c>
      <c r="D78" s="82" t="s">
        <v>62</v>
      </c>
      <c r="E78" s="82"/>
      <c r="F78" s="82"/>
      <c r="G78" s="82"/>
      <c r="H78" s="82"/>
      <c r="I78" s="82"/>
      <c r="J78" s="82"/>
      <c r="K78" s="82"/>
      <c r="L78" s="82"/>
      <c r="M78" s="82"/>
      <c r="N78" s="103"/>
      <c r="O78" s="103"/>
      <c r="P78" s="103"/>
      <c r="Q78" s="103"/>
      <c r="R78" s="103"/>
      <c r="S78" s="56">
        <f t="shared" si="0"/>
        <v>0</v>
      </c>
      <c r="T78" s="99">
        <v>18.2</v>
      </c>
      <c r="U78" s="99">
        <v>39.9</v>
      </c>
      <c r="V78" s="57">
        <f t="shared" si="1"/>
        <v>0</v>
      </c>
    </row>
    <row r="79" spans="1:22" ht="15" hidden="1" customHeight="1" x14ac:dyDescent="0.25">
      <c r="A79" s="95">
        <v>6847</v>
      </c>
      <c r="B79" s="95" t="s">
        <v>319</v>
      </c>
      <c r="C79" s="100" t="s">
        <v>105</v>
      </c>
      <c r="D79" s="82" t="s">
        <v>62</v>
      </c>
      <c r="E79" s="82"/>
      <c r="F79" s="82"/>
      <c r="G79" s="82"/>
      <c r="H79" s="82"/>
      <c r="I79" s="82"/>
      <c r="J79" s="82"/>
      <c r="K79" s="82"/>
      <c r="L79" s="82"/>
      <c r="M79" s="82"/>
      <c r="N79" s="103"/>
      <c r="O79" s="103"/>
      <c r="P79" s="103"/>
      <c r="Q79" s="103"/>
      <c r="R79" s="103"/>
      <c r="S79" s="56">
        <f t="shared" si="0"/>
        <v>0</v>
      </c>
      <c r="T79" s="99">
        <v>18.2</v>
      </c>
      <c r="U79" s="99">
        <v>39.9</v>
      </c>
      <c r="V79" s="57">
        <f t="shared" si="1"/>
        <v>0</v>
      </c>
    </row>
    <row r="80" spans="1:22" ht="15" hidden="1" customHeight="1" x14ac:dyDescent="0.2">
      <c r="A80" s="95">
        <v>6847</v>
      </c>
      <c r="B80" s="95" t="s">
        <v>320</v>
      </c>
      <c r="C80" s="95" t="s">
        <v>107</v>
      </c>
      <c r="D80" s="82" t="s">
        <v>62</v>
      </c>
      <c r="E80" s="82"/>
      <c r="F80" s="82"/>
      <c r="G80" s="82"/>
      <c r="H80" s="82"/>
      <c r="I80" s="82"/>
      <c r="J80" s="82"/>
      <c r="K80" s="82"/>
      <c r="L80" s="82"/>
      <c r="M80" s="82"/>
      <c r="N80" s="103"/>
      <c r="O80" s="103"/>
      <c r="P80" s="103"/>
      <c r="Q80" s="103"/>
      <c r="R80" s="103"/>
      <c r="S80" s="56">
        <f t="shared" si="0"/>
        <v>0</v>
      </c>
      <c r="T80" s="99">
        <v>18.2</v>
      </c>
      <c r="U80" s="99">
        <v>39.9</v>
      </c>
      <c r="V80" s="57">
        <f t="shared" si="1"/>
        <v>0</v>
      </c>
    </row>
    <row r="81" spans="1:22" ht="15" hidden="1" customHeight="1" x14ac:dyDescent="0.2">
      <c r="A81" s="95">
        <v>6848</v>
      </c>
      <c r="B81" s="95" t="s">
        <v>321</v>
      </c>
      <c r="C81" s="95" t="s">
        <v>313</v>
      </c>
      <c r="D81" s="82" t="s">
        <v>62</v>
      </c>
      <c r="E81" s="82"/>
      <c r="F81" s="82"/>
      <c r="G81" s="82"/>
      <c r="H81" s="82"/>
      <c r="I81" s="82"/>
      <c r="J81" s="82"/>
      <c r="K81" s="82"/>
      <c r="L81" s="82"/>
      <c r="M81" s="82"/>
      <c r="N81" s="103"/>
      <c r="O81" s="103"/>
      <c r="P81" s="103"/>
      <c r="Q81" s="103"/>
      <c r="R81" s="103"/>
      <c r="S81" s="56">
        <f t="shared" si="0"/>
        <v>0</v>
      </c>
      <c r="T81" s="99">
        <v>13.6</v>
      </c>
      <c r="U81" s="99">
        <v>29.9</v>
      </c>
      <c r="V81" s="57">
        <f t="shared" si="1"/>
        <v>0</v>
      </c>
    </row>
    <row r="82" spans="1:22" ht="15" hidden="1" customHeight="1" x14ac:dyDescent="0.2">
      <c r="A82" s="95">
        <v>6848</v>
      </c>
      <c r="B82" s="95" t="s">
        <v>322</v>
      </c>
      <c r="C82" s="95" t="s">
        <v>315</v>
      </c>
      <c r="D82" s="82" t="s">
        <v>62</v>
      </c>
      <c r="E82" s="82"/>
      <c r="F82" s="82"/>
      <c r="G82" s="82"/>
      <c r="H82" s="82"/>
      <c r="I82" s="82"/>
      <c r="J82" s="82"/>
      <c r="K82" s="82"/>
      <c r="L82" s="82"/>
      <c r="M82" s="82"/>
      <c r="N82" s="103"/>
      <c r="O82" s="103"/>
      <c r="P82" s="103"/>
      <c r="Q82" s="103"/>
      <c r="R82" s="103"/>
      <c r="S82" s="56">
        <f t="shared" ref="S82:S145" si="2">SUM(E82:R82)</f>
        <v>0</v>
      </c>
      <c r="T82" s="99">
        <v>13.6</v>
      </c>
      <c r="U82" s="99">
        <v>29.9</v>
      </c>
      <c r="V82" s="57">
        <f t="shared" ref="V82:V145" si="3">S82*T82</f>
        <v>0</v>
      </c>
    </row>
    <row r="83" spans="1:22" ht="15" hidden="1" customHeight="1" x14ac:dyDescent="0.2">
      <c r="A83" s="95">
        <v>6848</v>
      </c>
      <c r="B83" s="95" t="s">
        <v>323</v>
      </c>
      <c r="C83" s="95" t="s">
        <v>298</v>
      </c>
      <c r="D83" s="82" t="s">
        <v>62</v>
      </c>
      <c r="E83" s="82"/>
      <c r="F83" s="82"/>
      <c r="G83" s="82"/>
      <c r="H83" s="82"/>
      <c r="I83" s="82"/>
      <c r="J83" s="82"/>
      <c r="K83" s="82"/>
      <c r="L83" s="82"/>
      <c r="M83" s="82"/>
      <c r="N83" s="103"/>
      <c r="O83" s="103"/>
      <c r="P83" s="103"/>
      <c r="Q83" s="103"/>
      <c r="R83" s="103"/>
      <c r="S83" s="56">
        <f t="shared" si="2"/>
        <v>0</v>
      </c>
      <c r="T83" s="99">
        <v>13.6</v>
      </c>
      <c r="U83" s="99">
        <v>29.9</v>
      </c>
      <c r="V83" s="57">
        <f t="shared" si="3"/>
        <v>0</v>
      </c>
    </row>
    <row r="84" spans="1:22" ht="15" hidden="1" customHeight="1" x14ac:dyDescent="0.2">
      <c r="A84" s="95">
        <v>6848</v>
      </c>
      <c r="B84" s="95" t="s">
        <v>324</v>
      </c>
      <c r="C84" s="95" t="s">
        <v>318</v>
      </c>
      <c r="D84" s="82" t="s">
        <v>62</v>
      </c>
      <c r="E84" s="82"/>
      <c r="F84" s="82"/>
      <c r="G84" s="82"/>
      <c r="H84" s="82"/>
      <c r="I84" s="82"/>
      <c r="J84" s="82"/>
      <c r="K84" s="82"/>
      <c r="L84" s="82"/>
      <c r="M84" s="82"/>
      <c r="N84" s="103"/>
      <c r="O84" s="103"/>
      <c r="P84" s="103"/>
      <c r="Q84" s="103"/>
      <c r="R84" s="103"/>
      <c r="S84" s="56">
        <f t="shared" si="2"/>
        <v>0</v>
      </c>
      <c r="T84" s="99">
        <v>13.6</v>
      </c>
      <c r="U84" s="99">
        <v>29.9</v>
      </c>
      <c r="V84" s="57">
        <f t="shared" si="3"/>
        <v>0</v>
      </c>
    </row>
    <row r="85" spans="1:22" ht="15" hidden="1" customHeight="1" x14ac:dyDescent="0.25">
      <c r="A85" s="95">
        <v>6848</v>
      </c>
      <c r="B85" s="95" t="s">
        <v>325</v>
      </c>
      <c r="C85" s="100" t="s">
        <v>105</v>
      </c>
      <c r="D85" s="82" t="s">
        <v>62</v>
      </c>
      <c r="E85" s="82"/>
      <c r="F85" s="82"/>
      <c r="G85" s="82"/>
      <c r="H85" s="82"/>
      <c r="I85" s="82"/>
      <c r="J85" s="82"/>
      <c r="K85" s="82"/>
      <c r="L85" s="82"/>
      <c r="M85" s="82"/>
      <c r="N85" s="103"/>
      <c r="O85" s="103"/>
      <c r="P85" s="103"/>
      <c r="Q85" s="103"/>
      <c r="R85" s="103"/>
      <c r="S85" s="56">
        <f t="shared" si="2"/>
        <v>0</v>
      </c>
      <c r="T85" s="99">
        <v>13.6</v>
      </c>
      <c r="U85" s="99">
        <v>29.9</v>
      </c>
      <c r="V85" s="57">
        <f t="shared" si="3"/>
        <v>0</v>
      </c>
    </row>
    <row r="86" spans="1:22" ht="15" hidden="1" customHeight="1" x14ac:dyDescent="0.2">
      <c r="A86" s="95">
        <v>6848</v>
      </c>
      <c r="B86" s="95" t="s">
        <v>326</v>
      </c>
      <c r="C86" s="95" t="s">
        <v>107</v>
      </c>
      <c r="D86" s="82" t="s">
        <v>62</v>
      </c>
      <c r="E86" s="82"/>
      <c r="F86" s="82"/>
      <c r="G86" s="82"/>
      <c r="H86" s="82"/>
      <c r="I86" s="82"/>
      <c r="J86" s="82"/>
      <c r="K86" s="82"/>
      <c r="L86" s="82"/>
      <c r="M86" s="82"/>
      <c r="N86" s="103"/>
      <c r="O86" s="103"/>
      <c r="P86" s="103"/>
      <c r="Q86" s="103"/>
      <c r="R86" s="103"/>
      <c r="S86" s="56">
        <f t="shared" si="2"/>
        <v>0</v>
      </c>
      <c r="T86" s="99">
        <v>13.6</v>
      </c>
      <c r="U86" s="99">
        <v>29.9</v>
      </c>
      <c r="V86" s="57">
        <f t="shared" si="3"/>
        <v>0</v>
      </c>
    </row>
    <row r="87" spans="1:22" ht="15" hidden="1" customHeight="1" x14ac:dyDescent="0.2">
      <c r="A87" s="95">
        <v>6849</v>
      </c>
      <c r="B87" s="95" t="s">
        <v>112</v>
      </c>
      <c r="C87" s="95" t="s">
        <v>313</v>
      </c>
      <c r="D87" s="82" t="s">
        <v>62</v>
      </c>
      <c r="E87" s="82"/>
      <c r="F87" s="82"/>
      <c r="G87" s="82"/>
      <c r="H87" s="82"/>
      <c r="I87" s="82"/>
      <c r="J87" s="82"/>
      <c r="K87" s="82"/>
      <c r="L87" s="82"/>
      <c r="M87" s="82"/>
      <c r="N87" s="103"/>
      <c r="O87" s="103"/>
      <c r="P87" s="103"/>
      <c r="Q87" s="103"/>
      <c r="R87" s="103"/>
      <c r="S87" s="56">
        <f t="shared" si="2"/>
        <v>0</v>
      </c>
      <c r="T87" s="99">
        <v>12.7</v>
      </c>
      <c r="U87" s="99">
        <v>27.9</v>
      </c>
      <c r="V87" s="57">
        <f t="shared" si="3"/>
        <v>0</v>
      </c>
    </row>
    <row r="88" spans="1:22" ht="15" hidden="1" customHeight="1" x14ac:dyDescent="0.2">
      <c r="A88" s="95">
        <v>6850</v>
      </c>
      <c r="B88" s="95" t="s">
        <v>113</v>
      </c>
      <c r="C88" s="95" t="s">
        <v>313</v>
      </c>
      <c r="D88" s="82" t="s">
        <v>115</v>
      </c>
      <c r="E88" s="103"/>
      <c r="F88" s="103"/>
      <c r="G88" s="82"/>
      <c r="H88" s="82"/>
      <c r="I88" s="82"/>
      <c r="J88" s="103"/>
      <c r="K88" s="103"/>
      <c r="L88" s="103"/>
      <c r="M88" s="103"/>
      <c r="N88" s="103"/>
      <c r="O88" s="103"/>
      <c r="P88" s="103"/>
      <c r="Q88" s="103"/>
      <c r="R88" s="103"/>
      <c r="S88" s="56">
        <f t="shared" si="2"/>
        <v>0</v>
      </c>
      <c r="T88" s="99">
        <v>9.1</v>
      </c>
      <c r="U88" s="99">
        <v>19.899999999999999</v>
      </c>
      <c r="V88" s="57">
        <f t="shared" si="3"/>
        <v>0</v>
      </c>
    </row>
    <row r="89" spans="1:22" ht="15" hidden="1" customHeight="1" x14ac:dyDescent="0.2">
      <c r="A89" s="95">
        <v>6850</v>
      </c>
      <c r="B89" s="95" t="s">
        <v>327</v>
      </c>
      <c r="C89" s="95" t="s">
        <v>315</v>
      </c>
      <c r="D89" s="82" t="s">
        <v>115</v>
      </c>
      <c r="E89" s="103"/>
      <c r="F89" s="103"/>
      <c r="G89" s="82"/>
      <c r="H89" s="82"/>
      <c r="I89" s="82"/>
      <c r="J89" s="103"/>
      <c r="K89" s="103"/>
      <c r="L89" s="103"/>
      <c r="M89" s="103"/>
      <c r="N89" s="103"/>
      <c r="O89" s="103"/>
      <c r="P89" s="103"/>
      <c r="Q89" s="103"/>
      <c r="R89" s="103"/>
      <c r="S89" s="56">
        <f t="shared" si="2"/>
        <v>0</v>
      </c>
      <c r="T89" s="99">
        <v>9.1</v>
      </c>
      <c r="U89" s="99">
        <v>19.899999999999999</v>
      </c>
      <c r="V89" s="57">
        <f t="shared" si="3"/>
        <v>0</v>
      </c>
    </row>
    <row r="90" spans="1:22" ht="15" hidden="1" customHeight="1" x14ac:dyDescent="0.2">
      <c r="A90" s="95">
        <v>6850</v>
      </c>
      <c r="B90" s="95" t="s">
        <v>328</v>
      </c>
      <c r="C90" s="95" t="s">
        <v>298</v>
      </c>
      <c r="D90" s="82" t="s">
        <v>115</v>
      </c>
      <c r="E90" s="103"/>
      <c r="F90" s="103"/>
      <c r="G90" s="82"/>
      <c r="H90" s="82"/>
      <c r="I90" s="82"/>
      <c r="J90" s="103"/>
      <c r="K90" s="103"/>
      <c r="L90" s="103"/>
      <c r="M90" s="103"/>
      <c r="N90" s="103"/>
      <c r="O90" s="103"/>
      <c r="P90" s="103"/>
      <c r="Q90" s="103"/>
      <c r="R90" s="103"/>
      <c r="S90" s="56">
        <f t="shared" si="2"/>
        <v>0</v>
      </c>
      <c r="T90" s="99">
        <v>9.1</v>
      </c>
      <c r="U90" s="99">
        <v>19.899999999999999</v>
      </c>
      <c r="V90" s="57">
        <f t="shared" si="3"/>
        <v>0</v>
      </c>
    </row>
    <row r="91" spans="1:22" ht="15" hidden="1" customHeight="1" x14ac:dyDescent="0.2">
      <c r="A91" s="95">
        <v>6850</v>
      </c>
      <c r="B91" s="95" t="s">
        <v>329</v>
      </c>
      <c r="C91" s="95" t="s">
        <v>318</v>
      </c>
      <c r="D91" s="82" t="s">
        <v>115</v>
      </c>
      <c r="E91" s="103"/>
      <c r="F91" s="103"/>
      <c r="G91" s="82"/>
      <c r="H91" s="82"/>
      <c r="I91" s="82"/>
      <c r="J91" s="103"/>
      <c r="K91" s="103"/>
      <c r="L91" s="103"/>
      <c r="M91" s="103"/>
      <c r="N91" s="103"/>
      <c r="O91" s="103"/>
      <c r="P91" s="103"/>
      <c r="Q91" s="103"/>
      <c r="R91" s="103"/>
      <c r="S91" s="56">
        <f t="shared" si="2"/>
        <v>0</v>
      </c>
      <c r="T91" s="99">
        <v>9.1</v>
      </c>
      <c r="U91" s="99">
        <v>19.899999999999999</v>
      </c>
      <c r="V91" s="57">
        <f t="shared" si="3"/>
        <v>0</v>
      </c>
    </row>
    <row r="92" spans="1:22" ht="15" hidden="1" customHeight="1" x14ac:dyDescent="0.25">
      <c r="A92" s="95">
        <v>6850</v>
      </c>
      <c r="B92" s="95" t="s">
        <v>330</v>
      </c>
      <c r="C92" s="100" t="s">
        <v>105</v>
      </c>
      <c r="D92" s="82" t="s">
        <v>115</v>
      </c>
      <c r="E92" s="103"/>
      <c r="F92" s="103"/>
      <c r="G92" s="82"/>
      <c r="H92" s="82"/>
      <c r="I92" s="82"/>
      <c r="J92" s="103"/>
      <c r="K92" s="103"/>
      <c r="L92" s="103"/>
      <c r="M92" s="103"/>
      <c r="N92" s="103"/>
      <c r="O92" s="103"/>
      <c r="P92" s="103"/>
      <c r="Q92" s="103"/>
      <c r="R92" s="103"/>
      <c r="S92" s="56">
        <f t="shared" si="2"/>
        <v>0</v>
      </c>
      <c r="T92" s="99">
        <v>9.1</v>
      </c>
      <c r="U92" s="99">
        <v>19.899999999999999</v>
      </c>
      <c r="V92" s="57">
        <f t="shared" si="3"/>
        <v>0</v>
      </c>
    </row>
    <row r="93" spans="1:22" ht="15" hidden="1" customHeight="1" x14ac:dyDescent="0.2">
      <c r="A93" s="95">
        <v>6850</v>
      </c>
      <c r="B93" s="95" t="s">
        <v>331</v>
      </c>
      <c r="C93" s="95" t="s">
        <v>107</v>
      </c>
      <c r="D93" s="82" t="s">
        <v>115</v>
      </c>
      <c r="E93" s="103"/>
      <c r="F93" s="103"/>
      <c r="G93" s="82"/>
      <c r="H93" s="82"/>
      <c r="I93" s="82"/>
      <c r="J93" s="103"/>
      <c r="K93" s="103"/>
      <c r="L93" s="103"/>
      <c r="M93" s="103"/>
      <c r="N93" s="103"/>
      <c r="O93" s="103"/>
      <c r="P93" s="103"/>
      <c r="Q93" s="103"/>
      <c r="R93" s="103"/>
      <c r="S93" s="56">
        <f t="shared" si="2"/>
        <v>0</v>
      </c>
      <c r="T93" s="99">
        <v>9.1</v>
      </c>
      <c r="U93" s="99">
        <v>19.899999999999999</v>
      </c>
      <c r="V93" s="57">
        <f t="shared" si="3"/>
        <v>0</v>
      </c>
    </row>
    <row r="94" spans="1:22" ht="15" hidden="1" customHeight="1" x14ac:dyDescent="0.2">
      <c r="A94" s="95">
        <v>6851</v>
      </c>
      <c r="B94" s="95" t="s">
        <v>114</v>
      </c>
      <c r="C94" s="95" t="s">
        <v>315</v>
      </c>
      <c r="D94" s="56" t="s">
        <v>55</v>
      </c>
      <c r="E94" s="103"/>
      <c r="F94" s="103"/>
      <c r="G94" s="103"/>
      <c r="H94" s="103"/>
      <c r="I94" s="82"/>
      <c r="J94" s="82"/>
      <c r="K94" s="82"/>
      <c r="L94" s="82"/>
      <c r="M94" s="82"/>
      <c r="N94" s="82"/>
      <c r="O94" s="82"/>
      <c r="P94" s="82"/>
      <c r="Q94" s="103"/>
      <c r="R94" s="103"/>
      <c r="S94" s="56">
        <f t="shared" si="2"/>
        <v>0</v>
      </c>
      <c r="T94" s="99">
        <v>18.2</v>
      </c>
      <c r="U94" s="99">
        <v>39.9</v>
      </c>
      <c r="V94" s="57">
        <f t="shared" si="3"/>
        <v>0</v>
      </c>
    </row>
    <row r="95" spans="1:22" ht="15" hidden="1" customHeight="1" x14ac:dyDescent="0.2">
      <c r="A95" s="95">
        <v>6851</v>
      </c>
      <c r="B95" s="95" t="s">
        <v>332</v>
      </c>
      <c r="C95" s="95" t="s">
        <v>315</v>
      </c>
      <c r="D95" s="102" t="s">
        <v>117</v>
      </c>
      <c r="E95" s="82"/>
      <c r="F95" s="82"/>
      <c r="G95" s="82"/>
      <c r="H95" s="82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56">
        <f t="shared" si="2"/>
        <v>0</v>
      </c>
      <c r="T95" s="99">
        <v>18.2</v>
      </c>
      <c r="U95" s="99">
        <v>39.9</v>
      </c>
      <c r="V95" s="57">
        <f t="shared" si="3"/>
        <v>0</v>
      </c>
    </row>
    <row r="96" spans="1:22" ht="15" hidden="1" customHeight="1" x14ac:dyDescent="0.2">
      <c r="A96" s="95">
        <v>6851</v>
      </c>
      <c r="B96" s="95" t="s">
        <v>333</v>
      </c>
      <c r="C96" s="95" t="s">
        <v>298</v>
      </c>
      <c r="D96" s="56" t="s">
        <v>55</v>
      </c>
      <c r="E96" s="103"/>
      <c r="F96" s="103"/>
      <c r="G96" s="103"/>
      <c r="H96" s="103"/>
      <c r="I96" s="82"/>
      <c r="J96" s="82"/>
      <c r="K96" s="82"/>
      <c r="L96" s="82"/>
      <c r="M96" s="82"/>
      <c r="N96" s="82"/>
      <c r="O96" s="82"/>
      <c r="P96" s="82"/>
      <c r="Q96" s="103"/>
      <c r="R96" s="103"/>
      <c r="S96" s="56">
        <f t="shared" si="2"/>
        <v>0</v>
      </c>
      <c r="T96" s="99">
        <v>18.2</v>
      </c>
      <c r="U96" s="99">
        <v>39.9</v>
      </c>
      <c r="V96" s="57">
        <f t="shared" si="3"/>
        <v>0</v>
      </c>
    </row>
    <row r="97" spans="1:25" ht="15" hidden="1" customHeight="1" x14ac:dyDescent="0.2">
      <c r="A97" s="95">
        <v>6851</v>
      </c>
      <c r="B97" s="95" t="s">
        <v>334</v>
      </c>
      <c r="C97" s="95" t="s">
        <v>298</v>
      </c>
      <c r="D97" s="102" t="s">
        <v>117</v>
      </c>
      <c r="E97" s="82"/>
      <c r="F97" s="82"/>
      <c r="G97" s="82"/>
      <c r="H97" s="82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56">
        <f t="shared" si="2"/>
        <v>0</v>
      </c>
      <c r="T97" s="99">
        <v>18.2</v>
      </c>
      <c r="U97" s="99">
        <v>39.9</v>
      </c>
      <c r="V97" s="57">
        <f t="shared" si="3"/>
        <v>0</v>
      </c>
    </row>
    <row r="98" spans="1:25" ht="15" hidden="1" customHeight="1" x14ac:dyDescent="0.2">
      <c r="A98" s="95">
        <v>6851</v>
      </c>
      <c r="B98" s="95" t="s">
        <v>335</v>
      </c>
      <c r="C98" s="95" t="s">
        <v>318</v>
      </c>
      <c r="D98" s="56" t="s">
        <v>55</v>
      </c>
      <c r="E98" s="103"/>
      <c r="F98" s="103"/>
      <c r="G98" s="103"/>
      <c r="H98" s="103"/>
      <c r="I98" s="82"/>
      <c r="J98" s="82"/>
      <c r="K98" s="82"/>
      <c r="L98" s="82"/>
      <c r="M98" s="82"/>
      <c r="N98" s="82"/>
      <c r="O98" s="82"/>
      <c r="P98" s="82"/>
      <c r="Q98" s="103"/>
      <c r="R98" s="103"/>
      <c r="S98" s="56">
        <f t="shared" si="2"/>
        <v>0</v>
      </c>
      <c r="T98" s="99">
        <v>18.2</v>
      </c>
      <c r="U98" s="99">
        <v>39.9</v>
      </c>
      <c r="V98" s="57">
        <f t="shared" si="3"/>
        <v>0</v>
      </c>
    </row>
    <row r="99" spans="1:25" ht="15" hidden="1" customHeight="1" x14ac:dyDescent="0.2">
      <c r="A99" s="95">
        <v>6851</v>
      </c>
      <c r="B99" s="95" t="s">
        <v>336</v>
      </c>
      <c r="C99" s="95" t="s">
        <v>318</v>
      </c>
      <c r="D99" s="102" t="s">
        <v>117</v>
      </c>
      <c r="E99" s="82"/>
      <c r="F99" s="82"/>
      <c r="G99" s="82"/>
      <c r="H99" s="82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56">
        <f t="shared" si="2"/>
        <v>0</v>
      </c>
      <c r="T99" s="99">
        <v>18.2</v>
      </c>
      <c r="U99" s="99">
        <v>39.9</v>
      </c>
      <c r="V99" s="57">
        <f t="shared" si="3"/>
        <v>0</v>
      </c>
    </row>
    <row r="100" spans="1:25" ht="15" hidden="1" customHeight="1" x14ac:dyDescent="0.25">
      <c r="A100" s="95">
        <v>6851</v>
      </c>
      <c r="B100" s="95" t="s">
        <v>337</v>
      </c>
      <c r="C100" s="100" t="s">
        <v>105</v>
      </c>
      <c r="D100" s="56" t="s">
        <v>55</v>
      </c>
      <c r="E100" s="103"/>
      <c r="F100" s="103"/>
      <c r="G100" s="103"/>
      <c r="H100" s="103"/>
      <c r="I100" s="82"/>
      <c r="J100" s="82"/>
      <c r="K100" s="82"/>
      <c r="L100" s="82"/>
      <c r="M100" s="82"/>
      <c r="N100" s="82"/>
      <c r="O100" s="82"/>
      <c r="P100" s="82"/>
      <c r="Q100" s="103"/>
      <c r="R100" s="103"/>
      <c r="S100" s="56">
        <f t="shared" si="2"/>
        <v>0</v>
      </c>
      <c r="T100" s="99">
        <v>18.2</v>
      </c>
      <c r="U100" s="99">
        <v>39.9</v>
      </c>
      <c r="V100" s="57">
        <f t="shared" si="3"/>
        <v>0</v>
      </c>
    </row>
    <row r="101" spans="1:25" ht="15" hidden="1" customHeight="1" x14ac:dyDescent="0.25">
      <c r="A101" s="95">
        <v>6851</v>
      </c>
      <c r="B101" s="95" t="s">
        <v>338</v>
      </c>
      <c r="C101" s="100" t="s">
        <v>105</v>
      </c>
      <c r="D101" s="102" t="s">
        <v>117</v>
      </c>
      <c r="E101" s="82"/>
      <c r="F101" s="82"/>
      <c r="G101" s="82"/>
      <c r="H101" s="82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56">
        <f t="shared" si="2"/>
        <v>0</v>
      </c>
      <c r="T101" s="99">
        <v>18.2</v>
      </c>
      <c r="U101" s="99">
        <v>39.9</v>
      </c>
      <c r="V101" s="57">
        <f t="shared" si="3"/>
        <v>0</v>
      </c>
    </row>
    <row r="102" spans="1:25" ht="15" hidden="1" customHeight="1" x14ac:dyDescent="0.2">
      <c r="A102" s="95">
        <v>6851</v>
      </c>
      <c r="B102" s="95" t="s">
        <v>339</v>
      </c>
      <c r="C102" s="95" t="s">
        <v>107</v>
      </c>
      <c r="D102" s="56" t="s">
        <v>55</v>
      </c>
      <c r="E102" s="103"/>
      <c r="F102" s="103"/>
      <c r="G102" s="103"/>
      <c r="H102" s="103"/>
      <c r="I102" s="82"/>
      <c r="J102" s="82"/>
      <c r="K102" s="82"/>
      <c r="L102" s="82"/>
      <c r="M102" s="82"/>
      <c r="N102" s="82"/>
      <c r="O102" s="82"/>
      <c r="P102" s="82"/>
      <c r="Q102" s="103"/>
      <c r="R102" s="103"/>
      <c r="S102" s="56">
        <f t="shared" si="2"/>
        <v>0</v>
      </c>
      <c r="T102" s="99">
        <v>18.2</v>
      </c>
      <c r="U102" s="99">
        <v>39.9</v>
      </c>
      <c r="V102" s="57">
        <f t="shared" si="3"/>
        <v>0</v>
      </c>
    </row>
    <row r="103" spans="1:25" ht="15" hidden="1" customHeight="1" x14ac:dyDescent="0.2">
      <c r="A103" s="95">
        <v>6851</v>
      </c>
      <c r="B103" s="95" t="s">
        <v>340</v>
      </c>
      <c r="C103" s="95" t="s">
        <v>107</v>
      </c>
      <c r="D103" s="102" t="s">
        <v>117</v>
      </c>
      <c r="E103" s="82"/>
      <c r="F103" s="82"/>
      <c r="G103" s="82"/>
      <c r="H103" s="82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56">
        <f t="shared" si="2"/>
        <v>0</v>
      </c>
      <c r="T103" s="99">
        <v>18.2</v>
      </c>
      <c r="U103" s="99">
        <v>39.9</v>
      </c>
      <c r="V103" s="57">
        <f t="shared" si="3"/>
        <v>0</v>
      </c>
    </row>
    <row r="104" spans="1:25" ht="15" hidden="1" customHeight="1" x14ac:dyDescent="0.25">
      <c r="A104" s="100">
        <v>6852</v>
      </c>
      <c r="B104" s="100" t="s">
        <v>116</v>
      </c>
      <c r="C104" s="95" t="s">
        <v>313</v>
      </c>
      <c r="D104" s="81" t="s">
        <v>62</v>
      </c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103"/>
      <c r="P104" s="103"/>
      <c r="Q104" s="103"/>
      <c r="R104" s="103"/>
      <c r="S104" s="56">
        <f t="shared" si="2"/>
        <v>0</v>
      </c>
      <c r="T104" s="101">
        <v>31.8</v>
      </c>
      <c r="U104" s="101">
        <v>69.900000000000006</v>
      </c>
      <c r="V104" s="57">
        <f t="shared" si="3"/>
        <v>0</v>
      </c>
    </row>
    <row r="105" spans="1:25" ht="15" hidden="1" customHeight="1" x14ac:dyDescent="0.25">
      <c r="A105" s="100">
        <v>6852</v>
      </c>
      <c r="B105" s="100" t="s">
        <v>108</v>
      </c>
      <c r="C105" s="95" t="s">
        <v>315</v>
      </c>
      <c r="D105" s="82" t="s">
        <v>62</v>
      </c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103"/>
      <c r="P105" s="103"/>
      <c r="Q105" s="103"/>
      <c r="R105" s="103"/>
      <c r="S105" s="56">
        <f t="shared" si="2"/>
        <v>0</v>
      </c>
      <c r="T105" s="101">
        <v>31.8</v>
      </c>
      <c r="U105" s="101">
        <v>69.900000000000006</v>
      </c>
      <c r="V105" s="57">
        <f t="shared" si="3"/>
        <v>0</v>
      </c>
    </row>
    <row r="106" spans="1:25" ht="15" hidden="1" customHeight="1" x14ac:dyDescent="0.25">
      <c r="A106" s="100">
        <v>6852</v>
      </c>
      <c r="B106" s="100" t="s">
        <v>109</v>
      </c>
      <c r="C106" s="95" t="s">
        <v>298</v>
      </c>
      <c r="D106" s="82" t="s">
        <v>62</v>
      </c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103"/>
      <c r="P106" s="103"/>
      <c r="Q106" s="103"/>
      <c r="R106" s="103"/>
      <c r="S106" s="56">
        <f t="shared" si="2"/>
        <v>0</v>
      </c>
      <c r="T106" s="101">
        <v>31.8</v>
      </c>
      <c r="U106" s="101">
        <v>69.900000000000006</v>
      </c>
      <c r="V106" s="57">
        <f t="shared" si="3"/>
        <v>0</v>
      </c>
    </row>
    <row r="107" spans="1:25" ht="15" hidden="1" customHeight="1" x14ac:dyDescent="0.25">
      <c r="A107" s="100">
        <v>6852</v>
      </c>
      <c r="B107" s="100" t="s">
        <v>87</v>
      </c>
      <c r="C107" s="95" t="s">
        <v>318</v>
      </c>
      <c r="D107" s="82" t="s">
        <v>62</v>
      </c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103"/>
      <c r="P107" s="103"/>
      <c r="Q107" s="103"/>
      <c r="R107" s="103"/>
      <c r="S107" s="56">
        <f t="shared" si="2"/>
        <v>0</v>
      </c>
      <c r="T107" s="101">
        <v>31.8</v>
      </c>
      <c r="U107" s="101">
        <v>69.900000000000006</v>
      </c>
      <c r="V107" s="57">
        <f t="shared" si="3"/>
        <v>0</v>
      </c>
    </row>
    <row r="108" spans="1:25" ht="15" hidden="1" customHeight="1" x14ac:dyDescent="0.25">
      <c r="A108" s="100">
        <v>6852</v>
      </c>
      <c r="B108" s="100" t="s">
        <v>110</v>
      </c>
      <c r="C108" s="100" t="s">
        <v>105</v>
      </c>
      <c r="D108" s="82" t="s">
        <v>62</v>
      </c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103"/>
      <c r="P108" s="103"/>
      <c r="Q108" s="103"/>
      <c r="R108" s="103"/>
      <c r="S108" s="56">
        <f t="shared" si="2"/>
        <v>0</v>
      </c>
      <c r="T108" s="101">
        <v>31.8</v>
      </c>
      <c r="U108" s="101">
        <v>69.900000000000006</v>
      </c>
      <c r="V108" s="57">
        <f t="shared" si="3"/>
        <v>0</v>
      </c>
    </row>
    <row r="109" spans="1:25" ht="15" hidden="1" customHeight="1" x14ac:dyDescent="0.25">
      <c r="A109" s="100">
        <v>6852</v>
      </c>
      <c r="B109" s="100" t="s">
        <v>106</v>
      </c>
      <c r="C109" s="95" t="s">
        <v>107</v>
      </c>
      <c r="D109" s="82" t="s">
        <v>62</v>
      </c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103"/>
      <c r="P109" s="103"/>
      <c r="Q109" s="103"/>
      <c r="R109" s="103"/>
      <c r="S109" s="56">
        <f t="shared" si="2"/>
        <v>0</v>
      </c>
      <c r="T109" s="101">
        <v>31.8</v>
      </c>
      <c r="U109" s="101">
        <v>69.900000000000006</v>
      </c>
      <c r="V109" s="57">
        <f t="shared" si="3"/>
        <v>0</v>
      </c>
    </row>
    <row r="110" spans="1:25" ht="15" hidden="1" customHeight="1" x14ac:dyDescent="0.2">
      <c r="A110" s="95">
        <v>6925</v>
      </c>
      <c r="B110" s="95" t="s">
        <v>111</v>
      </c>
      <c r="C110" s="95" t="s">
        <v>118</v>
      </c>
      <c r="D110" s="82" t="s">
        <v>121</v>
      </c>
      <c r="E110" s="103"/>
      <c r="F110" s="82"/>
      <c r="G110" s="82"/>
      <c r="H110" s="82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56">
        <f t="shared" si="2"/>
        <v>0</v>
      </c>
      <c r="T110" s="99">
        <v>20.9</v>
      </c>
      <c r="U110" s="99">
        <v>45.9</v>
      </c>
      <c r="V110" s="57">
        <f t="shared" si="3"/>
        <v>0</v>
      </c>
      <c r="X110" s="62"/>
      <c r="Y110" s="113"/>
    </row>
    <row r="111" spans="1:25" ht="15" hidden="1" customHeight="1" x14ac:dyDescent="0.2">
      <c r="A111" s="95">
        <v>6925</v>
      </c>
      <c r="B111" s="95" t="s">
        <v>341</v>
      </c>
      <c r="C111" s="95" t="s">
        <v>119</v>
      </c>
      <c r="D111" s="82" t="s">
        <v>121</v>
      </c>
      <c r="E111" s="103"/>
      <c r="F111" s="82"/>
      <c r="G111" s="82"/>
      <c r="H111" s="82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56">
        <f t="shared" si="2"/>
        <v>0</v>
      </c>
      <c r="T111" s="99">
        <v>20.9</v>
      </c>
      <c r="U111" s="99">
        <v>45.9</v>
      </c>
      <c r="V111" s="57">
        <f t="shared" si="3"/>
        <v>0</v>
      </c>
      <c r="X111" s="62"/>
      <c r="Y111" s="113"/>
    </row>
    <row r="112" spans="1:25" ht="15" hidden="1" customHeight="1" x14ac:dyDescent="0.25">
      <c r="A112" s="100">
        <v>720410</v>
      </c>
      <c r="B112" s="100" t="s">
        <v>342</v>
      </c>
      <c r="C112" s="100" t="s">
        <v>343</v>
      </c>
      <c r="D112" s="102" t="s">
        <v>58</v>
      </c>
      <c r="E112" s="130"/>
      <c r="F112" s="130"/>
      <c r="G112" s="100"/>
      <c r="H112" s="100"/>
      <c r="I112" s="100"/>
      <c r="J112" s="100"/>
      <c r="K112" s="100"/>
      <c r="L112" s="100"/>
      <c r="M112" s="130"/>
      <c r="N112" s="130"/>
      <c r="O112" s="131"/>
      <c r="P112" s="131"/>
      <c r="Q112" s="131"/>
      <c r="R112" s="131"/>
      <c r="S112" s="128">
        <f t="shared" si="2"/>
        <v>0</v>
      </c>
      <c r="T112" s="101">
        <v>18.2</v>
      </c>
      <c r="U112" s="101">
        <v>39.9</v>
      </c>
      <c r="V112" s="129">
        <f t="shared" si="3"/>
        <v>0</v>
      </c>
      <c r="X112" s="62"/>
      <c r="Y112" s="113"/>
    </row>
    <row r="113" spans="1:25" ht="15" hidden="1" customHeight="1" x14ac:dyDescent="0.25">
      <c r="A113" s="100">
        <v>720410</v>
      </c>
      <c r="B113" s="100" t="s">
        <v>344</v>
      </c>
      <c r="C113" s="100" t="s">
        <v>345</v>
      </c>
      <c r="D113" s="102" t="s">
        <v>58</v>
      </c>
      <c r="E113" s="130"/>
      <c r="F113" s="130"/>
      <c r="G113" s="100"/>
      <c r="H113" s="100"/>
      <c r="I113" s="100"/>
      <c r="J113" s="100"/>
      <c r="K113" s="100"/>
      <c r="L113" s="100"/>
      <c r="M113" s="130"/>
      <c r="N113" s="130"/>
      <c r="O113" s="131"/>
      <c r="P113" s="131"/>
      <c r="Q113" s="131"/>
      <c r="R113" s="131"/>
      <c r="S113" s="128">
        <f t="shared" si="2"/>
        <v>0</v>
      </c>
      <c r="T113" s="101">
        <v>18.2</v>
      </c>
      <c r="U113" s="101">
        <v>39.9</v>
      </c>
      <c r="V113" s="129">
        <f t="shared" si="3"/>
        <v>0</v>
      </c>
      <c r="X113" s="62"/>
      <c r="Y113" s="113"/>
    </row>
    <row r="114" spans="1:25" ht="15" hidden="1" customHeight="1" x14ac:dyDescent="0.25">
      <c r="A114" s="100">
        <v>720410</v>
      </c>
      <c r="B114" s="100" t="s">
        <v>346</v>
      </c>
      <c r="C114" s="100" t="s">
        <v>347</v>
      </c>
      <c r="D114" s="102" t="s">
        <v>58</v>
      </c>
      <c r="E114" s="130"/>
      <c r="F114" s="130"/>
      <c r="G114" s="100"/>
      <c r="H114" s="100"/>
      <c r="I114" s="100"/>
      <c r="J114" s="100"/>
      <c r="K114" s="100"/>
      <c r="L114" s="100"/>
      <c r="M114" s="130"/>
      <c r="N114" s="130"/>
      <c r="O114" s="131"/>
      <c r="P114" s="131"/>
      <c r="Q114" s="131"/>
      <c r="R114" s="131"/>
      <c r="S114" s="128">
        <f t="shared" si="2"/>
        <v>0</v>
      </c>
      <c r="T114" s="101">
        <v>18.2</v>
      </c>
      <c r="U114" s="101">
        <v>39.9</v>
      </c>
      <c r="V114" s="129">
        <f t="shared" si="3"/>
        <v>0</v>
      </c>
    </row>
    <row r="115" spans="1:25" ht="15" hidden="1" customHeight="1" x14ac:dyDescent="0.25">
      <c r="A115" s="100">
        <v>720410</v>
      </c>
      <c r="B115" s="100" t="s">
        <v>348</v>
      </c>
      <c r="C115" s="100" t="s">
        <v>349</v>
      </c>
      <c r="D115" s="102" t="s">
        <v>58</v>
      </c>
      <c r="E115" s="130"/>
      <c r="F115" s="130"/>
      <c r="G115" s="100"/>
      <c r="H115" s="100"/>
      <c r="I115" s="100"/>
      <c r="J115" s="100"/>
      <c r="K115" s="100"/>
      <c r="L115" s="100"/>
      <c r="M115" s="130"/>
      <c r="N115" s="130"/>
      <c r="O115" s="131"/>
      <c r="P115" s="131"/>
      <c r="Q115" s="131"/>
      <c r="R115" s="131"/>
      <c r="S115" s="128">
        <f t="shared" si="2"/>
        <v>0</v>
      </c>
      <c r="T115" s="101">
        <v>18.2</v>
      </c>
      <c r="U115" s="101">
        <v>39.9</v>
      </c>
      <c r="V115" s="129">
        <f t="shared" si="3"/>
        <v>0</v>
      </c>
    </row>
    <row r="116" spans="1:25" ht="15" hidden="1" customHeight="1" x14ac:dyDescent="0.25">
      <c r="A116" s="100">
        <v>720410</v>
      </c>
      <c r="B116" s="100" t="s">
        <v>350</v>
      </c>
      <c r="C116" s="100" t="s">
        <v>351</v>
      </c>
      <c r="D116" s="102" t="s">
        <v>58</v>
      </c>
      <c r="E116" s="130"/>
      <c r="F116" s="130"/>
      <c r="G116" s="100"/>
      <c r="H116" s="100"/>
      <c r="I116" s="100"/>
      <c r="J116" s="100"/>
      <c r="K116" s="100"/>
      <c r="L116" s="100"/>
      <c r="M116" s="130"/>
      <c r="N116" s="130"/>
      <c r="O116" s="131"/>
      <c r="P116" s="131"/>
      <c r="Q116" s="131"/>
      <c r="R116" s="131"/>
      <c r="S116" s="128">
        <f t="shared" si="2"/>
        <v>0</v>
      </c>
      <c r="T116" s="101">
        <v>18.2</v>
      </c>
      <c r="U116" s="101">
        <v>39.9</v>
      </c>
      <c r="V116" s="129">
        <f t="shared" si="3"/>
        <v>0</v>
      </c>
    </row>
    <row r="117" spans="1:25" ht="15" hidden="1" customHeight="1" x14ac:dyDescent="0.25">
      <c r="A117" s="100">
        <v>720410</v>
      </c>
      <c r="B117" s="100" t="s">
        <v>352</v>
      </c>
      <c r="C117" s="100" t="s">
        <v>123</v>
      </c>
      <c r="D117" s="102" t="s">
        <v>58</v>
      </c>
      <c r="E117" s="130"/>
      <c r="F117" s="130"/>
      <c r="G117" s="100"/>
      <c r="H117" s="100"/>
      <c r="I117" s="100"/>
      <c r="J117" s="100"/>
      <c r="K117" s="100"/>
      <c r="L117" s="100"/>
      <c r="M117" s="130"/>
      <c r="N117" s="130"/>
      <c r="O117" s="131"/>
      <c r="P117" s="131"/>
      <c r="Q117" s="131"/>
      <c r="R117" s="131"/>
      <c r="S117" s="128">
        <f t="shared" si="2"/>
        <v>0</v>
      </c>
      <c r="T117" s="101">
        <v>18.2</v>
      </c>
      <c r="U117" s="101">
        <v>39.9</v>
      </c>
      <c r="V117" s="129">
        <f t="shared" si="3"/>
        <v>0</v>
      </c>
    </row>
    <row r="118" spans="1:25" ht="15" hidden="1" customHeight="1" x14ac:dyDescent="0.25">
      <c r="A118" s="100">
        <v>720412</v>
      </c>
      <c r="B118" s="100" t="s">
        <v>353</v>
      </c>
      <c r="C118" s="100" t="s">
        <v>118</v>
      </c>
      <c r="D118" s="102" t="s">
        <v>58</v>
      </c>
      <c r="E118" s="130"/>
      <c r="F118" s="130"/>
      <c r="G118" s="100"/>
      <c r="H118" s="100"/>
      <c r="I118" s="100"/>
      <c r="J118" s="100"/>
      <c r="K118" s="100"/>
      <c r="L118" s="100"/>
      <c r="M118" s="130"/>
      <c r="N118" s="130"/>
      <c r="O118" s="131"/>
      <c r="P118" s="131"/>
      <c r="Q118" s="131"/>
      <c r="R118" s="131"/>
      <c r="S118" s="128">
        <f t="shared" si="2"/>
        <v>0</v>
      </c>
      <c r="T118" s="101">
        <v>18.2</v>
      </c>
      <c r="U118" s="101">
        <v>39.9</v>
      </c>
      <c r="V118" s="129">
        <f t="shared" si="3"/>
        <v>0</v>
      </c>
    </row>
    <row r="119" spans="1:25" ht="15" hidden="1" customHeight="1" x14ac:dyDescent="0.25">
      <c r="A119" s="100">
        <v>720412</v>
      </c>
      <c r="B119" s="100" t="s">
        <v>354</v>
      </c>
      <c r="C119" s="100" t="s">
        <v>123</v>
      </c>
      <c r="D119" s="102" t="s">
        <v>58</v>
      </c>
      <c r="E119" s="130"/>
      <c r="F119" s="130"/>
      <c r="G119" s="100"/>
      <c r="H119" s="100"/>
      <c r="I119" s="100"/>
      <c r="J119" s="100"/>
      <c r="K119" s="100"/>
      <c r="L119" s="100"/>
      <c r="M119" s="130"/>
      <c r="N119" s="130"/>
      <c r="O119" s="131"/>
      <c r="P119" s="131"/>
      <c r="Q119" s="131"/>
      <c r="R119" s="131"/>
      <c r="S119" s="128">
        <f t="shared" si="2"/>
        <v>0</v>
      </c>
      <c r="T119" s="101">
        <v>18.2</v>
      </c>
      <c r="U119" s="101">
        <v>39.9</v>
      </c>
      <c r="V119" s="129">
        <f t="shared" si="3"/>
        <v>0</v>
      </c>
    </row>
    <row r="120" spans="1:25" ht="15" hidden="1" customHeight="1" x14ac:dyDescent="0.25">
      <c r="A120" s="100">
        <v>720414</v>
      </c>
      <c r="B120" s="100" t="s">
        <v>130</v>
      </c>
      <c r="C120" s="100" t="s">
        <v>343</v>
      </c>
      <c r="D120" s="102" t="s">
        <v>58</v>
      </c>
      <c r="E120" s="130"/>
      <c r="F120" s="100"/>
      <c r="G120" s="100"/>
      <c r="H120" s="100"/>
      <c r="I120" s="100"/>
      <c r="J120" s="100"/>
      <c r="K120" s="100"/>
      <c r="L120" s="100"/>
      <c r="M120" s="130"/>
      <c r="N120" s="130"/>
      <c r="O120" s="131"/>
      <c r="P120" s="131"/>
      <c r="Q120" s="131"/>
      <c r="R120" s="131"/>
      <c r="S120" s="128">
        <f t="shared" si="2"/>
        <v>0</v>
      </c>
      <c r="T120" s="101">
        <v>13.6</v>
      </c>
      <c r="U120" s="101">
        <v>29.9</v>
      </c>
      <c r="V120" s="129">
        <f t="shared" si="3"/>
        <v>0</v>
      </c>
    </row>
    <row r="121" spans="1:25" ht="15" hidden="1" customHeight="1" x14ac:dyDescent="0.25">
      <c r="A121" s="100">
        <v>720414</v>
      </c>
      <c r="B121" s="100" t="s">
        <v>355</v>
      </c>
      <c r="C121" s="100" t="s">
        <v>347</v>
      </c>
      <c r="D121" s="102" t="s">
        <v>58</v>
      </c>
      <c r="E121" s="130"/>
      <c r="F121" s="100"/>
      <c r="G121" s="100"/>
      <c r="H121" s="100"/>
      <c r="I121" s="100"/>
      <c r="J121" s="100"/>
      <c r="K121" s="100"/>
      <c r="L121" s="100"/>
      <c r="M121" s="130"/>
      <c r="N121" s="130"/>
      <c r="O121" s="131"/>
      <c r="P121" s="131"/>
      <c r="Q121" s="131"/>
      <c r="R121" s="131"/>
      <c r="S121" s="128">
        <f t="shared" si="2"/>
        <v>0</v>
      </c>
      <c r="T121" s="101">
        <v>13.6</v>
      </c>
      <c r="U121" s="101">
        <v>29.9</v>
      </c>
      <c r="V121" s="129">
        <f t="shared" si="3"/>
        <v>0</v>
      </c>
    </row>
    <row r="122" spans="1:25" ht="15" hidden="1" customHeight="1" x14ac:dyDescent="0.25">
      <c r="A122" s="100">
        <v>720414</v>
      </c>
      <c r="B122" s="100" t="s">
        <v>356</v>
      </c>
      <c r="C122" s="100" t="s">
        <v>351</v>
      </c>
      <c r="D122" s="102" t="s">
        <v>58</v>
      </c>
      <c r="E122" s="130"/>
      <c r="F122" s="100"/>
      <c r="G122" s="100"/>
      <c r="H122" s="100"/>
      <c r="I122" s="100"/>
      <c r="J122" s="100"/>
      <c r="K122" s="100"/>
      <c r="L122" s="100"/>
      <c r="M122" s="130"/>
      <c r="N122" s="130"/>
      <c r="O122" s="131"/>
      <c r="P122" s="131"/>
      <c r="Q122" s="131"/>
      <c r="R122" s="131"/>
      <c r="S122" s="128">
        <f t="shared" si="2"/>
        <v>0</v>
      </c>
      <c r="T122" s="101">
        <v>13.6</v>
      </c>
      <c r="U122" s="101">
        <v>29.9</v>
      </c>
      <c r="V122" s="129">
        <f t="shared" si="3"/>
        <v>0</v>
      </c>
    </row>
    <row r="123" spans="1:25" ht="15" hidden="1" customHeight="1" x14ac:dyDescent="0.25">
      <c r="A123" s="100">
        <v>720414</v>
      </c>
      <c r="B123" s="100" t="s">
        <v>357</v>
      </c>
      <c r="C123" s="100" t="s">
        <v>123</v>
      </c>
      <c r="D123" s="102" t="s">
        <v>58</v>
      </c>
      <c r="E123" s="130"/>
      <c r="F123" s="100"/>
      <c r="G123" s="100"/>
      <c r="H123" s="100"/>
      <c r="I123" s="100"/>
      <c r="J123" s="100"/>
      <c r="K123" s="100"/>
      <c r="L123" s="100"/>
      <c r="M123" s="130"/>
      <c r="N123" s="130"/>
      <c r="O123" s="131"/>
      <c r="P123" s="131"/>
      <c r="Q123" s="131"/>
      <c r="R123" s="131"/>
      <c r="S123" s="128">
        <f t="shared" si="2"/>
        <v>0</v>
      </c>
      <c r="T123" s="101">
        <v>13.6</v>
      </c>
      <c r="U123" s="101">
        <v>29.9</v>
      </c>
      <c r="V123" s="129">
        <f t="shared" si="3"/>
        <v>0</v>
      </c>
    </row>
    <row r="124" spans="1:25" ht="15" customHeight="1" x14ac:dyDescent="0.25">
      <c r="A124" s="100">
        <v>720416</v>
      </c>
      <c r="B124" s="100" t="s">
        <v>131</v>
      </c>
      <c r="C124" s="100" t="s">
        <v>343</v>
      </c>
      <c r="D124" s="102" t="s">
        <v>58</v>
      </c>
      <c r="E124" s="133"/>
      <c r="F124" s="133"/>
      <c r="G124" s="128">
        <v>1</v>
      </c>
      <c r="H124" s="128">
        <v>1</v>
      </c>
      <c r="I124" s="128">
        <v>1</v>
      </c>
      <c r="J124" s="128">
        <v>1</v>
      </c>
      <c r="K124" s="128"/>
      <c r="L124" s="128"/>
      <c r="M124" s="133"/>
      <c r="N124" s="133"/>
      <c r="O124" s="133"/>
      <c r="P124" s="133"/>
      <c r="Q124" s="133"/>
      <c r="R124" s="133"/>
      <c r="S124" s="128">
        <f t="shared" si="2"/>
        <v>4</v>
      </c>
      <c r="T124" s="101">
        <v>18.2</v>
      </c>
      <c r="U124" s="101">
        <v>39.9</v>
      </c>
      <c r="V124" s="129">
        <f t="shared" si="3"/>
        <v>72.8</v>
      </c>
    </row>
    <row r="125" spans="1:25" ht="15" hidden="1" customHeight="1" x14ac:dyDescent="0.25">
      <c r="A125" s="100">
        <v>720419</v>
      </c>
      <c r="B125" s="100" t="s">
        <v>132</v>
      </c>
      <c r="C125" s="100" t="s">
        <v>343</v>
      </c>
      <c r="D125" s="102" t="s">
        <v>58</v>
      </c>
      <c r="E125" s="130"/>
      <c r="F125" s="100"/>
      <c r="G125" s="100"/>
      <c r="H125" s="100"/>
      <c r="I125" s="100"/>
      <c r="J125" s="100"/>
      <c r="K125" s="100"/>
      <c r="L125" s="100"/>
      <c r="M125" s="130"/>
      <c r="N125" s="130"/>
      <c r="O125" s="131"/>
      <c r="P125" s="131"/>
      <c r="Q125" s="131"/>
      <c r="R125" s="131"/>
      <c r="S125" s="128">
        <f t="shared" si="2"/>
        <v>0</v>
      </c>
      <c r="T125" s="101">
        <v>18.2</v>
      </c>
      <c r="U125" s="101">
        <v>39.9</v>
      </c>
      <c r="V125" s="129">
        <f t="shared" si="3"/>
        <v>0</v>
      </c>
    </row>
    <row r="126" spans="1:25" ht="15" hidden="1" customHeight="1" x14ac:dyDescent="0.25">
      <c r="A126" s="100">
        <v>720419</v>
      </c>
      <c r="B126" s="100" t="s">
        <v>358</v>
      </c>
      <c r="C126" s="100" t="s">
        <v>347</v>
      </c>
      <c r="D126" s="102" t="s">
        <v>58</v>
      </c>
      <c r="E126" s="130"/>
      <c r="F126" s="100"/>
      <c r="G126" s="100"/>
      <c r="H126" s="100"/>
      <c r="I126" s="100"/>
      <c r="J126" s="100"/>
      <c r="K126" s="100"/>
      <c r="L126" s="100"/>
      <c r="M126" s="130"/>
      <c r="N126" s="130"/>
      <c r="O126" s="131"/>
      <c r="P126" s="131"/>
      <c r="Q126" s="131"/>
      <c r="R126" s="131"/>
      <c r="S126" s="128">
        <f t="shared" si="2"/>
        <v>0</v>
      </c>
      <c r="T126" s="101">
        <v>18.2</v>
      </c>
      <c r="U126" s="101">
        <v>39.9</v>
      </c>
      <c r="V126" s="129">
        <f t="shared" si="3"/>
        <v>0</v>
      </c>
    </row>
    <row r="127" spans="1:25" ht="15" hidden="1" customHeight="1" x14ac:dyDescent="0.25">
      <c r="A127" s="100">
        <v>720419</v>
      </c>
      <c r="B127" s="100" t="s">
        <v>359</v>
      </c>
      <c r="C127" s="100" t="s">
        <v>351</v>
      </c>
      <c r="D127" s="102" t="s">
        <v>58</v>
      </c>
      <c r="E127" s="130"/>
      <c r="F127" s="100"/>
      <c r="G127" s="100"/>
      <c r="H127" s="100"/>
      <c r="I127" s="100"/>
      <c r="J127" s="100"/>
      <c r="K127" s="100"/>
      <c r="L127" s="100"/>
      <c r="M127" s="130"/>
      <c r="N127" s="130"/>
      <c r="O127" s="131"/>
      <c r="P127" s="131"/>
      <c r="Q127" s="131"/>
      <c r="R127" s="131"/>
      <c r="S127" s="128">
        <f t="shared" si="2"/>
        <v>0</v>
      </c>
      <c r="T127" s="101">
        <v>18.2</v>
      </c>
      <c r="U127" s="101">
        <v>39.9</v>
      </c>
      <c r="V127" s="129">
        <f t="shared" si="3"/>
        <v>0</v>
      </c>
    </row>
    <row r="128" spans="1:25" ht="15" hidden="1" customHeight="1" x14ac:dyDescent="0.25">
      <c r="A128" s="100">
        <v>720419</v>
      </c>
      <c r="B128" s="100" t="s">
        <v>360</v>
      </c>
      <c r="C128" s="100" t="s">
        <v>123</v>
      </c>
      <c r="D128" s="102" t="s">
        <v>58</v>
      </c>
      <c r="E128" s="130"/>
      <c r="F128" s="100"/>
      <c r="G128" s="100"/>
      <c r="H128" s="100"/>
      <c r="I128" s="100"/>
      <c r="J128" s="100"/>
      <c r="K128" s="100"/>
      <c r="L128" s="100"/>
      <c r="M128" s="130"/>
      <c r="N128" s="130"/>
      <c r="O128" s="131"/>
      <c r="P128" s="131"/>
      <c r="Q128" s="131"/>
      <c r="R128" s="131"/>
      <c r="S128" s="128">
        <f t="shared" si="2"/>
        <v>0</v>
      </c>
      <c r="T128" s="101">
        <v>18.2</v>
      </c>
      <c r="U128" s="101">
        <v>39.9</v>
      </c>
      <c r="V128" s="129">
        <f t="shared" si="3"/>
        <v>0</v>
      </c>
    </row>
    <row r="129" spans="1:22" ht="15" hidden="1" customHeight="1" x14ac:dyDescent="0.25">
      <c r="A129" s="100">
        <v>720421</v>
      </c>
      <c r="B129" s="100" t="s">
        <v>133</v>
      </c>
      <c r="C129" s="100" t="s">
        <v>343</v>
      </c>
      <c r="D129" s="102" t="s">
        <v>58</v>
      </c>
      <c r="E129" s="130"/>
      <c r="F129" s="100"/>
      <c r="G129" s="100"/>
      <c r="H129" s="100"/>
      <c r="I129" s="100"/>
      <c r="J129" s="100"/>
      <c r="K129" s="100"/>
      <c r="L129" s="100"/>
      <c r="M129" s="130"/>
      <c r="N129" s="130"/>
      <c r="O129" s="131"/>
      <c r="P129" s="131"/>
      <c r="Q129" s="131"/>
      <c r="R129" s="131"/>
      <c r="S129" s="128">
        <f t="shared" si="2"/>
        <v>0</v>
      </c>
      <c r="T129" s="101">
        <v>10.9</v>
      </c>
      <c r="U129" s="101">
        <v>23.9</v>
      </c>
      <c r="V129" s="129">
        <f t="shared" si="3"/>
        <v>0</v>
      </c>
    </row>
    <row r="130" spans="1:22" ht="15" hidden="1" customHeight="1" x14ac:dyDescent="0.25">
      <c r="A130" s="100">
        <v>720421</v>
      </c>
      <c r="B130" s="100" t="s">
        <v>361</v>
      </c>
      <c r="C130" s="100" t="s">
        <v>347</v>
      </c>
      <c r="D130" s="102" t="s">
        <v>58</v>
      </c>
      <c r="E130" s="130"/>
      <c r="F130" s="100"/>
      <c r="G130" s="100"/>
      <c r="H130" s="100"/>
      <c r="I130" s="100"/>
      <c r="J130" s="100"/>
      <c r="K130" s="100"/>
      <c r="L130" s="100"/>
      <c r="M130" s="130"/>
      <c r="N130" s="130"/>
      <c r="O130" s="131"/>
      <c r="P130" s="131"/>
      <c r="Q130" s="131"/>
      <c r="R130" s="131"/>
      <c r="S130" s="128">
        <f t="shared" si="2"/>
        <v>0</v>
      </c>
      <c r="T130" s="101">
        <v>10.9</v>
      </c>
      <c r="U130" s="101">
        <v>23.9</v>
      </c>
      <c r="V130" s="129">
        <f t="shared" si="3"/>
        <v>0</v>
      </c>
    </row>
    <row r="131" spans="1:22" ht="15" hidden="1" customHeight="1" x14ac:dyDescent="0.25">
      <c r="A131" s="100">
        <v>720421</v>
      </c>
      <c r="B131" s="100" t="s">
        <v>362</v>
      </c>
      <c r="C131" s="100" t="s">
        <v>351</v>
      </c>
      <c r="D131" s="102" t="s">
        <v>58</v>
      </c>
      <c r="E131" s="130"/>
      <c r="F131" s="100"/>
      <c r="G131" s="100"/>
      <c r="H131" s="100"/>
      <c r="I131" s="100"/>
      <c r="J131" s="100"/>
      <c r="K131" s="100"/>
      <c r="L131" s="100"/>
      <c r="M131" s="130"/>
      <c r="N131" s="130"/>
      <c r="O131" s="131"/>
      <c r="P131" s="131"/>
      <c r="Q131" s="131"/>
      <c r="R131" s="131"/>
      <c r="S131" s="128">
        <f t="shared" si="2"/>
        <v>0</v>
      </c>
      <c r="T131" s="101">
        <v>10.9</v>
      </c>
      <c r="U131" s="101">
        <v>23.9</v>
      </c>
      <c r="V131" s="129">
        <f t="shared" si="3"/>
        <v>0</v>
      </c>
    </row>
    <row r="132" spans="1:22" ht="15" hidden="1" customHeight="1" x14ac:dyDescent="0.25">
      <c r="A132" s="100">
        <v>720421</v>
      </c>
      <c r="B132" s="100" t="s">
        <v>363</v>
      </c>
      <c r="C132" s="100" t="s">
        <v>123</v>
      </c>
      <c r="D132" s="102" t="s">
        <v>58</v>
      </c>
      <c r="E132" s="130"/>
      <c r="F132" s="100"/>
      <c r="G132" s="100"/>
      <c r="H132" s="100"/>
      <c r="I132" s="100"/>
      <c r="J132" s="100"/>
      <c r="K132" s="100"/>
      <c r="L132" s="100"/>
      <c r="M132" s="130"/>
      <c r="N132" s="130"/>
      <c r="O132" s="131"/>
      <c r="P132" s="131"/>
      <c r="Q132" s="131"/>
      <c r="R132" s="131"/>
      <c r="S132" s="128">
        <f t="shared" si="2"/>
        <v>0</v>
      </c>
      <c r="T132" s="101">
        <v>10.9</v>
      </c>
      <c r="U132" s="101">
        <v>23.9</v>
      </c>
      <c r="V132" s="129">
        <f t="shared" si="3"/>
        <v>0</v>
      </c>
    </row>
    <row r="133" spans="1:22" ht="15" hidden="1" customHeight="1" x14ac:dyDescent="0.25">
      <c r="A133" s="100">
        <v>720423</v>
      </c>
      <c r="B133" s="100" t="s">
        <v>134</v>
      </c>
      <c r="C133" s="100" t="s">
        <v>118</v>
      </c>
      <c r="D133" s="102" t="s">
        <v>58</v>
      </c>
      <c r="E133" s="130"/>
      <c r="F133" s="100"/>
      <c r="G133" s="100"/>
      <c r="H133" s="100"/>
      <c r="I133" s="100"/>
      <c r="J133" s="100"/>
      <c r="K133" s="100"/>
      <c r="L133" s="100"/>
      <c r="M133" s="130"/>
      <c r="N133" s="130"/>
      <c r="O133" s="131"/>
      <c r="P133" s="131"/>
      <c r="Q133" s="131"/>
      <c r="R133" s="131"/>
      <c r="S133" s="128">
        <f t="shared" si="2"/>
        <v>0</v>
      </c>
      <c r="T133" s="101">
        <v>10.9</v>
      </c>
      <c r="U133" s="101">
        <v>23.9</v>
      </c>
      <c r="V133" s="129">
        <f t="shared" si="3"/>
        <v>0</v>
      </c>
    </row>
    <row r="134" spans="1:22" ht="15" hidden="1" customHeight="1" x14ac:dyDescent="0.25">
      <c r="A134" s="100">
        <v>720423</v>
      </c>
      <c r="B134" s="100" t="s">
        <v>364</v>
      </c>
      <c r="C134" s="100" t="s">
        <v>123</v>
      </c>
      <c r="D134" s="102" t="s">
        <v>58</v>
      </c>
      <c r="E134" s="130"/>
      <c r="F134" s="100"/>
      <c r="G134" s="100"/>
      <c r="H134" s="100"/>
      <c r="I134" s="100"/>
      <c r="J134" s="100"/>
      <c r="K134" s="100"/>
      <c r="L134" s="100"/>
      <c r="M134" s="130"/>
      <c r="N134" s="130"/>
      <c r="O134" s="131"/>
      <c r="P134" s="131"/>
      <c r="Q134" s="131"/>
      <c r="R134" s="131"/>
      <c r="S134" s="128">
        <f t="shared" si="2"/>
        <v>0</v>
      </c>
      <c r="T134" s="101">
        <v>10.9</v>
      </c>
      <c r="U134" s="101">
        <v>23.9</v>
      </c>
      <c r="V134" s="129">
        <f t="shared" si="3"/>
        <v>0</v>
      </c>
    </row>
    <row r="135" spans="1:22" ht="15" customHeight="1" x14ac:dyDescent="0.25">
      <c r="A135" s="100">
        <v>720426</v>
      </c>
      <c r="B135" s="100" t="s">
        <v>135</v>
      </c>
      <c r="C135" s="100" t="s">
        <v>343</v>
      </c>
      <c r="D135" s="102" t="s">
        <v>58</v>
      </c>
      <c r="E135" s="133"/>
      <c r="F135" s="128">
        <v>1</v>
      </c>
      <c r="G135" s="128">
        <v>1</v>
      </c>
      <c r="H135" s="128">
        <v>1</v>
      </c>
      <c r="I135" s="128">
        <v>1</v>
      </c>
      <c r="J135" s="128">
        <v>1</v>
      </c>
      <c r="K135" s="128"/>
      <c r="L135" s="133"/>
      <c r="M135" s="133"/>
      <c r="N135" s="133"/>
      <c r="O135" s="133"/>
      <c r="P135" s="133"/>
      <c r="Q135" s="133"/>
      <c r="R135" s="133"/>
      <c r="S135" s="128">
        <f t="shared" si="2"/>
        <v>5</v>
      </c>
      <c r="T135" s="101">
        <v>10.9</v>
      </c>
      <c r="U135" s="101">
        <v>23.9</v>
      </c>
      <c r="V135" s="129">
        <f t="shared" si="3"/>
        <v>54.5</v>
      </c>
    </row>
    <row r="136" spans="1:22" ht="15" customHeight="1" x14ac:dyDescent="0.25">
      <c r="A136" s="100">
        <v>720426</v>
      </c>
      <c r="B136" s="100" t="s">
        <v>365</v>
      </c>
      <c r="C136" s="100" t="s">
        <v>347</v>
      </c>
      <c r="D136" s="102" t="s">
        <v>58</v>
      </c>
      <c r="E136" s="133"/>
      <c r="F136" s="128">
        <v>1</v>
      </c>
      <c r="G136" s="128">
        <v>1</v>
      </c>
      <c r="H136" s="128">
        <v>1</v>
      </c>
      <c r="I136" s="128">
        <v>1</v>
      </c>
      <c r="J136" s="128">
        <v>1</v>
      </c>
      <c r="K136" s="128"/>
      <c r="L136" s="133"/>
      <c r="M136" s="133"/>
      <c r="N136" s="133"/>
      <c r="O136" s="133"/>
      <c r="P136" s="133"/>
      <c r="Q136" s="133"/>
      <c r="R136" s="133"/>
      <c r="S136" s="128">
        <f t="shared" si="2"/>
        <v>5</v>
      </c>
      <c r="T136" s="101">
        <v>10.9</v>
      </c>
      <c r="U136" s="101">
        <v>23.9</v>
      </c>
      <c r="V136" s="129">
        <f t="shared" si="3"/>
        <v>54.5</v>
      </c>
    </row>
    <row r="137" spans="1:22" ht="15" customHeight="1" x14ac:dyDescent="0.25">
      <c r="A137" s="100">
        <v>720427</v>
      </c>
      <c r="B137" s="100" t="s">
        <v>136</v>
      </c>
      <c r="C137" s="100" t="s">
        <v>351</v>
      </c>
      <c r="D137" s="102" t="s">
        <v>58</v>
      </c>
      <c r="E137" s="133"/>
      <c r="F137" s="128">
        <v>1</v>
      </c>
      <c r="G137" s="128">
        <v>1</v>
      </c>
      <c r="H137" s="128">
        <v>1</v>
      </c>
      <c r="I137" s="128">
        <v>1</v>
      </c>
      <c r="J137" s="128">
        <v>1</v>
      </c>
      <c r="K137" s="128"/>
      <c r="L137" s="133"/>
      <c r="M137" s="133"/>
      <c r="N137" s="133"/>
      <c r="O137" s="133"/>
      <c r="P137" s="133"/>
      <c r="Q137" s="133"/>
      <c r="R137" s="133"/>
      <c r="S137" s="128">
        <f t="shared" si="2"/>
        <v>5</v>
      </c>
      <c r="T137" s="101">
        <v>10.9</v>
      </c>
      <c r="U137" s="101">
        <v>23.9</v>
      </c>
      <c r="V137" s="129">
        <f t="shared" si="3"/>
        <v>54.5</v>
      </c>
    </row>
    <row r="138" spans="1:22" ht="15" customHeight="1" x14ac:dyDescent="0.25">
      <c r="A138" s="100">
        <v>720427</v>
      </c>
      <c r="B138" s="100" t="s">
        <v>366</v>
      </c>
      <c r="C138" s="100" t="s">
        <v>123</v>
      </c>
      <c r="D138" s="102" t="s">
        <v>58</v>
      </c>
      <c r="E138" s="133"/>
      <c r="F138" s="128">
        <v>1</v>
      </c>
      <c r="G138" s="128">
        <v>1</v>
      </c>
      <c r="H138" s="128">
        <v>1</v>
      </c>
      <c r="I138" s="128">
        <v>1</v>
      </c>
      <c r="J138" s="128">
        <v>1</v>
      </c>
      <c r="K138" s="128"/>
      <c r="L138" s="133"/>
      <c r="M138" s="133"/>
      <c r="N138" s="133"/>
      <c r="O138" s="133"/>
      <c r="P138" s="133"/>
      <c r="Q138" s="133"/>
      <c r="R138" s="133"/>
      <c r="S138" s="128">
        <f t="shared" si="2"/>
        <v>5</v>
      </c>
      <c r="T138" s="101">
        <v>10.9</v>
      </c>
      <c r="U138" s="101">
        <v>23.9</v>
      </c>
      <c r="V138" s="129">
        <f t="shared" si="3"/>
        <v>54.5</v>
      </c>
    </row>
    <row r="139" spans="1:22" ht="15" hidden="1" customHeight="1" x14ac:dyDescent="0.25">
      <c r="A139" s="100">
        <v>720432</v>
      </c>
      <c r="B139" s="100" t="s">
        <v>137</v>
      </c>
      <c r="C139" s="100" t="s">
        <v>343</v>
      </c>
      <c r="D139" s="102" t="s">
        <v>58</v>
      </c>
      <c r="E139" s="100"/>
      <c r="F139" s="100"/>
      <c r="G139" s="100"/>
      <c r="H139" s="100"/>
      <c r="I139" s="100"/>
      <c r="J139" s="100"/>
      <c r="K139" s="100"/>
      <c r="L139" s="130"/>
      <c r="M139" s="130"/>
      <c r="N139" s="130"/>
      <c r="O139" s="131"/>
      <c r="P139" s="131"/>
      <c r="Q139" s="131"/>
      <c r="R139" s="131"/>
      <c r="S139" s="128">
        <f t="shared" si="2"/>
        <v>0</v>
      </c>
      <c r="T139" s="101">
        <v>11.8</v>
      </c>
      <c r="U139" s="101">
        <v>25.9</v>
      </c>
      <c r="V139" s="129">
        <f t="shared" si="3"/>
        <v>0</v>
      </c>
    </row>
    <row r="140" spans="1:22" ht="15" hidden="1" customHeight="1" x14ac:dyDescent="0.25">
      <c r="A140" s="100">
        <v>720433</v>
      </c>
      <c r="B140" s="100" t="s">
        <v>94</v>
      </c>
      <c r="C140" s="100" t="s">
        <v>123</v>
      </c>
      <c r="D140" s="102" t="s">
        <v>58</v>
      </c>
      <c r="E140" s="100"/>
      <c r="F140" s="100"/>
      <c r="G140" s="100"/>
      <c r="H140" s="100"/>
      <c r="I140" s="100"/>
      <c r="J140" s="100"/>
      <c r="K140" s="100"/>
      <c r="L140" s="130"/>
      <c r="M140" s="130"/>
      <c r="N140" s="130"/>
      <c r="O140" s="131"/>
      <c r="P140" s="131"/>
      <c r="Q140" s="131"/>
      <c r="R140" s="131"/>
      <c r="S140" s="128">
        <f t="shared" si="2"/>
        <v>0</v>
      </c>
      <c r="T140" s="101">
        <v>11.8</v>
      </c>
      <c r="U140" s="101">
        <v>25.9</v>
      </c>
      <c r="V140" s="129">
        <f t="shared" si="3"/>
        <v>0</v>
      </c>
    </row>
    <row r="141" spans="1:22" ht="15" customHeight="1" x14ac:dyDescent="0.25">
      <c r="A141" s="100">
        <v>720435</v>
      </c>
      <c r="B141" s="100" t="s">
        <v>138</v>
      </c>
      <c r="C141" s="100" t="s">
        <v>343</v>
      </c>
      <c r="D141" s="102" t="s">
        <v>26</v>
      </c>
      <c r="E141" s="133"/>
      <c r="F141" s="128">
        <v>2</v>
      </c>
      <c r="G141" s="128">
        <v>2</v>
      </c>
      <c r="H141" s="128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8">
        <f t="shared" si="2"/>
        <v>4</v>
      </c>
      <c r="T141" s="101">
        <v>12.3</v>
      </c>
      <c r="U141" s="101">
        <v>26.9</v>
      </c>
      <c r="V141" s="129">
        <f t="shared" si="3"/>
        <v>49.2</v>
      </c>
    </row>
    <row r="142" spans="1:22" ht="15" hidden="1" customHeight="1" x14ac:dyDescent="0.25">
      <c r="A142" s="100">
        <v>720435</v>
      </c>
      <c r="B142" s="100" t="s">
        <v>367</v>
      </c>
      <c r="C142" s="100" t="s">
        <v>347</v>
      </c>
      <c r="D142" s="102" t="s">
        <v>26</v>
      </c>
      <c r="E142" s="130"/>
      <c r="F142" s="100"/>
      <c r="G142" s="100"/>
      <c r="H142" s="100"/>
      <c r="I142" s="130"/>
      <c r="J142" s="130"/>
      <c r="K142" s="130"/>
      <c r="L142" s="130"/>
      <c r="M142" s="130"/>
      <c r="N142" s="130"/>
      <c r="O142" s="131"/>
      <c r="P142" s="131"/>
      <c r="Q142" s="131"/>
      <c r="R142" s="131"/>
      <c r="S142" s="128">
        <f t="shared" si="2"/>
        <v>0</v>
      </c>
      <c r="T142" s="101">
        <v>12.3</v>
      </c>
      <c r="U142" s="101">
        <v>26.9</v>
      </c>
      <c r="V142" s="129">
        <f t="shared" si="3"/>
        <v>0</v>
      </c>
    </row>
    <row r="143" spans="1:22" ht="15" hidden="1" customHeight="1" x14ac:dyDescent="0.25">
      <c r="A143" s="100">
        <v>720435</v>
      </c>
      <c r="B143" s="100" t="s">
        <v>368</v>
      </c>
      <c r="C143" s="100" t="s">
        <v>351</v>
      </c>
      <c r="D143" s="102" t="s">
        <v>26</v>
      </c>
      <c r="E143" s="130"/>
      <c r="F143" s="100"/>
      <c r="G143" s="100"/>
      <c r="H143" s="100"/>
      <c r="I143" s="130"/>
      <c r="J143" s="130"/>
      <c r="K143" s="130"/>
      <c r="L143" s="130"/>
      <c r="M143" s="130"/>
      <c r="N143" s="130"/>
      <c r="O143" s="131"/>
      <c r="P143" s="131"/>
      <c r="Q143" s="131"/>
      <c r="R143" s="131"/>
      <c r="S143" s="128">
        <f t="shared" si="2"/>
        <v>0</v>
      </c>
      <c r="T143" s="101">
        <v>12.3</v>
      </c>
      <c r="U143" s="101">
        <v>26.9</v>
      </c>
      <c r="V143" s="129">
        <f t="shared" si="3"/>
        <v>0</v>
      </c>
    </row>
    <row r="144" spans="1:22" ht="15" hidden="1" customHeight="1" x14ac:dyDescent="0.25">
      <c r="A144" s="100">
        <v>720435</v>
      </c>
      <c r="B144" s="100" t="s">
        <v>369</v>
      </c>
      <c r="C144" s="100" t="s">
        <v>123</v>
      </c>
      <c r="D144" s="102" t="s">
        <v>26</v>
      </c>
      <c r="E144" s="130"/>
      <c r="F144" s="100"/>
      <c r="G144" s="100"/>
      <c r="H144" s="100"/>
      <c r="I144" s="130"/>
      <c r="J144" s="130"/>
      <c r="K144" s="130"/>
      <c r="L144" s="130"/>
      <c r="M144" s="130"/>
      <c r="N144" s="130"/>
      <c r="O144" s="131"/>
      <c r="P144" s="131"/>
      <c r="Q144" s="131"/>
      <c r="R144" s="131"/>
      <c r="S144" s="128">
        <f t="shared" si="2"/>
        <v>0</v>
      </c>
      <c r="T144" s="101">
        <v>12.3</v>
      </c>
      <c r="U144" s="101">
        <v>26.9</v>
      </c>
      <c r="V144" s="129">
        <f t="shared" si="3"/>
        <v>0</v>
      </c>
    </row>
    <row r="145" spans="1:22" ht="15" hidden="1" customHeight="1" x14ac:dyDescent="0.25">
      <c r="A145" s="100">
        <v>720437</v>
      </c>
      <c r="B145" s="100" t="s">
        <v>139</v>
      </c>
      <c r="C145" s="100" t="s">
        <v>343</v>
      </c>
      <c r="D145" s="102" t="s">
        <v>121</v>
      </c>
      <c r="E145" s="130"/>
      <c r="F145" s="100"/>
      <c r="G145" s="100"/>
      <c r="H145" s="100"/>
      <c r="I145" s="130"/>
      <c r="J145" s="130"/>
      <c r="K145" s="130"/>
      <c r="L145" s="130"/>
      <c r="M145" s="130"/>
      <c r="N145" s="130"/>
      <c r="O145" s="131"/>
      <c r="P145" s="131"/>
      <c r="Q145" s="131"/>
      <c r="R145" s="131"/>
      <c r="S145" s="128">
        <f t="shared" si="2"/>
        <v>0</v>
      </c>
      <c r="T145" s="101">
        <v>20.9</v>
      </c>
      <c r="U145" s="101">
        <v>45.9</v>
      </c>
      <c r="V145" s="129">
        <f t="shared" si="3"/>
        <v>0</v>
      </c>
    </row>
    <row r="146" spans="1:22" ht="15" hidden="1" customHeight="1" x14ac:dyDescent="0.25">
      <c r="A146" s="100">
        <v>720437</v>
      </c>
      <c r="B146" s="100" t="s">
        <v>370</v>
      </c>
      <c r="C146" s="100" t="s">
        <v>123</v>
      </c>
      <c r="D146" s="102" t="s">
        <v>121</v>
      </c>
      <c r="E146" s="130"/>
      <c r="F146" s="100"/>
      <c r="G146" s="100"/>
      <c r="H146" s="100"/>
      <c r="I146" s="130"/>
      <c r="J146" s="130"/>
      <c r="K146" s="130"/>
      <c r="L146" s="130"/>
      <c r="M146" s="130"/>
      <c r="N146" s="130"/>
      <c r="O146" s="131"/>
      <c r="P146" s="131"/>
      <c r="Q146" s="131"/>
      <c r="R146" s="131"/>
      <c r="S146" s="128">
        <f t="shared" ref="S146:S209" si="4">SUM(E146:R146)</f>
        <v>0</v>
      </c>
      <c r="T146" s="101">
        <v>20.9</v>
      </c>
      <c r="U146" s="101">
        <v>45.9</v>
      </c>
      <c r="V146" s="129">
        <f t="shared" ref="V146:V209" si="5">S146*T146</f>
        <v>0</v>
      </c>
    </row>
    <row r="147" spans="1:22" ht="15" hidden="1" customHeight="1" x14ac:dyDescent="0.25">
      <c r="A147" s="100">
        <v>720450</v>
      </c>
      <c r="B147" s="100" t="s">
        <v>140</v>
      </c>
      <c r="C147" s="100" t="s">
        <v>371</v>
      </c>
      <c r="D147" s="102" t="s">
        <v>62</v>
      </c>
      <c r="E147" s="100"/>
      <c r="F147" s="100"/>
      <c r="G147" s="100"/>
      <c r="H147" s="100"/>
      <c r="I147" s="100"/>
      <c r="J147" s="100"/>
      <c r="K147" s="100"/>
      <c r="L147" s="100"/>
      <c r="M147" s="100"/>
      <c r="N147" s="130"/>
      <c r="O147" s="127"/>
      <c r="P147" s="131"/>
      <c r="Q147" s="131"/>
      <c r="R147" s="131"/>
      <c r="S147" s="128">
        <f t="shared" si="4"/>
        <v>0</v>
      </c>
      <c r="T147" s="101">
        <v>15</v>
      </c>
      <c r="U147" s="101">
        <v>32.9</v>
      </c>
      <c r="V147" s="129">
        <f t="shared" si="5"/>
        <v>0</v>
      </c>
    </row>
    <row r="148" spans="1:22" ht="15" hidden="1" customHeight="1" x14ac:dyDescent="0.25">
      <c r="A148" s="100">
        <v>720450</v>
      </c>
      <c r="B148" s="100" t="s">
        <v>372</v>
      </c>
      <c r="C148" s="100" t="s">
        <v>373</v>
      </c>
      <c r="D148" s="102" t="s">
        <v>62</v>
      </c>
      <c r="E148" s="100"/>
      <c r="F148" s="100"/>
      <c r="G148" s="100"/>
      <c r="H148" s="100"/>
      <c r="I148" s="100"/>
      <c r="J148" s="100"/>
      <c r="K148" s="100"/>
      <c r="L148" s="100"/>
      <c r="M148" s="100"/>
      <c r="N148" s="130"/>
      <c r="O148" s="127"/>
      <c r="P148" s="131"/>
      <c r="Q148" s="131"/>
      <c r="R148" s="131"/>
      <c r="S148" s="128">
        <f t="shared" si="4"/>
        <v>0</v>
      </c>
      <c r="T148" s="101">
        <v>15</v>
      </c>
      <c r="U148" s="101">
        <v>32.9</v>
      </c>
      <c r="V148" s="129">
        <f t="shared" si="5"/>
        <v>0</v>
      </c>
    </row>
    <row r="149" spans="1:22" ht="15" hidden="1" customHeight="1" x14ac:dyDescent="0.25">
      <c r="A149" s="100">
        <v>720450</v>
      </c>
      <c r="B149" s="100" t="s">
        <v>374</v>
      </c>
      <c r="C149" s="100" t="s">
        <v>141</v>
      </c>
      <c r="D149" s="102" t="s">
        <v>62</v>
      </c>
      <c r="E149" s="100"/>
      <c r="F149" s="100"/>
      <c r="G149" s="100"/>
      <c r="H149" s="100"/>
      <c r="I149" s="100"/>
      <c r="J149" s="100"/>
      <c r="K149" s="100"/>
      <c r="L149" s="100"/>
      <c r="M149" s="100"/>
      <c r="N149" s="130"/>
      <c r="O149" s="127"/>
      <c r="P149" s="131"/>
      <c r="Q149" s="131"/>
      <c r="R149" s="131"/>
      <c r="S149" s="128">
        <f t="shared" si="4"/>
        <v>0</v>
      </c>
      <c r="T149" s="101">
        <v>15</v>
      </c>
      <c r="U149" s="101">
        <v>32.9</v>
      </c>
      <c r="V149" s="129">
        <f t="shared" si="5"/>
        <v>0</v>
      </c>
    </row>
    <row r="150" spans="1:22" ht="15" hidden="1" customHeight="1" x14ac:dyDescent="0.25">
      <c r="A150" s="100">
        <v>720451</v>
      </c>
      <c r="B150" s="100" t="s">
        <v>375</v>
      </c>
      <c r="C150" s="100" t="s">
        <v>376</v>
      </c>
      <c r="D150" s="102" t="s">
        <v>62</v>
      </c>
      <c r="E150" s="100"/>
      <c r="F150" s="100"/>
      <c r="G150" s="100"/>
      <c r="H150" s="100"/>
      <c r="I150" s="100"/>
      <c r="J150" s="100"/>
      <c r="K150" s="100"/>
      <c r="L150" s="100"/>
      <c r="M150" s="100"/>
      <c r="N150" s="130"/>
      <c r="O150" s="127"/>
      <c r="P150" s="131"/>
      <c r="Q150" s="131"/>
      <c r="R150" s="131"/>
      <c r="S150" s="128">
        <f t="shared" si="4"/>
        <v>0</v>
      </c>
      <c r="T150" s="101">
        <v>15</v>
      </c>
      <c r="U150" s="101">
        <v>32.9</v>
      </c>
      <c r="V150" s="129">
        <f t="shared" si="5"/>
        <v>0</v>
      </c>
    </row>
    <row r="151" spans="1:22" ht="15" hidden="1" customHeight="1" x14ac:dyDescent="0.25">
      <c r="A151" s="100">
        <v>720451</v>
      </c>
      <c r="B151" s="100" t="s">
        <v>377</v>
      </c>
      <c r="C151" s="100" t="s">
        <v>145</v>
      </c>
      <c r="D151" s="102" t="s">
        <v>62</v>
      </c>
      <c r="E151" s="100"/>
      <c r="F151" s="100"/>
      <c r="G151" s="100"/>
      <c r="H151" s="100"/>
      <c r="I151" s="100"/>
      <c r="J151" s="100"/>
      <c r="K151" s="100"/>
      <c r="L151" s="100"/>
      <c r="M151" s="100"/>
      <c r="N151" s="130"/>
      <c r="O151" s="127"/>
      <c r="P151" s="131"/>
      <c r="Q151" s="131"/>
      <c r="R151" s="131"/>
      <c r="S151" s="128">
        <f t="shared" si="4"/>
        <v>0</v>
      </c>
      <c r="T151" s="101">
        <v>15</v>
      </c>
      <c r="U151" s="101">
        <v>32.9</v>
      </c>
      <c r="V151" s="129">
        <f t="shared" si="5"/>
        <v>0</v>
      </c>
    </row>
    <row r="152" spans="1:22" ht="15" hidden="1" customHeight="1" x14ac:dyDescent="0.25">
      <c r="A152" s="100">
        <v>720453</v>
      </c>
      <c r="B152" s="100" t="s">
        <v>378</v>
      </c>
      <c r="C152" s="100" t="s">
        <v>379</v>
      </c>
      <c r="D152" s="102" t="s">
        <v>62</v>
      </c>
      <c r="E152" s="100"/>
      <c r="F152" s="100"/>
      <c r="G152" s="100"/>
      <c r="H152" s="100"/>
      <c r="I152" s="100"/>
      <c r="J152" s="100"/>
      <c r="K152" s="100"/>
      <c r="L152" s="100"/>
      <c r="M152" s="100"/>
      <c r="N152" s="130"/>
      <c r="O152" s="127"/>
      <c r="P152" s="131"/>
      <c r="Q152" s="131"/>
      <c r="R152" s="131"/>
      <c r="S152" s="128">
        <f t="shared" si="4"/>
        <v>0</v>
      </c>
      <c r="T152" s="101">
        <v>15</v>
      </c>
      <c r="U152" s="101">
        <v>32.9</v>
      </c>
      <c r="V152" s="129">
        <f t="shared" si="5"/>
        <v>0</v>
      </c>
    </row>
    <row r="153" spans="1:22" ht="15" hidden="1" customHeight="1" x14ac:dyDescent="0.25">
      <c r="A153" s="100">
        <v>720453</v>
      </c>
      <c r="B153" s="100" t="s">
        <v>380</v>
      </c>
      <c r="C153" s="100" t="s">
        <v>100</v>
      </c>
      <c r="D153" s="102" t="s">
        <v>62</v>
      </c>
      <c r="E153" s="100"/>
      <c r="F153" s="100"/>
      <c r="G153" s="100"/>
      <c r="H153" s="100"/>
      <c r="I153" s="100"/>
      <c r="J153" s="100"/>
      <c r="K153" s="100"/>
      <c r="L153" s="100"/>
      <c r="M153" s="100"/>
      <c r="N153" s="130"/>
      <c r="O153" s="127"/>
      <c r="P153" s="131"/>
      <c r="Q153" s="131"/>
      <c r="R153" s="131"/>
      <c r="S153" s="128">
        <f t="shared" si="4"/>
        <v>0</v>
      </c>
      <c r="T153" s="101">
        <v>15</v>
      </c>
      <c r="U153" s="101">
        <v>32.9</v>
      </c>
      <c r="V153" s="129">
        <f t="shared" si="5"/>
        <v>0</v>
      </c>
    </row>
    <row r="154" spans="1:22" ht="15" hidden="1" customHeight="1" x14ac:dyDescent="0.25">
      <c r="A154" s="100">
        <v>720453</v>
      </c>
      <c r="B154" s="100" t="s">
        <v>381</v>
      </c>
      <c r="C154" s="100" t="s">
        <v>141</v>
      </c>
      <c r="D154" s="102" t="s">
        <v>62</v>
      </c>
      <c r="E154" s="100"/>
      <c r="F154" s="100"/>
      <c r="G154" s="100"/>
      <c r="H154" s="100"/>
      <c r="I154" s="100"/>
      <c r="J154" s="100"/>
      <c r="K154" s="100"/>
      <c r="L154" s="100"/>
      <c r="M154" s="100"/>
      <c r="N154" s="130"/>
      <c r="O154" s="127"/>
      <c r="P154" s="131"/>
      <c r="Q154" s="131"/>
      <c r="R154" s="131"/>
      <c r="S154" s="128">
        <f t="shared" si="4"/>
        <v>0</v>
      </c>
      <c r="T154" s="101">
        <v>15</v>
      </c>
      <c r="U154" s="101">
        <v>32.9</v>
      </c>
      <c r="V154" s="129">
        <f t="shared" si="5"/>
        <v>0</v>
      </c>
    </row>
    <row r="155" spans="1:22" ht="15" hidden="1" customHeight="1" x14ac:dyDescent="0.25">
      <c r="A155" s="100">
        <v>720454</v>
      </c>
      <c r="B155" s="100" t="s">
        <v>148</v>
      </c>
      <c r="C155" s="100" t="s">
        <v>379</v>
      </c>
      <c r="D155" s="102" t="s">
        <v>62</v>
      </c>
      <c r="E155" s="100"/>
      <c r="F155" s="100"/>
      <c r="G155" s="100"/>
      <c r="H155" s="100"/>
      <c r="I155" s="100"/>
      <c r="J155" s="100"/>
      <c r="K155" s="100"/>
      <c r="L155" s="100"/>
      <c r="M155" s="100"/>
      <c r="N155" s="130"/>
      <c r="O155" s="127"/>
      <c r="P155" s="131"/>
      <c r="Q155" s="127"/>
      <c r="R155" s="127"/>
      <c r="S155" s="128">
        <f t="shared" si="4"/>
        <v>0</v>
      </c>
      <c r="T155" s="101">
        <v>15</v>
      </c>
      <c r="U155" s="101">
        <v>32.9</v>
      </c>
      <c r="V155" s="129">
        <f t="shared" si="5"/>
        <v>0</v>
      </c>
    </row>
    <row r="156" spans="1:22" ht="15" hidden="1" customHeight="1" x14ac:dyDescent="0.25">
      <c r="A156" s="100">
        <v>720454</v>
      </c>
      <c r="B156" s="100" t="s">
        <v>382</v>
      </c>
      <c r="C156" s="100" t="s">
        <v>100</v>
      </c>
      <c r="D156" s="102" t="s">
        <v>62</v>
      </c>
      <c r="E156" s="100"/>
      <c r="F156" s="100"/>
      <c r="G156" s="100"/>
      <c r="H156" s="100"/>
      <c r="I156" s="100"/>
      <c r="J156" s="100"/>
      <c r="K156" s="100"/>
      <c r="L156" s="100"/>
      <c r="M156" s="100"/>
      <c r="N156" s="130"/>
      <c r="O156" s="127"/>
      <c r="P156" s="131"/>
      <c r="Q156" s="127"/>
      <c r="R156" s="127"/>
      <c r="S156" s="128">
        <f t="shared" si="4"/>
        <v>0</v>
      </c>
      <c r="T156" s="101">
        <v>15</v>
      </c>
      <c r="U156" s="101">
        <v>32.9</v>
      </c>
      <c r="V156" s="129">
        <f t="shared" si="5"/>
        <v>0</v>
      </c>
    </row>
    <row r="157" spans="1:22" ht="15" hidden="1" customHeight="1" x14ac:dyDescent="0.25">
      <c r="A157" s="100">
        <v>720454</v>
      </c>
      <c r="B157" s="100" t="s">
        <v>383</v>
      </c>
      <c r="C157" s="100" t="s">
        <v>141</v>
      </c>
      <c r="D157" s="102" t="s">
        <v>62</v>
      </c>
      <c r="E157" s="100"/>
      <c r="F157" s="100"/>
      <c r="G157" s="100"/>
      <c r="H157" s="100"/>
      <c r="I157" s="100"/>
      <c r="J157" s="100"/>
      <c r="K157" s="100"/>
      <c r="L157" s="100"/>
      <c r="M157" s="100"/>
      <c r="N157" s="130"/>
      <c r="O157" s="127"/>
      <c r="P157" s="131"/>
      <c r="Q157" s="127"/>
      <c r="R157" s="127"/>
      <c r="S157" s="128">
        <f t="shared" si="4"/>
        <v>0</v>
      </c>
      <c r="T157" s="101">
        <v>15</v>
      </c>
      <c r="U157" s="101">
        <v>32.9</v>
      </c>
      <c r="V157" s="129">
        <f t="shared" si="5"/>
        <v>0</v>
      </c>
    </row>
    <row r="158" spans="1:22" ht="15" hidden="1" customHeight="1" x14ac:dyDescent="0.25">
      <c r="A158" s="100">
        <v>720455</v>
      </c>
      <c r="B158" s="100" t="s">
        <v>150</v>
      </c>
      <c r="C158" s="100" t="s">
        <v>384</v>
      </c>
      <c r="D158" s="102" t="s">
        <v>62</v>
      </c>
      <c r="E158" s="100"/>
      <c r="F158" s="100"/>
      <c r="G158" s="100"/>
      <c r="H158" s="100"/>
      <c r="I158" s="100"/>
      <c r="J158" s="100"/>
      <c r="K158" s="100"/>
      <c r="L158" s="100"/>
      <c r="M158" s="100"/>
      <c r="N158" s="130"/>
      <c r="O158" s="127"/>
      <c r="P158" s="131"/>
      <c r="Q158" s="127"/>
      <c r="R158" s="127"/>
      <c r="S158" s="128">
        <f t="shared" si="4"/>
        <v>0</v>
      </c>
      <c r="T158" s="101">
        <v>15</v>
      </c>
      <c r="U158" s="101">
        <v>32.9</v>
      </c>
      <c r="V158" s="129">
        <f t="shared" si="5"/>
        <v>0</v>
      </c>
    </row>
    <row r="159" spans="1:22" ht="15" hidden="1" customHeight="1" x14ac:dyDescent="0.25">
      <c r="A159" s="100">
        <v>720455</v>
      </c>
      <c r="B159" s="100" t="s">
        <v>385</v>
      </c>
      <c r="C159" s="100" t="s">
        <v>345</v>
      </c>
      <c r="D159" s="102" t="s">
        <v>62</v>
      </c>
      <c r="E159" s="100"/>
      <c r="F159" s="100"/>
      <c r="G159" s="100"/>
      <c r="H159" s="100"/>
      <c r="I159" s="100"/>
      <c r="J159" s="100"/>
      <c r="K159" s="100"/>
      <c r="L159" s="100"/>
      <c r="M159" s="100"/>
      <c r="N159" s="130"/>
      <c r="O159" s="127"/>
      <c r="P159" s="131"/>
      <c r="Q159" s="127"/>
      <c r="R159" s="127"/>
      <c r="S159" s="128">
        <f t="shared" si="4"/>
        <v>0</v>
      </c>
      <c r="T159" s="101">
        <v>15</v>
      </c>
      <c r="U159" s="101">
        <v>32.9</v>
      </c>
      <c r="V159" s="129">
        <f t="shared" si="5"/>
        <v>0</v>
      </c>
    </row>
    <row r="160" spans="1:22" ht="15" hidden="1" customHeight="1" x14ac:dyDescent="0.25">
      <c r="A160" s="100">
        <v>720456</v>
      </c>
      <c r="B160" s="100" t="s">
        <v>151</v>
      </c>
      <c r="C160" s="100" t="s">
        <v>384</v>
      </c>
      <c r="D160" s="102" t="s">
        <v>62</v>
      </c>
      <c r="E160" s="100"/>
      <c r="F160" s="100"/>
      <c r="G160" s="100"/>
      <c r="H160" s="100"/>
      <c r="I160" s="100"/>
      <c r="J160" s="100"/>
      <c r="K160" s="100"/>
      <c r="L160" s="100"/>
      <c r="M160" s="100"/>
      <c r="N160" s="130"/>
      <c r="O160" s="127"/>
      <c r="P160" s="131"/>
      <c r="Q160" s="127"/>
      <c r="R160" s="127"/>
      <c r="S160" s="128">
        <f t="shared" si="4"/>
        <v>0</v>
      </c>
      <c r="T160" s="101">
        <v>15</v>
      </c>
      <c r="U160" s="101">
        <v>32.9</v>
      </c>
      <c r="V160" s="129">
        <f t="shared" si="5"/>
        <v>0</v>
      </c>
    </row>
    <row r="161" spans="1:22" ht="15" hidden="1" customHeight="1" x14ac:dyDescent="0.25">
      <c r="A161" s="100">
        <v>720456</v>
      </c>
      <c r="B161" s="100" t="s">
        <v>152</v>
      </c>
      <c r="C161" s="100" t="s">
        <v>345</v>
      </c>
      <c r="D161" s="102" t="s">
        <v>62</v>
      </c>
      <c r="E161" s="100"/>
      <c r="F161" s="100"/>
      <c r="G161" s="100"/>
      <c r="H161" s="100"/>
      <c r="I161" s="100"/>
      <c r="J161" s="100"/>
      <c r="K161" s="100"/>
      <c r="L161" s="100"/>
      <c r="M161" s="100"/>
      <c r="N161" s="130"/>
      <c r="O161" s="127"/>
      <c r="P161" s="131"/>
      <c r="Q161" s="127"/>
      <c r="R161" s="127"/>
      <c r="S161" s="128">
        <f t="shared" si="4"/>
        <v>0</v>
      </c>
      <c r="T161" s="101">
        <v>15</v>
      </c>
      <c r="U161" s="101">
        <v>32.9</v>
      </c>
      <c r="V161" s="129">
        <f t="shared" si="5"/>
        <v>0</v>
      </c>
    </row>
    <row r="162" spans="1:22" ht="15" hidden="1" customHeight="1" x14ac:dyDescent="0.25">
      <c r="A162" s="100">
        <v>720460</v>
      </c>
      <c r="B162" s="100" t="s">
        <v>153</v>
      </c>
      <c r="C162" s="100" t="s">
        <v>386</v>
      </c>
      <c r="D162" s="102" t="s">
        <v>62</v>
      </c>
      <c r="E162" s="100"/>
      <c r="F162" s="100"/>
      <c r="G162" s="100"/>
      <c r="H162" s="100"/>
      <c r="I162" s="100"/>
      <c r="J162" s="100"/>
      <c r="K162" s="100"/>
      <c r="L162" s="100"/>
      <c r="M162" s="100"/>
      <c r="N162" s="130"/>
      <c r="O162" s="127"/>
      <c r="P162" s="131"/>
      <c r="Q162" s="131"/>
      <c r="R162" s="131"/>
      <c r="S162" s="128">
        <f t="shared" si="4"/>
        <v>0</v>
      </c>
      <c r="T162" s="101">
        <v>13.6</v>
      </c>
      <c r="U162" s="101">
        <v>29.9</v>
      </c>
      <c r="V162" s="129">
        <f t="shared" si="5"/>
        <v>0</v>
      </c>
    </row>
    <row r="163" spans="1:22" ht="15" hidden="1" customHeight="1" x14ac:dyDescent="0.25">
      <c r="A163" s="100">
        <v>720460</v>
      </c>
      <c r="B163" s="100" t="s">
        <v>387</v>
      </c>
      <c r="C163" s="100" t="s">
        <v>141</v>
      </c>
      <c r="D163" s="102" t="s">
        <v>62</v>
      </c>
      <c r="E163" s="100"/>
      <c r="F163" s="100"/>
      <c r="G163" s="100"/>
      <c r="H163" s="100"/>
      <c r="I163" s="100"/>
      <c r="J163" s="100"/>
      <c r="K163" s="100"/>
      <c r="L163" s="100"/>
      <c r="M163" s="100"/>
      <c r="N163" s="130"/>
      <c r="O163" s="127"/>
      <c r="P163" s="131"/>
      <c r="Q163" s="131"/>
      <c r="R163" s="131"/>
      <c r="S163" s="128">
        <f t="shared" si="4"/>
        <v>0</v>
      </c>
      <c r="T163" s="101">
        <v>13.6</v>
      </c>
      <c r="U163" s="101">
        <v>29.9</v>
      </c>
      <c r="V163" s="129">
        <f t="shared" si="5"/>
        <v>0</v>
      </c>
    </row>
    <row r="164" spans="1:22" ht="15" hidden="1" customHeight="1" x14ac:dyDescent="0.25">
      <c r="A164" s="100">
        <v>720464</v>
      </c>
      <c r="B164" s="100" t="s">
        <v>154</v>
      </c>
      <c r="C164" s="100" t="s">
        <v>386</v>
      </c>
      <c r="D164" s="102" t="s">
        <v>62</v>
      </c>
      <c r="E164" s="100"/>
      <c r="F164" s="100"/>
      <c r="G164" s="100"/>
      <c r="H164" s="100"/>
      <c r="I164" s="100"/>
      <c r="J164" s="100"/>
      <c r="K164" s="100"/>
      <c r="L164" s="100"/>
      <c r="M164" s="100"/>
      <c r="N164" s="130"/>
      <c r="O164" s="127"/>
      <c r="P164" s="131"/>
      <c r="Q164" s="131"/>
      <c r="R164" s="131"/>
      <c r="S164" s="128">
        <f t="shared" si="4"/>
        <v>0</v>
      </c>
      <c r="T164" s="101">
        <v>15</v>
      </c>
      <c r="U164" s="101">
        <v>32.9</v>
      </c>
      <c r="V164" s="129">
        <f t="shared" si="5"/>
        <v>0</v>
      </c>
    </row>
    <row r="165" spans="1:22" ht="15" hidden="1" customHeight="1" x14ac:dyDescent="0.25">
      <c r="A165" s="100">
        <v>720465</v>
      </c>
      <c r="B165" s="100" t="s">
        <v>156</v>
      </c>
      <c r="C165" s="100" t="s">
        <v>386</v>
      </c>
      <c r="D165" s="102" t="s">
        <v>62</v>
      </c>
      <c r="E165" s="100"/>
      <c r="F165" s="100"/>
      <c r="G165" s="100"/>
      <c r="H165" s="100"/>
      <c r="I165" s="100"/>
      <c r="J165" s="100"/>
      <c r="K165" s="100"/>
      <c r="L165" s="100"/>
      <c r="M165" s="100"/>
      <c r="N165" s="130"/>
      <c r="O165" s="127"/>
      <c r="P165" s="131"/>
      <c r="Q165" s="131"/>
      <c r="R165" s="131"/>
      <c r="S165" s="128">
        <f t="shared" si="4"/>
        <v>0</v>
      </c>
      <c r="T165" s="101">
        <v>15</v>
      </c>
      <c r="U165" s="101">
        <v>32.9</v>
      </c>
      <c r="V165" s="129">
        <f t="shared" si="5"/>
        <v>0</v>
      </c>
    </row>
    <row r="166" spans="1:22" ht="15" hidden="1" customHeight="1" x14ac:dyDescent="0.25">
      <c r="A166" s="100">
        <v>720470</v>
      </c>
      <c r="B166" s="100" t="s">
        <v>157</v>
      </c>
      <c r="C166" s="100" t="s">
        <v>386</v>
      </c>
      <c r="D166" s="102" t="s">
        <v>62</v>
      </c>
      <c r="E166" s="100"/>
      <c r="F166" s="100"/>
      <c r="G166" s="100"/>
      <c r="H166" s="100"/>
      <c r="I166" s="100"/>
      <c r="J166" s="100"/>
      <c r="K166" s="100"/>
      <c r="L166" s="100"/>
      <c r="M166" s="100"/>
      <c r="N166" s="130"/>
      <c r="O166" s="127"/>
      <c r="P166" s="131"/>
      <c r="Q166" s="127"/>
      <c r="R166" s="127"/>
      <c r="S166" s="128">
        <f t="shared" si="4"/>
        <v>0</v>
      </c>
      <c r="T166" s="101">
        <v>16.8</v>
      </c>
      <c r="U166" s="101">
        <v>36.9</v>
      </c>
      <c r="V166" s="129">
        <f t="shared" si="5"/>
        <v>0</v>
      </c>
    </row>
    <row r="167" spans="1:22" ht="15" hidden="1" customHeight="1" x14ac:dyDescent="0.25">
      <c r="A167" s="100">
        <v>720470</v>
      </c>
      <c r="B167" s="100" t="s">
        <v>388</v>
      </c>
      <c r="C167" s="100" t="s">
        <v>389</v>
      </c>
      <c r="D167" s="102" t="s">
        <v>62</v>
      </c>
      <c r="E167" s="100"/>
      <c r="F167" s="100"/>
      <c r="G167" s="100"/>
      <c r="H167" s="100"/>
      <c r="I167" s="100"/>
      <c r="J167" s="100"/>
      <c r="K167" s="100"/>
      <c r="L167" s="100"/>
      <c r="M167" s="100"/>
      <c r="N167" s="130"/>
      <c r="O167" s="127"/>
      <c r="P167" s="131"/>
      <c r="Q167" s="127"/>
      <c r="R167" s="127"/>
      <c r="S167" s="128">
        <f t="shared" si="4"/>
        <v>0</v>
      </c>
      <c r="T167" s="101">
        <v>16.8</v>
      </c>
      <c r="U167" s="101">
        <v>36.9</v>
      </c>
      <c r="V167" s="129">
        <f t="shared" si="5"/>
        <v>0</v>
      </c>
    </row>
    <row r="168" spans="1:22" ht="15" hidden="1" customHeight="1" x14ac:dyDescent="0.25">
      <c r="A168" s="100">
        <v>720470</v>
      </c>
      <c r="B168" s="100" t="s">
        <v>390</v>
      </c>
      <c r="C168" s="100" t="s">
        <v>141</v>
      </c>
      <c r="D168" s="102" t="s">
        <v>62</v>
      </c>
      <c r="E168" s="100"/>
      <c r="F168" s="100"/>
      <c r="G168" s="100"/>
      <c r="H168" s="100"/>
      <c r="I168" s="100"/>
      <c r="J168" s="100"/>
      <c r="K168" s="100"/>
      <c r="L168" s="100"/>
      <c r="M168" s="100"/>
      <c r="N168" s="130"/>
      <c r="O168" s="127"/>
      <c r="P168" s="131"/>
      <c r="Q168" s="127"/>
      <c r="R168" s="127"/>
      <c r="S168" s="128">
        <f t="shared" si="4"/>
        <v>0</v>
      </c>
      <c r="T168" s="101">
        <v>16.8</v>
      </c>
      <c r="U168" s="101">
        <v>36.9</v>
      </c>
      <c r="V168" s="129">
        <f t="shared" si="5"/>
        <v>0</v>
      </c>
    </row>
    <row r="169" spans="1:22" ht="15" hidden="1" customHeight="1" x14ac:dyDescent="0.25">
      <c r="A169" s="100">
        <v>720471</v>
      </c>
      <c r="B169" s="100" t="s">
        <v>158</v>
      </c>
      <c r="C169" s="100" t="s">
        <v>386</v>
      </c>
      <c r="D169" s="102" t="s">
        <v>62</v>
      </c>
      <c r="E169" s="100"/>
      <c r="F169" s="100"/>
      <c r="G169" s="100"/>
      <c r="H169" s="100"/>
      <c r="I169" s="100"/>
      <c r="J169" s="100"/>
      <c r="K169" s="100"/>
      <c r="L169" s="100"/>
      <c r="M169" s="100"/>
      <c r="N169" s="130"/>
      <c r="O169" s="127"/>
      <c r="P169" s="131"/>
      <c r="Q169" s="127"/>
      <c r="R169" s="127"/>
      <c r="S169" s="128">
        <f t="shared" si="4"/>
        <v>0</v>
      </c>
      <c r="T169" s="101">
        <v>16.8</v>
      </c>
      <c r="U169" s="101">
        <v>36.9</v>
      </c>
      <c r="V169" s="129">
        <f t="shared" si="5"/>
        <v>0</v>
      </c>
    </row>
    <row r="170" spans="1:22" ht="15" hidden="1" customHeight="1" x14ac:dyDescent="0.25">
      <c r="A170" s="100">
        <v>720471</v>
      </c>
      <c r="B170" s="100" t="s">
        <v>391</v>
      </c>
      <c r="C170" s="100" t="s">
        <v>389</v>
      </c>
      <c r="D170" s="102" t="s">
        <v>62</v>
      </c>
      <c r="E170" s="100"/>
      <c r="F170" s="100"/>
      <c r="G170" s="100"/>
      <c r="H170" s="100"/>
      <c r="I170" s="100"/>
      <c r="J170" s="100"/>
      <c r="K170" s="100"/>
      <c r="L170" s="100"/>
      <c r="M170" s="100"/>
      <c r="N170" s="130"/>
      <c r="O170" s="127"/>
      <c r="P170" s="131"/>
      <c r="Q170" s="127"/>
      <c r="R170" s="127"/>
      <c r="S170" s="128">
        <f t="shared" si="4"/>
        <v>0</v>
      </c>
      <c r="T170" s="101">
        <v>16.8</v>
      </c>
      <c r="U170" s="101">
        <v>36.9</v>
      </c>
      <c r="V170" s="129">
        <f t="shared" si="5"/>
        <v>0</v>
      </c>
    </row>
    <row r="171" spans="1:22" ht="15" hidden="1" customHeight="1" x14ac:dyDescent="0.25">
      <c r="A171" s="100">
        <v>720471</v>
      </c>
      <c r="B171" s="100" t="s">
        <v>392</v>
      </c>
      <c r="C171" s="100" t="s">
        <v>141</v>
      </c>
      <c r="D171" s="102" t="s">
        <v>62</v>
      </c>
      <c r="E171" s="100"/>
      <c r="F171" s="100"/>
      <c r="G171" s="100"/>
      <c r="H171" s="100"/>
      <c r="I171" s="100"/>
      <c r="J171" s="100"/>
      <c r="K171" s="100"/>
      <c r="L171" s="100"/>
      <c r="M171" s="100"/>
      <c r="N171" s="130"/>
      <c r="O171" s="127"/>
      <c r="P171" s="131"/>
      <c r="Q171" s="127"/>
      <c r="R171" s="127"/>
      <c r="S171" s="128">
        <f t="shared" si="4"/>
        <v>0</v>
      </c>
      <c r="T171" s="101">
        <v>16.8</v>
      </c>
      <c r="U171" s="101">
        <v>36.9</v>
      </c>
      <c r="V171" s="129">
        <f t="shared" si="5"/>
        <v>0</v>
      </c>
    </row>
    <row r="172" spans="1:22" ht="15" hidden="1" customHeight="1" x14ac:dyDescent="0.25">
      <c r="A172" s="100">
        <v>720472</v>
      </c>
      <c r="B172" s="100" t="s">
        <v>160</v>
      </c>
      <c r="C172" s="100" t="s">
        <v>118</v>
      </c>
      <c r="D172" s="102" t="s">
        <v>62</v>
      </c>
      <c r="E172" s="100"/>
      <c r="F172" s="100"/>
      <c r="G172" s="100"/>
      <c r="H172" s="100"/>
      <c r="I172" s="100"/>
      <c r="J172" s="100"/>
      <c r="K172" s="100"/>
      <c r="L172" s="100"/>
      <c r="M172" s="100"/>
      <c r="N172" s="130"/>
      <c r="O172" s="127"/>
      <c r="P172" s="131"/>
      <c r="Q172" s="127"/>
      <c r="R172" s="127"/>
      <c r="S172" s="128">
        <f t="shared" si="4"/>
        <v>0</v>
      </c>
      <c r="T172" s="101">
        <v>15</v>
      </c>
      <c r="U172" s="101">
        <v>32.9</v>
      </c>
      <c r="V172" s="129">
        <f t="shared" si="5"/>
        <v>0</v>
      </c>
    </row>
    <row r="173" spans="1:22" ht="15" hidden="1" customHeight="1" x14ac:dyDescent="0.25">
      <c r="A173" s="100">
        <v>720472</v>
      </c>
      <c r="B173" s="100" t="s">
        <v>393</v>
      </c>
      <c r="C173" s="100" t="s">
        <v>100</v>
      </c>
      <c r="D173" s="102" t="s">
        <v>62</v>
      </c>
      <c r="E173" s="100"/>
      <c r="F173" s="100"/>
      <c r="G173" s="100"/>
      <c r="H173" s="100"/>
      <c r="I173" s="100"/>
      <c r="J173" s="100"/>
      <c r="K173" s="100"/>
      <c r="L173" s="100"/>
      <c r="M173" s="100"/>
      <c r="N173" s="130"/>
      <c r="O173" s="127"/>
      <c r="P173" s="131"/>
      <c r="Q173" s="127"/>
      <c r="R173" s="127"/>
      <c r="S173" s="128">
        <f t="shared" si="4"/>
        <v>0</v>
      </c>
      <c r="T173" s="101">
        <v>15</v>
      </c>
      <c r="U173" s="101">
        <v>32.9</v>
      </c>
      <c r="V173" s="129">
        <f t="shared" si="5"/>
        <v>0</v>
      </c>
    </row>
    <row r="174" spans="1:22" ht="15" hidden="1" customHeight="1" x14ac:dyDescent="0.25">
      <c r="A174" s="100">
        <v>720473</v>
      </c>
      <c r="B174" s="100" t="s">
        <v>161</v>
      </c>
      <c r="C174" s="100" t="s">
        <v>118</v>
      </c>
      <c r="D174" s="102" t="s">
        <v>62</v>
      </c>
      <c r="E174" s="100"/>
      <c r="F174" s="100"/>
      <c r="G174" s="100"/>
      <c r="H174" s="100"/>
      <c r="I174" s="100"/>
      <c r="J174" s="100"/>
      <c r="K174" s="100"/>
      <c r="L174" s="100"/>
      <c r="M174" s="100"/>
      <c r="N174" s="130"/>
      <c r="O174" s="127"/>
      <c r="P174" s="131"/>
      <c r="Q174" s="127"/>
      <c r="R174" s="127"/>
      <c r="S174" s="128">
        <f t="shared" si="4"/>
        <v>0</v>
      </c>
      <c r="T174" s="101">
        <v>15</v>
      </c>
      <c r="U174" s="101">
        <v>32.9</v>
      </c>
      <c r="V174" s="129">
        <f t="shared" si="5"/>
        <v>0</v>
      </c>
    </row>
    <row r="175" spans="1:22" ht="15" hidden="1" customHeight="1" x14ac:dyDescent="0.25">
      <c r="A175" s="100">
        <v>720473</v>
      </c>
      <c r="B175" s="100" t="s">
        <v>120</v>
      </c>
      <c r="C175" s="100" t="s">
        <v>100</v>
      </c>
      <c r="D175" s="102" t="s">
        <v>62</v>
      </c>
      <c r="E175" s="100"/>
      <c r="F175" s="100"/>
      <c r="G175" s="100"/>
      <c r="H175" s="100"/>
      <c r="I175" s="100"/>
      <c r="J175" s="100"/>
      <c r="K175" s="100"/>
      <c r="L175" s="100"/>
      <c r="M175" s="100"/>
      <c r="N175" s="130"/>
      <c r="O175" s="127"/>
      <c r="P175" s="131"/>
      <c r="Q175" s="127"/>
      <c r="R175" s="127"/>
      <c r="S175" s="128">
        <f t="shared" si="4"/>
        <v>0</v>
      </c>
      <c r="T175" s="101">
        <v>15</v>
      </c>
      <c r="U175" s="101">
        <v>32.9</v>
      </c>
      <c r="V175" s="129">
        <f t="shared" si="5"/>
        <v>0</v>
      </c>
    </row>
    <row r="176" spans="1:22" ht="15" hidden="1" customHeight="1" x14ac:dyDescent="0.25">
      <c r="A176" s="100">
        <v>720481</v>
      </c>
      <c r="B176" s="100" t="s">
        <v>162</v>
      </c>
      <c r="C176" s="100" t="s">
        <v>100</v>
      </c>
      <c r="D176" s="102" t="s">
        <v>62</v>
      </c>
      <c r="E176" s="100"/>
      <c r="F176" s="100"/>
      <c r="G176" s="100"/>
      <c r="H176" s="100"/>
      <c r="I176" s="100"/>
      <c r="J176" s="100"/>
      <c r="K176" s="100"/>
      <c r="L176" s="100"/>
      <c r="M176" s="100"/>
      <c r="N176" s="130"/>
      <c r="O176" s="127"/>
      <c r="P176" s="131"/>
      <c r="Q176" s="127"/>
      <c r="R176" s="127"/>
      <c r="S176" s="128">
        <f t="shared" si="4"/>
        <v>0</v>
      </c>
      <c r="T176" s="101">
        <v>15</v>
      </c>
      <c r="U176" s="101">
        <v>32.9</v>
      </c>
      <c r="V176" s="129">
        <f t="shared" si="5"/>
        <v>0</v>
      </c>
    </row>
    <row r="177" spans="1:22" ht="15" hidden="1" customHeight="1" x14ac:dyDescent="0.25">
      <c r="A177" s="100">
        <v>720481</v>
      </c>
      <c r="B177" s="100" t="s">
        <v>394</v>
      </c>
      <c r="C177" s="100" t="s">
        <v>141</v>
      </c>
      <c r="D177" s="102" t="s">
        <v>62</v>
      </c>
      <c r="E177" s="100"/>
      <c r="F177" s="100"/>
      <c r="G177" s="100"/>
      <c r="H177" s="100"/>
      <c r="I177" s="100"/>
      <c r="J177" s="100"/>
      <c r="K177" s="100"/>
      <c r="L177" s="100"/>
      <c r="M177" s="100"/>
      <c r="N177" s="130"/>
      <c r="O177" s="127"/>
      <c r="P177" s="131"/>
      <c r="Q177" s="127"/>
      <c r="R177" s="127"/>
      <c r="S177" s="128">
        <f t="shared" si="4"/>
        <v>0</v>
      </c>
      <c r="T177" s="101">
        <v>15</v>
      </c>
      <c r="U177" s="101">
        <v>32.9</v>
      </c>
      <c r="V177" s="129">
        <f t="shared" si="5"/>
        <v>0</v>
      </c>
    </row>
    <row r="178" spans="1:22" ht="15" hidden="1" customHeight="1" x14ac:dyDescent="0.25">
      <c r="A178" s="100">
        <v>720482</v>
      </c>
      <c r="B178" s="100" t="s">
        <v>163</v>
      </c>
      <c r="C178" s="100" t="s">
        <v>100</v>
      </c>
      <c r="D178" s="102" t="s">
        <v>62</v>
      </c>
      <c r="E178" s="100"/>
      <c r="F178" s="100"/>
      <c r="G178" s="100"/>
      <c r="H178" s="100"/>
      <c r="I178" s="100"/>
      <c r="J178" s="100"/>
      <c r="K178" s="100"/>
      <c r="L178" s="100"/>
      <c r="M178" s="100"/>
      <c r="N178" s="130"/>
      <c r="O178" s="127"/>
      <c r="P178" s="131"/>
      <c r="Q178" s="127"/>
      <c r="R178" s="127"/>
      <c r="S178" s="128">
        <f t="shared" si="4"/>
        <v>0</v>
      </c>
      <c r="T178" s="101">
        <v>15</v>
      </c>
      <c r="U178" s="101">
        <v>32.9</v>
      </c>
      <c r="V178" s="129">
        <f t="shared" si="5"/>
        <v>0</v>
      </c>
    </row>
    <row r="179" spans="1:22" ht="15" hidden="1" customHeight="1" x14ac:dyDescent="0.25">
      <c r="A179" s="100">
        <v>720482</v>
      </c>
      <c r="B179" s="100" t="s">
        <v>395</v>
      </c>
      <c r="C179" s="100" t="s">
        <v>141</v>
      </c>
      <c r="D179" s="102" t="s">
        <v>62</v>
      </c>
      <c r="E179" s="100"/>
      <c r="F179" s="100"/>
      <c r="G179" s="100"/>
      <c r="H179" s="100"/>
      <c r="I179" s="100"/>
      <c r="J179" s="100"/>
      <c r="K179" s="100"/>
      <c r="L179" s="100"/>
      <c r="M179" s="100"/>
      <c r="N179" s="130"/>
      <c r="O179" s="127"/>
      <c r="P179" s="131"/>
      <c r="Q179" s="127"/>
      <c r="R179" s="127"/>
      <c r="S179" s="128">
        <f t="shared" si="4"/>
        <v>0</v>
      </c>
      <c r="T179" s="101">
        <v>15</v>
      </c>
      <c r="U179" s="101">
        <v>32.9</v>
      </c>
      <c r="V179" s="129">
        <f t="shared" si="5"/>
        <v>0</v>
      </c>
    </row>
    <row r="180" spans="1:22" ht="15" hidden="1" customHeight="1" x14ac:dyDescent="0.25">
      <c r="A180" s="100">
        <v>720487</v>
      </c>
      <c r="B180" s="100" t="s">
        <v>164</v>
      </c>
      <c r="C180" s="100" t="s">
        <v>386</v>
      </c>
      <c r="D180" s="102" t="s">
        <v>62</v>
      </c>
      <c r="E180" s="100"/>
      <c r="F180" s="100"/>
      <c r="G180" s="100"/>
      <c r="H180" s="100"/>
      <c r="I180" s="100"/>
      <c r="J180" s="100"/>
      <c r="K180" s="100"/>
      <c r="L180" s="100"/>
      <c r="M180" s="100"/>
      <c r="N180" s="130"/>
      <c r="O180" s="127"/>
      <c r="P180" s="131"/>
      <c r="Q180" s="127"/>
      <c r="R180" s="127"/>
      <c r="S180" s="128">
        <f t="shared" si="4"/>
        <v>0</v>
      </c>
      <c r="T180" s="101">
        <v>15</v>
      </c>
      <c r="U180" s="101">
        <v>32.9</v>
      </c>
      <c r="V180" s="129">
        <f t="shared" si="5"/>
        <v>0</v>
      </c>
    </row>
    <row r="181" spans="1:22" ht="15" hidden="1" customHeight="1" x14ac:dyDescent="0.25">
      <c r="A181" s="100">
        <v>720487</v>
      </c>
      <c r="B181" s="100" t="s">
        <v>396</v>
      </c>
      <c r="C181" s="100" t="s">
        <v>100</v>
      </c>
      <c r="D181" s="102" t="s">
        <v>62</v>
      </c>
      <c r="E181" s="100"/>
      <c r="F181" s="100"/>
      <c r="G181" s="100"/>
      <c r="H181" s="100"/>
      <c r="I181" s="100"/>
      <c r="J181" s="100"/>
      <c r="K181" s="100"/>
      <c r="L181" s="100"/>
      <c r="M181" s="100"/>
      <c r="N181" s="130"/>
      <c r="O181" s="127"/>
      <c r="P181" s="131"/>
      <c r="Q181" s="127"/>
      <c r="R181" s="127"/>
      <c r="S181" s="128">
        <f t="shared" si="4"/>
        <v>0</v>
      </c>
      <c r="T181" s="101">
        <v>15</v>
      </c>
      <c r="U181" s="101">
        <v>32.9</v>
      </c>
      <c r="V181" s="129">
        <f t="shared" si="5"/>
        <v>0</v>
      </c>
    </row>
    <row r="182" spans="1:22" ht="15" hidden="1" customHeight="1" x14ac:dyDescent="0.25">
      <c r="A182" s="100">
        <v>720487</v>
      </c>
      <c r="B182" s="100" t="s">
        <v>397</v>
      </c>
      <c r="C182" s="100" t="s">
        <v>141</v>
      </c>
      <c r="D182" s="102" t="s">
        <v>62</v>
      </c>
      <c r="E182" s="100"/>
      <c r="F182" s="100"/>
      <c r="G182" s="100"/>
      <c r="H182" s="100"/>
      <c r="I182" s="100"/>
      <c r="J182" s="100"/>
      <c r="K182" s="100"/>
      <c r="L182" s="100"/>
      <c r="M182" s="100"/>
      <c r="N182" s="130"/>
      <c r="O182" s="127"/>
      <c r="P182" s="131"/>
      <c r="Q182" s="127"/>
      <c r="R182" s="127"/>
      <c r="S182" s="128">
        <f t="shared" si="4"/>
        <v>0</v>
      </c>
      <c r="T182" s="101">
        <v>15</v>
      </c>
      <c r="U182" s="101">
        <v>32.9</v>
      </c>
      <c r="V182" s="129">
        <f t="shared" si="5"/>
        <v>0</v>
      </c>
    </row>
    <row r="183" spans="1:22" ht="15" hidden="1" customHeight="1" x14ac:dyDescent="0.25">
      <c r="A183" s="100">
        <v>720488</v>
      </c>
      <c r="B183" s="100" t="s">
        <v>165</v>
      </c>
      <c r="C183" s="100" t="s">
        <v>386</v>
      </c>
      <c r="D183" s="102" t="s">
        <v>62</v>
      </c>
      <c r="E183" s="100"/>
      <c r="F183" s="100"/>
      <c r="G183" s="100"/>
      <c r="H183" s="100"/>
      <c r="I183" s="100"/>
      <c r="J183" s="100"/>
      <c r="K183" s="100"/>
      <c r="L183" s="100"/>
      <c r="M183" s="100"/>
      <c r="N183" s="130"/>
      <c r="O183" s="127"/>
      <c r="P183" s="131"/>
      <c r="Q183" s="127"/>
      <c r="R183" s="127"/>
      <c r="S183" s="128">
        <f t="shared" si="4"/>
        <v>0</v>
      </c>
      <c r="T183" s="101">
        <v>15</v>
      </c>
      <c r="U183" s="101">
        <v>32.9</v>
      </c>
      <c r="V183" s="129">
        <f t="shared" si="5"/>
        <v>0</v>
      </c>
    </row>
    <row r="184" spans="1:22" ht="15" hidden="1" customHeight="1" x14ac:dyDescent="0.25">
      <c r="A184" s="100">
        <v>720488</v>
      </c>
      <c r="B184" s="100" t="s">
        <v>155</v>
      </c>
      <c r="C184" s="100" t="s">
        <v>100</v>
      </c>
      <c r="D184" s="102" t="s">
        <v>62</v>
      </c>
      <c r="E184" s="100"/>
      <c r="F184" s="100"/>
      <c r="G184" s="100"/>
      <c r="H184" s="100"/>
      <c r="I184" s="100"/>
      <c r="J184" s="100"/>
      <c r="K184" s="100"/>
      <c r="L184" s="100"/>
      <c r="M184" s="100"/>
      <c r="N184" s="130"/>
      <c r="O184" s="127"/>
      <c r="P184" s="131"/>
      <c r="Q184" s="127"/>
      <c r="R184" s="127"/>
      <c r="S184" s="128">
        <f t="shared" si="4"/>
        <v>0</v>
      </c>
      <c r="T184" s="101">
        <v>15</v>
      </c>
      <c r="U184" s="101">
        <v>32.9</v>
      </c>
      <c r="V184" s="129">
        <f t="shared" si="5"/>
        <v>0</v>
      </c>
    </row>
    <row r="185" spans="1:22" ht="15" hidden="1" customHeight="1" x14ac:dyDescent="0.25">
      <c r="A185" s="100">
        <v>720488</v>
      </c>
      <c r="B185" s="100" t="s">
        <v>398</v>
      </c>
      <c r="C185" s="100" t="s">
        <v>141</v>
      </c>
      <c r="D185" s="102" t="s">
        <v>62</v>
      </c>
      <c r="E185" s="100"/>
      <c r="F185" s="100"/>
      <c r="G185" s="100"/>
      <c r="H185" s="100"/>
      <c r="I185" s="100"/>
      <c r="J185" s="100"/>
      <c r="K185" s="100"/>
      <c r="L185" s="100"/>
      <c r="M185" s="100"/>
      <c r="N185" s="130"/>
      <c r="O185" s="127"/>
      <c r="P185" s="131"/>
      <c r="Q185" s="127"/>
      <c r="R185" s="127"/>
      <c r="S185" s="128">
        <f t="shared" si="4"/>
        <v>0</v>
      </c>
      <c r="T185" s="101">
        <v>15</v>
      </c>
      <c r="U185" s="101">
        <v>32.9</v>
      </c>
      <c r="V185" s="129">
        <f t="shared" si="5"/>
        <v>0</v>
      </c>
    </row>
    <row r="186" spans="1:22" ht="15" hidden="1" customHeight="1" x14ac:dyDescent="0.25">
      <c r="A186" s="100">
        <v>720491</v>
      </c>
      <c r="B186" s="100" t="s">
        <v>166</v>
      </c>
      <c r="C186" s="100" t="s">
        <v>373</v>
      </c>
      <c r="D186" s="102" t="s">
        <v>62</v>
      </c>
      <c r="E186" s="100"/>
      <c r="F186" s="100"/>
      <c r="G186" s="100"/>
      <c r="H186" s="100"/>
      <c r="I186" s="100"/>
      <c r="J186" s="100"/>
      <c r="K186" s="100"/>
      <c r="L186" s="100"/>
      <c r="M186" s="100"/>
      <c r="N186" s="130"/>
      <c r="O186" s="127"/>
      <c r="P186" s="131"/>
      <c r="Q186" s="127"/>
      <c r="R186" s="127"/>
      <c r="S186" s="128">
        <f t="shared" si="4"/>
        <v>0</v>
      </c>
      <c r="T186" s="101">
        <v>13.6</v>
      </c>
      <c r="U186" s="101">
        <v>29.9</v>
      </c>
      <c r="V186" s="129">
        <f t="shared" si="5"/>
        <v>0</v>
      </c>
    </row>
    <row r="187" spans="1:22" ht="15" hidden="1" customHeight="1" x14ac:dyDescent="0.25">
      <c r="A187" s="100">
        <v>720491</v>
      </c>
      <c r="B187" s="100" t="s">
        <v>399</v>
      </c>
      <c r="C187" s="100" t="s">
        <v>347</v>
      </c>
      <c r="D187" s="102" t="s">
        <v>62</v>
      </c>
      <c r="E187" s="100"/>
      <c r="F187" s="100"/>
      <c r="G187" s="100"/>
      <c r="H187" s="100"/>
      <c r="I187" s="100"/>
      <c r="J187" s="100"/>
      <c r="K187" s="100"/>
      <c r="L187" s="100"/>
      <c r="M187" s="100"/>
      <c r="N187" s="130"/>
      <c r="O187" s="127"/>
      <c r="P187" s="131"/>
      <c r="Q187" s="127"/>
      <c r="R187" s="127"/>
      <c r="S187" s="128">
        <f t="shared" si="4"/>
        <v>0</v>
      </c>
      <c r="T187" s="101">
        <v>13.6</v>
      </c>
      <c r="U187" s="101">
        <v>29.9</v>
      </c>
      <c r="V187" s="129">
        <f t="shared" si="5"/>
        <v>0</v>
      </c>
    </row>
    <row r="188" spans="1:22" ht="15" hidden="1" customHeight="1" x14ac:dyDescent="0.25">
      <c r="A188" s="100">
        <v>720492</v>
      </c>
      <c r="B188" s="100" t="s">
        <v>167</v>
      </c>
      <c r="C188" s="100" t="s">
        <v>373</v>
      </c>
      <c r="D188" s="102" t="s">
        <v>62</v>
      </c>
      <c r="E188" s="100"/>
      <c r="F188" s="100"/>
      <c r="G188" s="100"/>
      <c r="H188" s="100"/>
      <c r="I188" s="100"/>
      <c r="J188" s="100"/>
      <c r="K188" s="100"/>
      <c r="L188" s="100"/>
      <c r="M188" s="100"/>
      <c r="N188" s="130"/>
      <c r="O188" s="127"/>
      <c r="P188" s="131"/>
      <c r="Q188" s="127"/>
      <c r="R188" s="127"/>
      <c r="S188" s="128">
        <f t="shared" si="4"/>
        <v>0</v>
      </c>
      <c r="T188" s="101">
        <v>13.6</v>
      </c>
      <c r="U188" s="101">
        <v>29.9</v>
      </c>
      <c r="V188" s="129">
        <f t="shared" si="5"/>
        <v>0</v>
      </c>
    </row>
    <row r="189" spans="1:22" ht="15" hidden="1" customHeight="1" x14ac:dyDescent="0.25">
      <c r="A189" s="100">
        <v>720492</v>
      </c>
      <c r="B189" s="100" t="s">
        <v>400</v>
      </c>
      <c r="C189" s="100" t="s">
        <v>347</v>
      </c>
      <c r="D189" s="102" t="s">
        <v>62</v>
      </c>
      <c r="E189" s="100"/>
      <c r="F189" s="100"/>
      <c r="G189" s="100"/>
      <c r="H189" s="100"/>
      <c r="I189" s="100"/>
      <c r="J189" s="100"/>
      <c r="K189" s="100"/>
      <c r="L189" s="100"/>
      <c r="M189" s="100"/>
      <c r="N189" s="130"/>
      <c r="O189" s="127"/>
      <c r="P189" s="131"/>
      <c r="Q189" s="127"/>
      <c r="R189" s="127"/>
      <c r="S189" s="128">
        <f t="shared" si="4"/>
        <v>0</v>
      </c>
      <c r="T189" s="101">
        <v>13.6</v>
      </c>
      <c r="U189" s="101">
        <v>29.9</v>
      </c>
      <c r="V189" s="129">
        <f t="shared" si="5"/>
        <v>0</v>
      </c>
    </row>
    <row r="190" spans="1:22" ht="15" hidden="1" customHeight="1" x14ac:dyDescent="0.25">
      <c r="A190" s="100">
        <v>720498</v>
      </c>
      <c r="B190" s="100" t="s">
        <v>168</v>
      </c>
      <c r="C190" s="100" t="s">
        <v>371</v>
      </c>
      <c r="D190" s="102" t="s">
        <v>62</v>
      </c>
      <c r="E190" s="100"/>
      <c r="F190" s="100"/>
      <c r="G190" s="100"/>
      <c r="H190" s="100"/>
      <c r="I190" s="100"/>
      <c r="J190" s="100"/>
      <c r="K190" s="100"/>
      <c r="L190" s="100"/>
      <c r="M190" s="100"/>
      <c r="N190" s="130"/>
      <c r="O190" s="127"/>
      <c r="P190" s="131"/>
      <c r="Q190" s="127"/>
      <c r="R190" s="127"/>
      <c r="S190" s="128">
        <f t="shared" si="4"/>
        <v>0</v>
      </c>
      <c r="T190" s="101">
        <v>13.6</v>
      </c>
      <c r="U190" s="101">
        <v>29.9</v>
      </c>
      <c r="V190" s="129">
        <f t="shared" si="5"/>
        <v>0</v>
      </c>
    </row>
    <row r="191" spans="1:22" ht="15" hidden="1" customHeight="1" x14ac:dyDescent="0.25">
      <c r="A191" s="100">
        <v>720498</v>
      </c>
      <c r="B191" s="100" t="s">
        <v>401</v>
      </c>
      <c r="C191" s="100" t="s">
        <v>100</v>
      </c>
      <c r="D191" s="102" t="s">
        <v>62</v>
      </c>
      <c r="E191" s="100"/>
      <c r="F191" s="100"/>
      <c r="G191" s="100"/>
      <c r="H191" s="100"/>
      <c r="I191" s="100"/>
      <c r="J191" s="100"/>
      <c r="K191" s="100"/>
      <c r="L191" s="100"/>
      <c r="M191" s="100"/>
      <c r="N191" s="130"/>
      <c r="O191" s="127"/>
      <c r="P191" s="131"/>
      <c r="Q191" s="127"/>
      <c r="R191" s="127"/>
      <c r="S191" s="128">
        <f t="shared" si="4"/>
        <v>0</v>
      </c>
      <c r="T191" s="101">
        <v>13.6</v>
      </c>
      <c r="U191" s="101">
        <v>29.9</v>
      </c>
      <c r="V191" s="129">
        <f t="shared" si="5"/>
        <v>0</v>
      </c>
    </row>
    <row r="192" spans="1:22" ht="15" hidden="1" customHeight="1" x14ac:dyDescent="0.25">
      <c r="A192" s="100">
        <v>720498</v>
      </c>
      <c r="B192" s="100" t="s">
        <v>402</v>
      </c>
      <c r="C192" s="100" t="s">
        <v>141</v>
      </c>
      <c r="D192" s="102" t="s">
        <v>62</v>
      </c>
      <c r="E192" s="100"/>
      <c r="F192" s="100"/>
      <c r="G192" s="100"/>
      <c r="H192" s="100"/>
      <c r="I192" s="100"/>
      <c r="J192" s="100"/>
      <c r="K192" s="100"/>
      <c r="L192" s="100"/>
      <c r="M192" s="100"/>
      <c r="N192" s="130"/>
      <c r="O192" s="127"/>
      <c r="P192" s="131"/>
      <c r="Q192" s="127"/>
      <c r="R192" s="127"/>
      <c r="S192" s="128">
        <f t="shared" si="4"/>
        <v>0</v>
      </c>
      <c r="T192" s="101">
        <v>13.6</v>
      </c>
      <c r="U192" s="101">
        <v>29.9</v>
      </c>
      <c r="V192" s="129">
        <f t="shared" si="5"/>
        <v>0</v>
      </c>
    </row>
    <row r="193" spans="1:22" ht="15" hidden="1" customHeight="1" x14ac:dyDescent="0.25">
      <c r="A193" s="100">
        <v>720502</v>
      </c>
      <c r="B193" s="100" t="s">
        <v>169</v>
      </c>
      <c r="C193" s="100" t="s">
        <v>345</v>
      </c>
      <c r="D193" s="102" t="s">
        <v>62</v>
      </c>
      <c r="E193" s="100"/>
      <c r="F193" s="100"/>
      <c r="G193" s="100"/>
      <c r="H193" s="100"/>
      <c r="I193" s="100"/>
      <c r="J193" s="100"/>
      <c r="K193" s="100"/>
      <c r="L193" s="100"/>
      <c r="M193" s="100"/>
      <c r="N193" s="130"/>
      <c r="O193" s="127"/>
      <c r="P193" s="131"/>
      <c r="Q193" s="131"/>
      <c r="R193" s="131"/>
      <c r="S193" s="128">
        <f t="shared" si="4"/>
        <v>0</v>
      </c>
      <c r="T193" s="101">
        <v>18.2</v>
      </c>
      <c r="U193" s="101">
        <v>39.9</v>
      </c>
      <c r="V193" s="129">
        <f t="shared" si="5"/>
        <v>0</v>
      </c>
    </row>
    <row r="194" spans="1:22" ht="15" hidden="1" customHeight="1" x14ac:dyDescent="0.25">
      <c r="A194" s="100">
        <v>720502</v>
      </c>
      <c r="B194" s="100" t="s">
        <v>403</v>
      </c>
      <c r="C194" s="100" t="s">
        <v>404</v>
      </c>
      <c r="D194" s="102" t="s">
        <v>62</v>
      </c>
      <c r="E194" s="100"/>
      <c r="F194" s="100"/>
      <c r="G194" s="100"/>
      <c r="H194" s="100"/>
      <c r="I194" s="100"/>
      <c r="J194" s="100"/>
      <c r="K194" s="100"/>
      <c r="L194" s="100"/>
      <c r="M194" s="100"/>
      <c r="N194" s="130"/>
      <c r="O194" s="127"/>
      <c r="P194" s="131"/>
      <c r="Q194" s="131"/>
      <c r="R194" s="131"/>
      <c r="S194" s="128">
        <f t="shared" si="4"/>
        <v>0</v>
      </c>
      <c r="T194" s="101">
        <v>18.2</v>
      </c>
      <c r="U194" s="101">
        <v>39.9</v>
      </c>
      <c r="V194" s="129">
        <f t="shared" si="5"/>
        <v>0</v>
      </c>
    </row>
    <row r="195" spans="1:22" ht="15" hidden="1" customHeight="1" x14ac:dyDescent="0.25">
      <c r="A195" s="100">
        <v>720502</v>
      </c>
      <c r="B195" s="100" t="s">
        <v>171</v>
      </c>
      <c r="C195" s="100" t="s">
        <v>100</v>
      </c>
      <c r="D195" s="102" t="s">
        <v>62</v>
      </c>
      <c r="E195" s="100"/>
      <c r="F195" s="100"/>
      <c r="G195" s="100"/>
      <c r="H195" s="100"/>
      <c r="I195" s="100"/>
      <c r="J195" s="100"/>
      <c r="K195" s="100"/>
      <c r="L195" s="100"/>
      <c r="M195" s="100"/>
      <c r="N195" s="130"/>
      <c r="O195" s="127"/>
      <c r="P195" s="131"/>
      <c r="Q195" s="131"/>
      <c r="R195" s="131"/>
      <c r="S195" s="128">
        <f t="shared" si="4"/>
        <v>0</v>
      </c>
      <c r="T195" s="101">
        <v>18.2</v>
      </c>
      <c r="U195" s="101">
        <v>39.9</v>
      </c>
      <c r="V195" s="129">
        <f t="shared" si="5"/>
        <v>0</v>
      </c>
    </row>
    <row r="196" spans="1:22" ht="15" hidden="1" customHeight="1" x14ac:dyDescent="0.25">
      <c r="A196" s="100">
        <v>720502</v>
      </c>
      <c r="B196" s="100" t="s">
        <v>405</v>
      </c>
      <c r="C196" s="100" t="s">
        <v>141</v>
      </c>
      <c r="D196" s="102" t="s">
        <v>62</v>
      </c>
      <c r="E196" s="100"/>
      <c r="F196" s="100"/>
      <c r="G196" s="100"/>
      <c r="H196" s="100"/>
      <c r="I196" s="100"/>
      <c r="J196" s="100"/>
      <c r="K196" s="100"/>
      <c r="L196" s="100"/>
      <c r="M196" s="100"/>
      <c r="N196" s="130"/>
      <c r="O196" s="127"/>
      <c r="P196" s="131"/>
      <c r="Q196" s="131"/>
      <c r="R196" s="131"/>
      <c r="S196" s="128">
        <f t="shared" si="4"/>
        <v>0</v>
      </c>
      <c r="T196" s="101">
        <v>18.2</v>
      </c>
      <c r="U196" s="101">
        <v>39.9</v>
      </c>
      <c r="V196" s="129">
        <f t="shared" si="5"/>
        <v>0</v>
      </c>
    </row>
    <row r="197" spans="1:22" ht="15" hidden="1" customHeight="1" x14ac:dyDescent="0.25">
      <c r="A197" s="100">
        <v>720505</v>
      </c>
      <c r="B197" s="100" t="s">
        <v>170</v>
      </c>
      <c r="C197" s="100" t="s">
        <v>371</v>
      </c>
      <c r="D197" s="102" t="s">
        <v>62</v>
      </c>
      <c r="E197" s="100"/>
      <c r="F197" s="100"/>
      <c r="G197" s="100"/>
      <c r="H197" s="100"/>
      <c r="I197" s="100"/>
      <c r="J197" s="100"/>
      <c r="K197" s="100"/>
      <c r="L197" s="100"/>
      <c r="M197" s="100"/>
      <c r="N197" s="130"/>
      <c r="O197" s="127"/>
      <c r="P197" s="131"/>
      <c r="Q197" s="127"/>
      <c r="R197" s="127"/>
      <c r="S197" s="128">
        <f t="shared" si="4"/>
        <v>0</v>
      </c>
      <c r="T197" s="101">
        <v>12.3</v>
      </c>
      <c r="U197" s="101">
        <v>26.9</v>
      </c>
      <c r="V197" s="129">
        <f t="shared" si="5"/>
        <v>0</v>
      </c>
    </row>
    <row r="198" spans="1:22" ht="15" hidden="1" customHeight="1" x14ac:dyDescent="0.25">
      <c r="A198" s="100">
        <v>720505</v>
      </c>
      <c r="B198" s="100" t="s">
        <v>406</v>
      </c>
      <c r="C198" s="100" t="s">
        <v>376</v>
      </c>
      <c r="D198" s="102" t="s">
        <v>62</v>
      </c>
      <c r="E198" s="100"/>
      <c r="F198" s="100"/>
      <c r="G198" s="100"/>
      <c r="H198" s="100"/>
      <c r="I198" s="100"/>
      <c r="J198" s="100"/>
      <c r="K198" s="100"/>
      <c r="L198" s="100"/>
      <c r="M198" s="100"/>
      <c r="N198" s="130"/>
      <c r="O198" s="127"/>
      <c r="P198" s="131"/>
      <c r="Q198" s="127"/>
      <c r="R198" s="127"/>
      <c r="S198" s="128">
        <f t="shared" si="4"/>
        <v>0</v>
      </c>
      <c r="T198" s="101">
        <v>12.3</v>
      </c>
      <c r="U198" s="101">
        <v>26.9</v>
      </c>
      <c r="V198" s="129">
        <f t="shared" si="5"/>
        <v>0</v>
      </c>
    </row>
    <row r="199" spans="1:22" ht="15" hidden="1" customHeight="1" x14ac:dyDescent="0.25">
      <c r="A199" s="100">
        <v>720505</v>
      </c>
      <c r="B199" s="100" t="s">
        <v>407</v>
      </c>
      <c r="C199" s="100" t="s">
        <v>145</v>
      </c>
      <c r="D199" s="102" t="s">
        <v>62</v>
      </c>
      <c r="E199" s="100"/>
      <c r="F199" s="100"/>
      <c r="G199" s="100"/>
      <c r="H199" s="100"/>
      <c r="I199" s="100"/>
      <c r="J199" s="100"/>
      <c r="K199" s="100"/>
      <c r="L199" s="100"/>
      <c r="M199" s="100"/>
      <c r="N199" s="130"/>
      <c r="O199" s="127"/>
      <c r="P199" s="131"/>
      <c r="Q199" s="127"/>
      <c r="R199" s="127"/>
      <c r="S199" s="128">
        <f t="shared" si="4"/>
        <v>0</v>
      </c>
      <c r="T199" s="101">
        <v>12.3</v>
      </c>
      <c r="U199" s="101">
        <v>26.9</v>
      </c>
      <c r="V199" s="129">
        <f t="shared" si="5"/>
        <v>0</v>
      </c>
    </row>
    <row r="200" spans="1:22" ht="15" hidden="1" customHeight="1" x14ac:dyDescent="0.25">
      <c r="A200" s="100">
        <v>720506</v>
      </c>
      <c r="B200" s="100" t="s">
        <v>172</v>
      </c>
      <c r="C200" s="100" t="s">
        <v>408</v>
      </c>
      <c r="D200" s="102" t="s">
        <v>62</v>
      </c>
      <c r="E200" s="100"/>
      <c r="F200" s="100"/>
      <c r="G200" s="100"/>
      <c r="H200" s="100"/>
      <c r="I200" s="100"/>
      <c r="J200" s="100"/>
      <c r="K200" s="100"/>
      <c r="L200" s="100"/>
      <c r="M200" s="100"/>
      <c r="N200" s="130"/>
      <c r="O200" s="127"/>
      <c r="P200" s="131"/>
      <c r="Q200" s="127"/>
      <c r="R200" s="127"/>
      <c r="S200" s="128">
        <f t="shared" si="4"/>
        <v>0</v>
      </c>
      <c r="T200" s="101">
        <v>13.6</v>
      </c>
      <c r="U200" s="101">
        <v>29.9</v>
      </c>
      <c r="V200" s="129">
        <f t="shared" si="5"/>
        <v>0</v>
      </c>
    </row>
    <row r="201" spans="1:22" ht="15" hidden="1" customHeight="1" x14ac:dyDescent="0.25">
      <c r="A201" s="100">
        <v>720506</v>
      </c>
      <c r="B201" s="100" t="s">
        <v>409</v>
      </c>
      <c r="C201" s="100" t="s">
        <v>389</v>
      </c>
      <c r="D201" s="102" t="s">
        <v>62</v>
      </c>
      <c r="E201" s="100"/>
      <c r="F201" s="100"/>
      <c r="G201" s="100"/>
      <c r="H201" s="100"/>
      <c r="I201" s="100"/>
      <c r="J201" s="100"/>
      <c r="K201" s="100"/>
      <c r="L201" s="100"/>
      <c r="M201" s="100"/>
      <c r="N201" s="130"/>
      <c r="O201" s="127"/>
      <c r="P201" s="131"/>
      <c r="Q201" s="127"/>
      <c r="R201" s="127"/>
      <c r="S201" s="128">
        <f t="shared" si="4"/>
        <v>0</v>
      </c>
      <c r="T201" s="101">
        <v>13.6</v>
      </c>
      <c r="U201" s="101">
        <v>29.9</v>
      </c>
      <c r="V201" s="129">
        <f t="shared" si="5"/>
        <v>0</v>
      </c>
    </row>
    <row r="202" spans="1:22" ht="15" hidden="1" customHeight="1" x14ac:dyDescent="0.25">
      <c r="A202" s="100">
        <v>720506</v>
      </c>
      <c r="B202" s="100" t="s">
        <v>159</v>
      </c>
      <c r="C202" s="100" t="s">
        <v>373</v>
      </c>
      <c r="D202" s="102" t="s">
        <v>62</v>
      </c>
      <c r="E202" s="100"/>
      <c r="F202" s="100"/>
      <c r="G202" s="100"/>
      <c r="H202" s="100"/>
      <c r="I202" s="100"/>
      <c r="J202" s="100"/>
      <c r="K202" s="100"/>
      <c r="L202" s="100"/>
      <c r="M202" s="100"/>
      <c r="N202" s="130"/>
      <c r="O202" s="127"/>
      <c r="P202" s="131"/>
      <c r="Q202" s="127"/>
      <c r="R202" s="127"/>
      <c r="S202" s="128">
        <f t="shared" si="4"/>
        <v>0</v>
      </c>
      <c r="T202" s="101">
        <v>13.6</v>
      </c>
      <c r="U202" s="101">
        <v>29.9</v>
      </c>
      <c r="V202" s="129">
        <f t="shared" si="5"/>
        <v>0</v>
      </c>
    </row>
    <row r="203" spans="1:22" ht="15" hidden="1" customHeight="1" x14ac:dyDescent="0.25">
      <c r="A203" s="100">
        <v>720506</v>
      </c>
      <c r="B203" s="100" t="s">
        <v>410</v>
      </c>
      <c r="C203" s="100" t="s">
        <v>349</v>
      </c>
      <c r="D203" s="102" t="s">
        <v>62</v>
      </c>
      <c r="E203" s="100"/>
      <c r="F203" s="100"/>
      <c r="G203" s="100"/>
      <c r="H203" s="100"/>
      <c r="I203" s="100"/>
      <c r="J203" s="100"/>
      <c r="K203" s="100"/>
      <c r="L203" s="100"/>
      <c r="M203" s="100"/>
      <c r="N203" s="130"/>
      <c r="O203" s="127"/>
      <c r="P203" s="131"/>
      <c r="Q203" s="127"/>
      <c r="R203" s="127"/>
      <c r="S203" s="128">
        <f t="shared" si="4"/>
        <v>0</v>
      </c>
      <c r="T203" s="101">
        <v>13.6</v>
      </c>
      <c r="U203" s="101">
        <v>29.9</v>
      </c>
      <c r="V203" s="129">
        <f t="shared" si="5"/>
        <v>0</v>
      </c>
    </row>
    <row r="204" spans="1:22" ht="15" hidden="1" customHeight="1" x14ac:dyDescent="0.25">
      <c r="A204" s="100">
        <v>720506</v>
      </c>
      <c r="B204" s="100" t="s">
        <v>411</v>
      </c>
      <c r="C204" s="100" t="s">
        <v>141</v>
      </c>
      <c r="D204" s="102" t="s">
        <v>62</v>
      </c>
      <c r="E204" s="100"/>
      <c r="F204" s="100"/>
      <c r="G204" s="100"/>
      <c r="H204" s="100"/>
      <c r="I204" s="100"/>
      <c r="J204" s="100"/>
      <c r="K204" s="100"/>
      <c r="L204" s="100"/>
      <c r="M204" s="100"/>
      <c r="N204" s="130"/>
      <c r="O204" s="127"/>
      <c r="P204" s="131"/>
      <c r="Q204" s="127"/>
      <c r="R204" s="127"/>
      <c r="S204" s="128">
        <f t="shared" si="4"/>
        <v>0</v>
      </c>
      <c r="T204" s="101">
        <v>13.6</v>
      </c>
      <c r="U204" s="101">
        <v>29.9</v>
      </c>
      <c r="V204" s="129">
        <f t="shared" si="5"/>
        <v>0</v>
      </c>
    </row>
    <row r="205" spans="1:22" ht="15" hidden="1" customHeight="1" x14ac:dyDescent="0.25">
      <c r="A205" s="100">
        <v>720506</v>
      </c>
      <c r="B205" s="100" t="s">
        <v>412</v>
      </c>
      <c r="C205" s="100" t="s">
        <v>123</v>
      </c>
      <c r="D205" s="102" t="s">
        <v>62</v>
      </c>
      <c r="E205" s="100"/>
      <c r="F205" s="100"/>
      <c r="G205" s="100"/>
      <c r="H205" s="100"/>
      <c r="I205" s="100"/>
      <c r="J205" s="100"/>
      <c r="K205" s="100"/>
      <c r="L205" s="100"/>
      <c r="M205" s="100"/>
      <c r="N205" s="130"/>
      <c r="O205" s="127"/>
      <c r="P205" s="131"/>
      <c r="Q205" s="127"/>
      <c r="R205" s="127"/>
      <c r="S205" s="128">
        <f t="shared" si="4"/>
        <v>0</v>
      </c>
      <c r="T205" s="101">
        <v>13.6</v>
      </c>
      <c r="U205" s="101">
        <v>29.9</v>
      </c>
      <c r="V205" s="129">
        <f t="shared" si="5"/>
        <v>0</v>
      </c>
    </row>
    <row r="206" spans="1:22" ht="15" hidden="1" customHeight="1" x14ac:dyDescent="0.25">
      <c r="A206" s="100">
        <v>720509</v>
      </c>
      <c r="B206" s="100" t="s">
        <v>173</v>
      </c>
      <c r="C206" s="100" t="s">
        <v>371</v>
      </c>
      <c r="D206" s="102" t="s">
        <v>62</v>
      </c>
      <c r="E206" s="100"/>
      <c r="F206" s="100"/>
      <c r="G206" s="100"/>
      <c r="H206" s="100"/>
      <c r="I206" s="100"/>
      <c r="J206" s="100"/>
      <c r="K206" s="100"/>
      <c r="L206" s="100"/>
      <c r="M206" s="100"/>
      <c r="N206" s="130"/>
      <c r="O206" s="127"/>
      <c r="P206" s="131"/>
      <c r="Q206" s="131"/>
      <c r="R206" s="131"/>
      <c r="S206" s="128">
        <f t="shared" si="4"/>
        <v>0</v>
      </c>
      <c r="T206" s="101">
        <v>15</v>
      </c>
      <c r="U206" s="101">
        <v>32.9</v>
      </c>
      <c r="V206" s="129">
        <f t="shared" si="5"/>
        <v>0</v>
      </c>
    </row>
    <row r="207" spans="1:22" ht="15" hidden="1" customHeight="1" x14ac:dyDescent="0.25">
      <c r="A207" s="100">
        <v>720509</v>
      </c>
      <c r="B207" s="100" t="s">
        <v>413</v>
      </c>
      <c r="C207" s="100" t="s">
        <v>373</v>
      </c>
      <c r="D207" s="102" t="s">
        <v>62</v>
      </c>
      <c r="E207" s="100"/>
      <c r="F207" s="100"/>
      <c r="G207" s="100"/>
      <c r="H207" s="100"/>
      <c r="I207" s="100"/>
      <c r="J207" s="100"/>
      <c r="K207" s="100"/>
      <c r="L207" s="100"/>
      <c r="M207" s="100"/>
      <c r="N207" s="130"/>
      <c r="O207" s="127"/>
      <c r="P207" s="131"/>
      <c r="Q207" s="131"/>
      <c r="R207" s="131"/>
      <c r="S207" s="128">
        <f t="shared" si="4"/>
        <v>0</v>
      </c>
      <c r="T207" s="101">
        <v>15</v>
      </c>
      <c r="U207" s="101">
        <v>32.9</v>
      </c>
      <c r="V207" s="129">
        <f t="shared" si="5"/>
        <v>0</v>
      </c>
    </row>
    <row r="208" spans="1:22" ht="15" hidden="1" customHeight="1" x14ac:dyDescent="0.25">
      <c r="A208" s="100">
        <v>720509</v>
      </c>
      <c r="B208" s="100" t="s">
        <v>414</v>
      </c>
      <c r="C208" s="100" t="s">
        <v>349</v>
      </c>
      <c r="D208" s="102" t="s">
        <v>62</v>
      </c>
      <c r="E208" s="100"/>
      <c r="F208" s="100"/>
      <c r="G208" s="100"/>
      <c r="H208" s="100"/>
      <c r="I208" s="100"/>
      <c r="J208" s="100"/>
      <c r="K208" s="100"/>
      <c r="L208" s="100"/>
      <c r="M208" s="100"/>
      <c r="N208" s="130"/>
      <c r="O208" s="127"/>
      <c r="P208" s="131"/>
      <c r="Q208" s="131"/>
      <c r="R208" s="131"/>
      <c r="S208" s="128">
        <f t="shared" si="4"/>
        <v>0</v>
      </c>
      <c r="T208" s="101">
        <v>15</v>
      </c>
      <c r="U208" s="101">
        <v>32.9</v>
      </c>
      <c r="V208" s="129">
        <f t="shared" si="5"/>
        <v>0</v>
      </c>
    </row>
    <row r="209" spans="1:22" ht="15" hidden="1" customHeight="1" x14ac:dyDescent="0.25">
      <c r="A209" s="100">
        <v>720509</v>
      </c>
      <c r="B209" s="100" t="s">
        <v>415</v>
      </c>
      <c r="C209" s="100" t="s">
        <v>175</v>
      </c>
      <c r="D209" s="102" t="s">
        <v>62</v>
      </c>
      <c r="E209" s="100"/>
      <c r="F209" s="100"/>
      <c r="G209" s="100"/>
      <c r="H209" s="100"/>
      <c r="I209" s="100"/>
      <c r="J209" s="100"/>
      <c r="K209" s="100"/>
      <c r="L209" s="100"/>
      <c r="M209" s="100"/>
      <c r="N209" s="130"/>
      <c r="O209" s="127"/>
      <c r="P209" s="131"/>
      <c r="Q209" s="131"/>
      <c r="R209" s="131"/>
      <c r="S209" s="128">
        <f t="shared" si="4"/>
        <v>0</v>
      </c>
      <c r="T209" s="101">
        <v>15</v>
      </c>
      <c r="U209" s="101">
        <v>32.9</v>
      </c>
      <c r="V209" s="129">
        <f t="shared" si="5"/>
        <v>0</v>
      </c>
    </row>
    <row r="210" spans="1:22" ht="15" hidden="1" customHeight="1" x14ac:dyDescent="0.25">
      <c r="A210" s="100">
        <v>720515</v>
      </c>
      <c r="B210" s="100" t="s">
        <v>416</v>
      </c>
      <c r="C210" s="100" t="s">
        <v>408</v>
      </c>
      <c r="D210" s="102" t="s">
        <v>62</v>
      </c>
      <c r="E210" s="100"/>
      <c r="F210" s="100"/>
      <c r="G210" s="100"/>
      <c r="H210" s="100"/>
      <c r="I210" s="100"/>
      <c r="J210" s="100"/>
      <c r="K210" s="100"/>
      <c r="L210" s="100"/>
      <c r="M210" s="100"/>
      <c r="N210" s="130"/>
      <c r="O210" s="127"/>
      <c r="P210" s="131"/>
      <c r="Q210" s="131"/>
      <c r="R210" s="131"/>
      <c r="S210" s="128">
        <f t="shared" ref="S210:S273" si="6">SUM(E210:R210)</f>
        <v>0</v>
      </c>
      <c r="T210" s="101">
        <v>10.9</v>
      </c>
      <c r="U210" s="101">
        <v>23.9</v>
      </c>
      <c r="V210" s="129">
        <f t="shared" ref="V210:V273" si="7">S210*T210</f>
        <v>0</v>
      </c>
    </row>
    <row r="211" spans="1:22" ht="15" hidden="1" customHeight="1" x14ac:dyDescent="0.25">
      <c r="A211" s="100">
        <v>720515</v>
      </c>
      <c r="B211" s="100" t="s">
        <v>417</v>
      </c>
      <c r="C211" s="100" t="s">
        <v>349</v>
      </c>
      <c r="D211" s="102" t="s">
        <v>62</v>
      </c>
      <c r="E211" s="100"/>
      <c r="F211" s="100"/>
      <c r="G211" s="100"/>
      <c r="H211" s="100"/>
      <c r="I211" s="100"/>
      <c r="J211" s="100"/>
      <c r="K211" s="100"/>
      <c r="L211" s="100"/>
      <c r="M211" s="100"/>
      <c r="N211" s="130"/>
      <c r="O211" s="127"/>
      <c r="P211" s="131"/>
      <c r="Q211" s="131"/>
      <c r="R211" s="131"/>
      <c r="S211" s="128">
        <f t="shared" si="6"/>
        <v>0</v>
      </c>
      <c r="T211" s="101">
        <v>10.9</v>
      </c>
      <c r="U211" s="101">
        <v>23.9</v>
      </c>
      <c r="V211" s="129">
        <f t="shared" si="7"/>
        <v>0</v>
      </c>
    </row>
    <row r="212" spans="1:22" ht="15" hidden="1" customHeight="1" x14ac:dyDescent="0.25">
      <c r="A212" s="100">
        <v>720515</v>
      </c>
      <c r="B212" s="100" t="s">
        <v>418</v>
      </c>
      <c r="C212" s="100" t="s">
        <v>100</v>
      </c>
      <c r="D212" s="102" t="s">
        <v>62</v>
      </c>
      <c r="E212" s="100"/>
      <c r="F212" s="100"/>
      <c r="G212" s="100"/>
      <c r="H212" s="100"/>
      <c r="I212" s="100"/>
      <c r="J212" s="100"/>
      <c r="K212" s="100"/>
      <c r="L212" s="100"/>
      <c r="M212" s="100"/>
      <c r="N212" s="130"/>
      <c r="O212" s="127"/>
      <c r="P212" s="131"/>
      <c r="Q212" s="131"/>
      <c r="R212" s="131"/>
      <c r="S212" s="128">
        <f t="shared" si="6"/>
        <v>0</v>
      </c>
      <c r="T212" s="101">
        <v>10.9</v>
      </c>
      <c r="U212" s="101">
        <v>23.9</v>
      </c>
      <c r="V212" s="129">
        <f t="shared" si="7"/>
        <v>0</v>
      </c>
    </row>
    <row r="213" spans="1:22" ht="15" hidden="1" customHeight="1" x14ac:dyDescent="0.25">
      <c r="A213" s="100">
        <v>720515</v>
      </c>
      <c r="B213" s="100" t="s">
        <v>419</v>
      </c>
      <c r="C213" s="100" t="s">
        <v>177</v>
      </c>
      <c r="D213" s="102" t="s">
        <v>62</v>
      </c>
      <c r="E213" s="100"/>
      <c r="F213" s="100"/>
      <c r="G213" s="100"/>
      <c r="H213" s="100"/>
      <c r="I213" s="100"/>
      <c r="J213" s="100"/>
      <c r="K213" s="100"/>
      <c r="L213" s="100"/>
      <c r="M213" s="100"/>
      <c r="N213" s="130"/>
      <c r="O213" s="127"/>
      <c r="P213" s="131"/>
      <c r="Q213" s="131"/>
      <c r="R213" s="131"/>
      <c r="S213" s="128">
        <f t="shared" si="6"/>
        <v>0</v>
      </c>
      <c r="T213" s="101">
        <v>10.9</v>
      </c>
      <c r="U213" s="101">
        <v>23.9</v>
      </c>
      <c r="V213" s="129">
        <f t="shared" si="7"/>
        <v>0</v>
      </c>
    </row>
    <row r="214" spans="1:22" ht="15" hidden="1" customHeight="1" x14ac:dyDescent="0.25">
      <c r="A214" s="100">
        <v>720517</v>
      </c>
      <c r="B214" s="100" t="s">
        <v>178</v>
      </c>
      <c r="C214" s="100" t="s">
        <v>408</v>
      </c>
      <c r="D214" s="102" t="s">
        <v>62</v>
      </c>
      <c r="E214" s="100"/>
      <c r="F214" s="100"/>
      <c r="G214" s="100"/>
      <c r="H214" s="100"/>
      <c r="I214" s="100"/>
      <c r="J214" s="100"/>
      <c r="K214" s="100"/>
      <c r="L214" s="100"/>
      <c r="M214" s="100"/>
      <c r="N214" s="130"/>
      <c r="O214" s="127"/>
      <c r="P214" s="131"/>
      <c r="Q214" s="127"/>
      <c r="R214" s="127"/>
      <c r="S214" s="128">
        <f t="shared" si="6"/>
        <v>0</v>
      </c>
      <c r="T214" s="101">
        <v>13.6</v>
      </c>
      <c r="U214" s="101">
        <v>29.9</v>
      </c>
      <c r="V214" s="129">
        <f t="shared" si="7"/>
        <v>0</v>
      </c>
    </row>
    <row r="215" spans="1:22" ht="15" hidden="1" customHeight="1" x14ac:dyDescent="0.25">
      <c r="A215" s="100">
        <v>720517</v>
      </c>
      <c r="B215" s="100" t="s">
        <v>420</v>
      </c>
      <c r="C215" s="100" t="s">
        <v>373</v>
      </c>
      <c r="D215" s="102" t="s">
        <v>62</v>
      </c>
      <c r="E215" s="100"/>
      <c r="F215" s="100"/>
      <c r="G215" s="100"/>
      <c r="H215" s="100"/>
      <c r="I215" s="100"/>
      <c r="J215" s="100"/>
      <c r="K215" s="100"/>
      <c r="L215" s="100"/>
      <c r="M215" s="100"/>
      <c r="N215" s="130"/>
      <c r="O215" s="127"/>
      <c r="P215" s="131"/>
      <c r="Q215" s="127"/>
      <c r="R215" s="127"/>
      <c r="S215" s="128">
        <f t="shared" si="6"/>
        <v>0</v>
      </c>
      <c r="T215" s="101">
        <v>13.6</v>
      </c>
      <c r="U215" s="101">
        <v>29.9</v>
      </c>
      <c r="V215" s="129">
        <f t="shared" si="7"/>
        <v>0</v>
      </c>
    </row>
    <row r="216" spans="1:22" ht="15" hidden="1" customHeight="1" x14ac:dyDescent="0.25">
      <c r="A216" s="100">
        <v>720517</v>
      </c>
      <c r="B216" s="100" t="s">
        <v>421</v>
      </c>
      <c r="C216" s="100" t="s">
        <v>349</v>
      </c>
      <c r="D216" s="102" t="s">
        <v>62</v>
      </c>
      <c r="E216" s="100"/>
      <c r="F216" s="100"/>
      <c r="G216" s="100"/>
      <c r="H216" s="100"/>
      <c r="I216" s="100"/>
      <c r="J216" s="100"/>
      <c r="K216" s="100"/>
      <c r="L216" s="100"/>
      <c r="M216" s="100"/>
      <c r="N216" s="130"/>
      <c r="O216" s="127"/>
      <c r="P216" s="131"/>
      <c r="Q216" s="127"/>
      <c r="R216" s="127"/>
      <c r="S216" s="128">
        <f t="shared" si="6"/>
        <v>0</v>
      </c>
      <c r="T216" s="101">
        <v>13.6</v>
      </c>
      <c r="U216" s="101">
        <v>29.9</v>
      </c>
      <c r="V216" s="129">
        <f t="shared" si="7"/>
        <v>0</v>
      </c>
    </row>
    <row r="217" spans="1:22" ht="15" hidden="1" customHeight="1" x14ac:dyDescent="0.25">
      <c r="A217" s="100">
        <v>720517</v>
      </c>
      <c r="B217" s="100" t="s">
        <v>422</v>
      </c>
      <c r="C217" s="100" t="s">
        <v>145</v>
      </c>
      <c r="D217" s="102" t="s">
        <v>62</v>
      </c>
      <c r="E217" s="100"/>
      <c r="F217" s="100"/>
      <c r="G217" s="100"/>
      <c r="H217" s="100"/>
      <c r="I217" s="100"/>
      <c r="J217" s="100"/>
      <c r="K217" s="100"/>
      <c r="L217" s="100"/>
      <c r="M217" s="100"/>
      <c r="N217" s="130"/>
      <c r="O217" s="127"/>
      <c r="P217" s="131"/>
      <c r="Q217" s="127"/>
      <c r="R217" s="127"/>
      <c r="S217" s="128">
        <f t="shared" si="6"/>
        <v>0</v>
      </c>
      <c r="T217" s="101">
        <v>13.6</v>
      </c>
      <c r="U217" s="101">
        <v>29.9</v>
      </c>
      <c r="V217" s="129">
        <f t="shared" si="7"/>
        <v>0</v>
      </c>
    </row>
    <row r="218" spans="1:22" ht="15" hidden="1" customHeight="1" x14ac:dyDescent="0.25">
      <c r="A218" s="100">
        <v>720519</v>
      </c>
      <c r="B218" s="100" t="s">
        <v>102</v>
      </c>
      <c r="C218" s="100" t="s">
        <v>100</v>
      </c>
      <c r="D218" s="102" t="s">
        <v>62</v>
      </c>
      <c r="E218" s="100"/>
      <c r="F218" s="100"/>
      <c r="G218" s="100"/>
      <c r="H218" s="100"/>
      <c r="I218" s="100"/>
      <c r="J218" s="100"/>
      <c r="K218" s="100"/>
      <c r="L218" s="100"/>
      <c r="M218" s="100"/>
      <c r="N218" s="130"/>
      <c r="O218" s="127"/>
      <c r="P218" s="131"/>
      <c r="Q218" s="127"/>
      <c r="R218" s="127"/>
      <c r="S218" s="128">
        <f t="shared" si="6"/>
        <v>0</v>
      </c>
      <c r="T218" s="101">
        <v>15</v>
      </c>
      <c r="U218" s="101">
        <v>32.9</v>
      </c>
      <c r="V218" s="129">
        <f t="shared" si="7"/>
        <v>0</v>
      </c>
    </row>
    <row r="219" spans="1:22" ht="15" hidden="1" customHeight="1" x14ac:dyDescent="0.25">
      <c r="A219" s="100">
        <v>720519</v>
      </c>
      <c r="B219" s="100" t="s">
        <v>423</v>
      </c>
      <c r="C219" s="100" t="s">
        <v>175</v>
      </c>
      <c r="D219" s="102" t="s">
        <v>62</v>
      </c>
      <c r="E219" s="100"/>
      <c r="F219" s="100"/>
      <c r="G219" s="100"/>
      <c r="H219" s="100"/>
      <c r="I219" s="100"/>
      <c r="J219" s="100"/>
      <c r="K219" s="100"/>
      <c r="L219" s="100"/>
      <c r="M219" s="100"/>
      <c r="N219" s="130"/>
      <c r="O219" s="127"/>
      <c r="P219" s="131"/>
      <c r="Q219" s="127"/>
      <c r="R219" s="127"/>
      <c r="S219" s="128">
        <f t="shared" si="6"/>
        <v>0</v>
      </c>
      <c r="T219" s="101">
        <v>15</v>
      </c>
      <c r="U219" s="101">
        <v>32.9</v>
      </c>
      <c r="V219" s="129">
        <f t="shared" si="7"/>
        <v>0</v>
      </c>
    </row>
    <row r="220" spans="1:22" ht="15" hidden="1" customHeight="1" x14ac:dyDescent="0.25">
      <c r="A220" s="100">
        <v>720521</v>
      </c>
      <c r="B220" s="100" t="s">
        <v>179</v>
      </c>
      <c r="C220" s="100" t="s">
        <v>100</v>
      </c>
      <c r="D220" s="102" t="s">
        <v>62</v>
      </c>
      <c r="E220" s="100"/>
      <c r="F220" s="100"/>
      <c r="G220" s="100"/>
      <c r="H220" s="100"/>
      <c r="I220" s="100"/>
      <c r="J220" s="100"/>
      <c r="K220" s="100"/>
      <c r="L220" s="100"/>
      <c r="M220" s="100"/>
      <c r="N220" s="130"/>
      <c r="O220" s="127"/>
      <c r="P220" s="131"/>
      <c r="Q220" s="127"/>
      <c r="R220" s="127"/>
      <c r="S220" s="128">
        <f t="shared" si="6"/>
        <v>0</v>
      </c>
      <c r="T220" s="101">
        <v>13.6</v>
      </c>
      <c r="U220" s="101">
        <v>29.9</v>
      </c>
      <c r="V220" s="129">
        <f t="shared" si="7"/>
        <v>0</v>
      </c>
    </row>
    <row r="221" spans="1:22" ht="15" hidden="1" customHeight="1" x14ac:dyDescent="0.25">
      <c r="A221" s="100">
        <v>720521</v>
      </c>
      <c r="B221" s="100" t="s">
        <v>424</v>
      </c>
      <c r="C221" s="100" t="s">
        <v>175</v>
      </c>
      <c r="D221" s="102" t="s">
        <v>62</v>
      </c>
      <c r="E221" s="100"/>
      <c r="F221" s="100"/>
      <c r="G221" s="100"/>
      <c r="H221" s="100"/>
      <c r="I221" s="100"/>
      <c r="J221" s="100"/>
      <c r="K221" s="100"/>
      <c r="L221" s="100"/>
      <c r="M221" s="100"/>
      <c r="N221" s="130"/>
      <c r="O221" s="127"/>
      <c r="P221" s="131"/>
      <c r="Q221" s="127"/>
      <c r="R221" s="127"/>
      <c r="S221" s="128">
        <f t="shared" si="6"/>
        <v>0</v>
      </c>
      <c r="T221" s="101">
        <v>13.6</v>
      </c>
      <c r="U221" s="101">
        <v>29.9</v>
      </c>
      <c r="V221" s="129">
        <f t="shared" si="7"/>
        <v>0</v>
      </c>
    </row>
    <row r="222" spans="1:22" ht="15" hidden="1" customHeight="1" x14ac:dyDescent="0.25">
      <c r="A222" s="100">
        <v>720523</v>
      </c>
      <c r="B222" s="100" t="s">
        <v>180</v>
      </c>
      <c r="C222" s="100" t="s">
        <v>408</v>
      </c>
      <c r="D222" s="102" t="s">
        <v>62</v>
      </c>
      <c r="E222" s="100"/>
      <c r="F222" s="100"/>
      <c r="G222" s="100"/>
      <c r="H222" s="100"/>
      <c r="I222" s="100"/>
      <c r="J222" s="100"/>
      <c r="K222" s="100"/>
      <c r="L222" s="100"/>
      <c r="M222" s="100"/>
      <c r="N222" s="130"/>
      <c r="O222" s="127"/>
      <c r="P222" s="131"/>
      <c r="Q222" s="127"/>
      <c r="R222" s="127"/>
      <c r="S222" s="128">
        <f t="shared" si="6"/>
        <v>0</v>
      </c>
      <c r="T222" s="101">
        <v>13.6</v>
      </c>
      <c r="U222" s="101">
        <v>29.9</v>
      </c>
      <c r="V222" s="129">
        <f t="shared" si="7"/>
        <v>0</v>
      </c>
    </row>
    <row r="223" spans="1:22" ht="15" hidden="1" customHeight="1" x14ac:dyDescent="0.25">
      <c r="A223" s="100">
        <v>720523</v>
      </c>
      <c r="B223" s="100" t="s">
        <v>425</v>
      </c>
      <c r="C223" s="100" t="s">
        <v>349</v>
      </c>
      <c r="D223" s="102" t="s">
        <v>62</v>
      </c>
      <c r="E223" s="100"/>
      <c r="F223" s="100"/>
      <c r="G223" s="100"/>
      <c r="H223" s="100"/>
      <c r="I223" s="100"/>
      <c r="J223" s="100"/>
      <c r="K223" s="100"/>
      <c r="L223" s="100"/>
      <c r="M223" s="100"/>
      <c r="N223" s="130"/>
      <c r="O223" s="127"/>
      <c r="P223" s="131"/>
      <c r="Q223" s="127"/>
      <c r="R223" s="127"/>
      <c r="S223" s="128">
        <f t="shared" si="6"/>
        <v>0</v>
      </c>
      <c r="T223" s="101">
        <v>13.6</v>
      </c>
      <c r="U223" s="101">
        <v>29.9</v>
      </c>
      <c r="V223" s="129">
        <f t="shared" si="7"/>
        <v>0</v>
      </c>
    </row>
    <row r="224" spans="1:22" ht="15" hidden="1" customHeight="1" x14ac:dyDescent="0.25">
      <c r="A224" s="100">
        <v>720523</v>
      </c>
      <c r="B224" s="100" t="s">
        <v>127</v>
      </c>
      <c r="C224" s="100" t="s">
        <v>119</v>
      </c>
      <c r="D224" s="102" t="s">
        <v>62</v>
      </c>
      <c r="E224" s="100"/>
      <c r="F224" s="100"/>
      <c r="G224" s="100"/>
      <c r="H224" s="100"/>
      <c r="I224" s="100"/>
      <c r="J224" s="100"/>
      <c r="K224" s="100"/>
      <c r="L224" s="100"/>
      <c r="M224" s="100"/>
      <c r="N224" s="130"/>
      <c r="O224" s="127"/>
      <c r="P224" s="131"/>
      <c r="Q224" s="127"/>
      <c r="R224" s="127"/>
      <c r="S224" s="128">
        <f t="shared" si="6"/>
        <v>0</v>
      </c>
      <c r="T224" s="101">
        <v>13.6</v>
      </c>
      <c r="U224" s="101">
        <v>29.9</v>
      </c>
      <c r="V224" s="129">
        <f t="shared" si="7"/>
        <v>0</v>
      </c>
    </row>
    <row r="225" spans="1:22" ht="15" hidden="1" customHeight="1" x14ac:dyDescent="0.25">
      <c r="A225" s="100">
        <v>720523</v>
      </c>
      <c r="B225" s="100" t="s">
        <v>122</v>
      </c>
      <c r="C225" s="100" t="s">
        <v>100</v>
      </c>
      <c r="D225" s="102" t="s">
        <v>62</v>
      </c>
      <c r="E225" s="100"/>
      <c r="F225" s="100"/>
      <c r="G225" s="100"/>
      <c r="H225" s="100"/>
      <c r="I225" s="100"/>
      <c r="J225" s="100"/>
      <c r="K225" s="100"/>
      <c r="L225" s="100"/>
      <c r="M225" s="100"/>
      <c r="N225" s="130"/>
      <c r="O225" s="127"/>
      <c r="P225" s="131"/>
      <c r="Q225" s="127"/>
      <c r="R225" s="127"/>
      <c r="S225" s="128">
        <f t="shared" si="6"/>
        <v>0</v>
      </c>
      <c r="T225" s="101">
        <v>13.6</v>
      </c>
      <c r="U225" s="101">
        <v>29.9</v>
      </c>
      <c r="V225" s="129">
        <f t="shared" si="7"/>
        <v>0</v>
      </c>
    </row>
    <row r="226" spans="1:22" ht="15" hidden="1" customHeight="1" x14ac:dyDescent="0.25">
      <c r="A226" s="100">
        <v>720523</v>
      </c>
      <c r="B226" s="100" t="s">
        <v>426</v>
      </c>
      <c r="C226" s="100" t="s">
        <v>181</v>
      </c>
      <c r="D226" s="102" t="s">
        <v>62</v>
      </c>
      <c r="E226" s="100"/>
      <c r="F226" s="100"/>
      <c r="G226" s="100"/>
      <c r="H226" s="100"/>
      <c r="I226" s="100"/>
      <c r="J226" s="100"/>
      <c r="K226" s="100"/>
      <c r="L226" s="100"/>
      <c r="M226" s="100"/>
      <c r="N226" s="130"/>
      <c r="O226" s="127"/>
      <c r="P226" s="131"/>
      <c r="Q226" s="127"/>
      <c r="R226" s="127"/>
      <c r="S226" s="128">
        <f t="shared" si="6"/>
        <v>0</v>
      </c>
      <c r="T226" s="101">
        <v>13.6</v>
      </c>
      <c r="U226" s="101">
        <v>29.9</v>
      </c>
      <c r="V226" s="129">
        <f t="shared" si="7"/>
        <v>0</v>
      </c>
    </row>
    <row r="227" spans="1:22" ht="15" hidden="1" customHeight="1" x14ac:dyDescent="0.25">
      <c r="A227" s="100">
        <v>720527</v>
      </c>
      <c r="B227" s="100" t="s">
        <v>182</v>
      </c>
      <c r="C227" s="100" t="s">
        <v>408</v>
      </c>
      <c r="D227" s="102" t="s">
        <v>62</v>
      </c>
      <c r="E227" s="100"/>
      <c r="F227" s="100"/>
      <c r="G227" s="100"/>
      <c r="H227" s="100"/>
      <c r="I227" s="100"/>
      <c r="J227" s="100"/>
      <c r="K227" s="100"/>
      <c r="L227" s="100"/>
      <c r="M227" s="100"/>
      <c r="N227" s="130"/>
      <c r="O227" s="127"/>
      <c r="P227" s="131"/>
      <c r="Q227" s="127"/>
      <c r="R227" s="127"/>
      <c r="S227" s="128">
        <f t="shared" si="6"/>
        <v>0</v>
      </c>
      <c r="T227" s="101">
        <v>16.8</v>
      </c>
      <c r="U227" s="101">
        <v>36.9</v>
      </c>
      <c r="V227" s="129">
        <f t="shared" si="7"/>
        <v>0</v>
      </c>
    </row>
    <row r="228" spans="1:22" ht="15" hidden="1" customHeight="1" x14ac:dyDescent="0.25">
      <c r="A228" s="100">
        <v>720527</v>
      </c>
      <c r="B228" s="100" t="s">
        <v>427</v>
      </c>
      <c r="C228" s="100" t="s">
        <v>371</v>
      </c>
      <c r="D228" s="102" t="s">
        <v>62</v>
      </c>
      <c r="E228" s="100"/>
      <c r="F228" s="100"/>
      <c r="G228" s="100"/>
      <c r="H228" s="100"/>
      <c r="I228" s="100"/>
      <c r="J228" s="100"/>
      <c r="K228" s="100"/>
      <c r="L228" s="100"/>
      <c r="M228" s="100"/>
      <c r="N228" s="130"/>
      <c r="O228" s="127"/>
      <c r="P228" s="131"/>
      <c r="Q228" s="127"/>
      <c r="R228" s="127"/>
      <c r="S228" s="128">
        <f t="shared" si="6"/>
        <v>0</v>
      </c>
      <c r="T228" s="101">
        <v>16.8</v>
      </c>
      <c r="U228" s="101">
        <v>36.9</v>
      </c>
      <c r="V228" s="129">
        <f t="shared" si="7"/>
        <v>0</v>
      </c>
    </row>
    <row r="229" spans="1:22" ht="15" hidden="1" customHeight="1" x14ac:dyDescent="0.25">
      <c r="A229" s="100">
        <v>720527</v>
      </c>
      <c r="B229" s="100" t="s">
        <v>428</v>
      </c>
      <c r="C229" s="100" t="s">
        <v>145</v>
      </c>
      <c r="D229" s="102" t="s">
        <v>62</v>
      </c>
      <c r="E229" s="100"/>
      <c r="F229" s="100"/>
      <c r="G229" s="100"/>
      <c r="H229" s="100"/>
      <c r="I229" s="100"/>
      <c r="J229" s="100"/>
      <c r="K229" s="100"/>
      <c r="L229" s="100"/>
      <c r="M229" s="100"/>
      <c r="N229" s="130"/>
      <c r="O229" s="127"/>
      <c r="P229" s="131"/>
      <c r="Q229" s="127"/>
      <c r="R229" s="127"/>
      <c r="S229" s="128">
        <f t="shared" si="6"/>
        <v>0</v>
      </c>
      <c r="T229" s="101">
        <v>16.8</v>
      </c>
      <c r="U229" s="101">
        <v>36.9</v>
      </c>
      <c r="V229" s="129">
        <f t="shared" si="7"/>
        <v>0</v>
      </c>
    </row>
    <row r="230" spans="1:22" ht="15" hidden="1" customHeight="1" x14ac:dyDescent="0.25">
      <c r="A230" s="100">
        <v>720529</v>
      </c>
      <c r="B230" s="100" t="s">
        <v>183</v>
      </c>
      <c r="C230" s="100" t="s">
        <v>371</v>
      </c>
      <c r="D230" s="102" t="s">
        <v>62</v>
      </c>
      <c r="E230" s="100"/>
      <c r="F230" s="100"/>
      <c r="G230" s="100"/>
      <c r="H230" s="100"/>
      <c r="I230" s="100"/>
      <c r="J230" s="100"/>
      <c r="K230" s="100"/>
      <c r="L230" s="100"/>
      <c r="M230" s="100"/>
      <c r="N230" s="130"/>
      <c r="O230" s="127"/>
      <c r="P230" s="131"/>
      <c r="Q230" s="127"/>
      <c r="R230" s="127"/>
      <c r="S230" s="128">
        <f t="shared" si="6"/>
        <v>0</v>
      </c>
      <c r="T230" s="101">
        <v>18.2</v>
      </c>
      <c r="U230" s="101">
        <v>39.9</v>
      </c>
      <c r="V230" s="129">
        <f t="shared" si="7"/>
        <v>0</v>
      </c>
    </row>
    <row r="231" spans="1:22" ht="15" hidden="1" customHeight="1" x14ac:dyDescent="0.25">
      <c r="A231" s="100">
        <v>720529</v>
      </c>
      <c r="B231" s="100" t="s">
        <v>429</v>
      </c>
      <c r="C231" s="100" t="s">
        <v>145</v>
      </c>
      <c r="D231" s="102" t="s">
        <v>62</v>
      </c>
      <c r="E231" s="100"/>
      <c r="F231" s="100"/>
      <c r="G231" s="100"/>
      <c r="H231" s="100"/>
      <c r="I231" s="100"/>
      <c r="J231" s="100"/>
      <c r="K231" s="100"/>
      <c r="L231" s="100"/>
      <c r="M231" s="100"/>
      <c r="N231" s="130"/>
      <c r="O231" s="127"/>
      <c r="P231" s="131"/>
      <c r="Q231" s="127"/>
      <c r="R231" s="127"/>
      <c r="S231" s="128">
        <f t="shared" si="6"/>
        <v>0</v>
      </c>
      <c r="T231" s="101">
        <v>18.2</v>
      </c>
      <c r="U231" s="101">
        <v>39.9</v>
      </c>
      <c r="V231" s="129">
        <f t="shared" si="7"/>
        <v>0</v>
      </c>
    </row>
    <row r="232" spans="1:22" ht="15" hidden="1" customHeight="1" x14ac:dyDescent="0.25">
      <c r="A232" s="100">
        <v>720529</v>
      </c>
      <c r="B232" s="100" t="s">
        <v>147</v>
      </c>
      <c r="C232" s="100" t="s">
        <v>175</v>
      </c>
      <c r="D232" s="102" t="s">
        <v>62</v>
      </c>
      <c r="E232" s="100"/>
      <c r="F232" s="100"/>
      <c r="G232" s="100"/>
      <c r="H232" s="100"/>
      <c r="I232" s="100"/>
      <c r="J232" s="100"/>
      <c r="K232" s="100"/>
      <c r="L232" s="100"/>
      <c r="M232" s="100"/>
      <c r="N232" s="130"/>
      <c r="O232" s="127"/>
      <c r="P232" s="131"/>
      <c r="Q232" s="127"/>
      <c r="R232" s="127"/>
      <c r="S232" s="128">
        <f t="shared" si="6"/>
        <v>0</v>
      </c>
      <c r="T232" s="101">
        <v>18.2</v>
      </c>
      <c r="U232" s="101">
        <v>39.9</v>
      </c>
      <c r="V232" s="129">
        <f t="shared" si="7"/>
        <v>0</v>
      </c>
    </row>
    <row r="233" spans="1:22" ht="15" hidden="1" customHeight="1" x14ac:dyDescent="0.25">
      <c r="A233" s="100">
        <v>743030</v>
      </c>
      <c r="B233" s="100" t="s">
        <v>184</v>
      </c>
      <c r="C233" s="100" t="s">
        <v>430</v>
      </c>
      <c r="D233" s="102" t="s">
        <v>58</v>
      </c>
      <c r="E233" s="130"/>
      <c r="F233" s="130"/>
      <c r="G233" s="100"/>
      <c r="H233" s="100"/>
      <c r="I233" s="100"/>
      <c r="J233" s="100"/>
      <c r="K233" s="100"/>
      <c r="L233" s="100"/>
      <c r="M233" s="130"/>
      <c r="N233" s="130"/>
      <c r="O233" s="131"/>
      <c r="P233" s="131"/>
      <c r="Q233" s="131"/>
      <c r="R233" s="131"/>
      <c r="S233" s="128">
        <f t="shared" si="6"/>
        <v>0</v>
      </c>
      <c r="T233" s="101">
        <v>36.4</v>
      </c>
      <c r="U233" s="101">
        <v>79.900000000000006</v>
      </c>
      <c r="V233" s="129">
        <f t="shared" si="7"/>
        <v>0</v>
      </c>
    </row>
    <row r="234" spans="1:22" ht="15" hidden="1" customHeight="1" x14ac:dyDescent="0.25">
      <c r="A234" s="100">
        <v>743030</v>
      </c>
      <c r="B234" s="100" t="s">
        <v>431</v>
      </c>
      <c r="C234" s="100" t="s">
        <v>185</v>
      </c>
      <c r="D234" s="102" t="s">
        <v>58</v>
      </c>
      <c r="E234" s="130"/>
      <c r="F234" s="130"/>
      <c r="G234" s="100"/>
      <c r="H234" s="100"/>
      <c r="I234" s="100"/>
      <c r="J234" s="100"/>
      <c r="K234" s="100"/>
      <c r="L234" s="100"/>
      <c r="M234" s="130"/>
      <c r="N234" s="130"/>
      <c r="O234" s="131"/>
      <c r="P234" s="131"/>
      <c r="Q234" s="131"/>
      <c r="R234" s="131"/>
      <c r="S234" s="128">
        <f t="shared" si="6"/>
        <v>0</v>
      </c>
      <c r="T234" s="101">
        <v>36.4</v>
      </c>
      <c r="U234" s="101">
        <v>79.900000000000006</v>
      </c>
      <c r="V234" s="129">
        <f t="shared" si="7"/>
        <v>0</v>
      </c>
    </row>
    <row r="235" spans="1:22" ht="15" customHeight="1" x14ac:dyDescent="0.25">
      <c r="A235" s="100">
        <v>743034</v>
      </c>
      <c r="B235" s="100" t="s">
        <v>432</v>
      </c>
      <c r="C235" s="100" t="s">
        <v>433</v>
      </c>
      <c r="D235" s="102" t="s">
        <v>58</v>
      </c>
      <c r="E235" s="133"/>
      <c r="F235" s="133"/>
      <c r="G235" s="128">
        <v>1</v>
      </c>
      <c r="H235" s="128">
        <v>1</v>
      </c>
      <c r="I235" s="128">
        <v>1</v>
      </c>
      <c r="J235" s="128">
        <v>1</v>
      </c>
      <c r="K235" s="128"/>
      <c r="L235" s="128"/>
      <c r="M235" s="133"/>
      <c r="N235" s="133"/>
      <c r="O235" s="133"/>
      <c r="P235" s="133"/>
      <c r="Q235" s="133"/>
      <c r="R235" s="133"/>
      <c r="S235" s="128">
        <f t="shared" si="6"/>
        <v>4</v>
      </c>
      <c r="T235" s="101">
        <v>30</v>
      </c>
      <c r="U235" s="101">
        <v>65.900000000000006</v>
      </c>
      <c r="V235" s="129">
        <f t="shared" si="7"/>
        <v>120</v>
      </c>
    </row>
    <row r="236" spans="1:22" ht="15" customHeight="1" x14ac:dyDescent="0.25">
      <c r="A236" s="100">
        <v>743034</v>
      </c>
      <c r="B236" s="100" t="s">
        <v>434</v>
      </c>
      <c r="C236" s="100" t="s">
        <v>185</v>
      </c>
      <c r="D236" s="102" t="s">
        <v>58</v>
      </c>
      <c r="E236" s="133"/>
      <c r="F236" s="133"/>
      <c r="G236" s="128">
        <v>1</v>
      </c>
      <c r="H236" s="128">
        <v>1</v>
      </c>
      <c r="I236" s="128">
        <v>1</v>
      </c>
      <c r="J236" s="128">
        <v>1</v>
      </c>
      <c r="K236" s="128">
        <v>1</v>
      </c>
      <c r="L236" s="128"/>
      <c r="M236" s="133"/>
      <c r="N236" s="133"/>
      <c r="O236" s="133"/>
      <c r="P236" s="133"/>
      <c r="Q236" s="133"/>
      <c r="R236" s="133"/>
      <c r="S236" s="128">
        <f t="shared" si="6"/>
        <v>5</v>
      </c>
      <c r="T236" s="101">
        <v>30</v>
      </c>
      <c r="U236" s="101">
        <v>65.900000000000006</v>
      </c>
      <c r="V236" s="129">
        <f t="shared" si="7"/>
        <v>150</v>
      </c>
    </row>
    <row r="237" spans="1:22" ht="15" customHeight="1" x14ac:dyDescent="0.25">
      <c r="A237" s="100">
        <v>743035</v>
      </c>
      <c r="B237" s="100" t="s">
        <v>188</v>
      </c>
      <c r="C237" s="100" t="s">
        <v>430</v>
      </c>
      <c r="D237" s="102" t="s">
        <v>58</v>
      </c>
      <c r="E237" s="133"/>
      <c r="F237" s="133"/>
      <c r="G237" s="128">
        <v>1</v>
      </c>
      <c r="H237" s="128">
        <v>1</v>
      </c>
      <c r="I237" s="128">
        <v>1</v>
      </c>
      <c r="J237" s="128">
        <v>1</v>
      </c>
      <c r="K237" s="128">
        <v>1</v>
      </c>
      <c r="L237" s="128"/>
      <c r="M237" s="133"/>
      <c r="N237" s="133"/>
      <c r="O237" s="133"/>
      <c r="P237" s="133"/>
      <c r="Q237" s="133"/>
      <c r="R237" s="133"/>
      <c r="S237" s="128">
        <f t="shared" si="6"/>
        <v>5</v>
      </c>
      <c r="T237" s="101">
        <v>30</v>
      </c>
      <c r="U237" s="101">
        <v>65.900000000000006</v>
      </c>
      <c r="V237" s="129">
        <f t="shared" si="7"/>
        <v>150</v>
      </c>
    </row>
    <row r="238" spans="1:22" ht="15" customHeight="1" x14ac:dyDescent="0.25">
      <c r="A238" s="100">
        <v>743035</v>
      </c>
      <c r="B238" s="100" t="s">
        <v>435</v>
      </c>
      <c r="C238" s="100" t="s">
        <v>190</v>
      </c>
      <c r="D238" s="102" t="s">
        <v>58</v>
      </c>
      <c r="E238" s="133"/>
      <c r="F238" s="133"/>
      <c r="G238" s="128">
        <v>1</v>
      </c>
      <c r="H238" s="128">
        <v>1</v>
      </c>
      <c r="I238" s="128">
        <v>1</v>
      </c>
      <c r="J238" s="128">
        <v>1</v>
      </c>
      <c r="K238" s="128">
        <v>1</v>
      </c>
      <c r="L238" s="128"/>
      <c r="M238" s="133"/>
      <c r="N238" s="133"/>
      <c r="O238" s="133"/>
      <c r="P238" s="133"/>
      <c r="Q238" s="133"/>
      <c r="R238" s="133"/>
      <c r="S238" s="128">
        <f t="shared" si="6"/>
        <v>5</v>
      </c>
      <c r="T238" s="101">
        <v>30</v>
      </c>
      <c r="U238" s="101">
        <v>65.900000000000006</v>
      </c>
      <c r="V238" s="129">
        <f t="shared" si="7"/>
        <v>150</v>
      </c>
    </row>
    <row r="239" spans="1:22" ht="15" hidden="1" customHeight="1" x14ac:dyDescent="0.25">
      <c r="A239" s="100">
        <v>743037</v>
      </c>
      <c r="B239" s="100" t="s">
        <v>436</v>
      </c>
      <c r="C239" s="100" t="s">
        <v>430</v>
      </c>
      <c r="D239" s="102" t="s">
        <v>58</v>
      </c>
      <c r="E239" s="130"/>
      <c r="F239" s="130"/>
      <c r="G239" s="100"/>
      <c r="H239" s="100"/>
      <c r="I239" s="100"/>
      <c r="J239" s="100"/>
      <c r="K239" s="100"/>
      <c r="L239" s="100"/>
      <c r="M239" s="130"/>
      <c r="N239" s="130"/>
      <c r="O239" s="131"/>
      <c r="P239" s="131"/>
      <c r="Q239" s="131"/>
      <c r="R239" s="131"/>
      <c r="S239" s="128">
        <f t="shared" si="6"/>
        <v>0</v>
      </c>
      <c r="T239" s="101">
        <v>27.4</v>
      </c>
      <c r="U239" s="101">
        <v>59.9</v>
      </c>
      <c r="V239" s="129">
        <f t="shared" si="7"/>
        <v>0</v>
      </c>
    </row>
    <row r="240" spans="1:22" ht="15" hidden="1" customHeight="1" x14ac:dyDescent="0.25">
      <c r="A240" s="100">
        <v>743037</v>
      </c>
      <c r="B240" s="100" t="s">
        <v>437</v>
      </c>
      <c r="C240" s="100" t="s">
        <v>185</v>
      </c>
      <c r="D240" s="102" t="s">
        <v>58</v>
      </c>
      <c r="E240" s="130"/>
      <c r="F240" s="130"/>
      <c r="G240" s="100"/>
      <c r="H240" s="100"/>
      <c r="I240" s="100"/>
      <c r="J240" s="100"/>
      <c r="K240" s="100"/>
      <c r="L240" s="100"/>
      <c r="M240" s="130"/>
      <c r="N240" s="130"/>
      <c r="O240" s="131"/>
      <c r="P240" s="131"/>
      <c r="Q240" s="131"/>
      <c r="R240" s="131"/>
      <c r="S240" s="128">
        <f t="shared" si="6"/>
        <v>0</v>
      </c>
      <c r="T240" s="101">
        <v>27.4</v>
      </c>
      <c r="U240" s="101">
        <v>59.9</v>
      </c>
      <c r="V240" s="129">
        <f t="shared" si="7"/>
        <v>0</v>
      </c>
    </row>
    <row r="241" spans="1:22" ht="15" hidden="1" customHeight="1" x14ac:dyDescent="0.25">
      <c r="A241" s="100">
        <v>743041</v>
      </c>
      <c r="B241" s="100" t="s">
        <v>192</v>
      </c>
      <c r="C241" s="100" t="s">
        <v>430</v>
      </c>
      <c r="D241" s="102" t="s">
        <v>58</v>
      </c>
      <c r="E241" s="130"/>
      <c r="F241" s="130"/>
      <c r="G241" s="100"/>
      <c r="H241" s="100"/>
      <c r="I241" s="100"/>
      <c r="J241" s="100"/>
      <c r="K241" s="100"/>
      <c r="L241" s="100"/>
      <c r="M241" s="130"/>
      <c r="N241" s="130"/>
      <c r="O241" s="131"/>
      <c r="P241" s="131"/>
      <c r="Q241" s="131"/>
      <c r="R241" s="131"/>
      <c r="S241" s="128">
        <f t="shared" si="6"/>
        <v>0</v>
      </c>
      <c r="T241" s="101">
        <v>27.4</v>
      </c>
      <c r="U241" s="101">
        <v>59.9</v>
      </c>
      <c r="V241" s="129">
        <f t="shared" si="7"/>
        <v>0</v>
      </c>
    </row>
    <row r="242" spans="1:22" ht="15" hidden="1" customHeight="1" x14ac:dyDescent="0.25">
      <c r="A242" s="100">
        <v>743041</v>
      </c>
      <c r="B242" s="100" t="s">
        <v>438</v>
      </c>
      <c r="C242" s="100" t="s">
        <v>185</v>
      </c>
      <c r="D242" s="102" t="s">
        <v>58</v>
      </c>
      <c r="E242" s="130"/>
      <c r="F242" s="130"/>
      <c r="G242" s="100"/>
      <c r="H242" s="100"/>
      <c r="I242" s="100"/>
      <c r="J242" s="100"/>
      <c r="K242" s="100"/>
      <c r="L242" s="100"/>
      <c r="M242" s="130"/>
      <c r="N242" s="130"/>
      <c r="O242" s="131"/>
      <c r="P242" s="131"/>
      <c r="Q242" s="131"/>
      <c r="R242" s="131"/>
      <c r="S242" s="128">
        <f t="shared" si="6"/>
        <v>0</v>
      </c>
      <c r="T242" s="101">
        <v>27.4</v>
      </c>
      <c r="U242" s="101">
        <v>59.9</v>
      </c>
      <c r="V242" s="129">
        <f t="shared" si="7"/>
        <v>0</v>
      </c>
    </row>
    <row r="243" spans="1:22" ht="15" hidden="1" customHeight="1" x14ac:dyDescent="0.25">
      <c r="A243" s="100">
        <v>743041</v>
      </c>
      <c r="B243" s="100" t="s">
        <v>439</v>
      </c>
      <c r="C243" s="100" t="s">
        <v>190</v>
      </c>
      <c r="D243" s="102" t="s">
        <v>58</v>
      </c>
      <c r="E243" s="130"/>
      <c r="F243" s="130"/>
      <c r="G243" s="100"/>
      <c r="H243" s="100"/>
      <c r="I243" s="100"/>
      <c r="J243" s="100"/>
      <c r="K243" s="100"/>
      <c r="L243" s="100"/>
      <c r="M243" s="130"/>
      <c r="N243" s="130"/>
      <c r="O243" s="131"/>
      <c r="P243" s="131"/>
      <c r="Q243" s="131"/>
      <c r="R243" s="131"/>
      <c r="S243" s="128">
        <f t="shared" si="6"/>
        <v>0</v>
      </c>
      <c r="T243" s="101">
        <v>27.4</v>
      </c>
      <c r="U243" s="101">
        <v>59.9</v>
      </c>
      <c r="V243" s="129">
        <f t="shared" si="7"/>
        <v>0</v>
      </c>
    </row>
    <row r="244" spans="1:22" ht="15" hidden="1" customHeight="1" x14ac:dyDescent="0.25">
      <c r="A244" s="100">
        <v>743049</v>
      </c>
      <c r="B244" s="100" t="s">
        <v>193</v>
      </c>
      <c r="C244" s="100" t="s">
        <v>430</v>
      </c>
      <c r="D244" s="102" t="s">
        <v>58</v>
      </c>
      <c r="E244" s="130"/>
      <c r="F244" s="130"/>
      <c r="G244" s="100"/>
      <c r="H244" s="100"/>
      <c r="I244" s="100"/>
      <c r="J244" s="100"/>
      <c r="K244" s="100"/>
      <c r="L244" s="100"/>
      <c r="M244" s="130"/>
      <c r="N244" s="130"/>
      <c r="O244" s="131"/>
      <c r="P244" s="131"/>
      <c r="Q244" s="131"/>
      <c r="R244" s="131"/>
      <c r="S244" s="128">
        <f t="shared" si="6"/>
        <v>0</v>
      </c>
      <c r="T244" s="101">
        <v>18.2</v>
      </c>
      <c r="U244" s="101">
        <v>39.9</v>
      </c>
      <c r="V244" s="129">
        <f t="shared" si="7"/>
        <v>0</v>
      </c>
    </row>
    <row r="245" spans="1:22" ht="15" customHeight="1" x14ac:dyDescent="0.25">
      <c r="A245" s="100">
        <v>743049</v>
      </c>
      <c r="B245" s="100" t="s">
        <v>440</v>
      </c>
      <c r="C245" s="100" t="s">
        <v>185</v>
      </c>
      <c r="D245" s="102" t="s">
        <v>58</v>
      </c>
      <c r="E245" s="133"/>
      <c r="F245" s="133"/>
      <c r="G245" s="128">
        <v>1</v>
      </c>
      <c r="H245" s="128">
        <v>1</v>
      </c>
      <c r="I245" s="128">
        <v>1</v>
      </c>
      <c r="J245" s="128">
        <v>1</v>
      </c>
      <c r="K245" s="128"/>
      <c r="L245" s="128"/>
      <c r="M245" s="133"/>
      <c r="N245" s="133"/>
      <c r="O245" s="133"/>
      <c r="P245" s="133"/>
      <c r="Q245" s="133"/>
      <c r="R245" s="133"/>
      <c r="S245" s="128">
        <f t="shared" si="6"/>
        <v>4</v>
      </c>
      <c r="T245" s="101">
        <v>18.2</v>
      </c>
      <c r="U245" s="101">
        <v>39.9</v>
      </c>
      <c r="V245" s="129">
        <f t="shared" si="7"/>
        <v>72.8</v>
      </c>
    </row>
    <row r="246" spans="1:22" ht="15" customHeight="1" x14ac:dyDescent="0.25">
      <c r="A246" s="100">
        <v>743055</v>
      </c>
      <c r="B246" s="100" t="s">
        <v>194</v>
      </c>
      <c r="C246" s="100" t="s">
        <v>185</v>
      </c>
      <c r="D246" s="102" t="s">
        <v>58</v>
      </c>
      <c r="E246" s="133"/>
      <c r="F246" s="133"/>
      <c r="G246" s="128">
        <v>1</v>
      </c>
      <c r="H246" s="128">
        <v>1</v>
      </c>
      <c r="I246" s="128">
        <v>1</v>
      </c>
      <c r="J246" s="128">
        <v>1</v>
      </c>
      <c r="K246" s="128">
        <v>1</v>
      </c>
      <c r="L246" s="128"/>
      <c r="M246" s="133"/>
      <c r="N246" s="133"/>
      <c r="O246" s="133"/>
      <c r="P246" s="133"/>
      <c r="Q246" s="133"/>
      <c r="R246" s="133"/>
      <c r="S246" s="128">
        <f t="shared" si="6"/>
        <v>5</v>
      </c>
      <c r="T246" s="101">
        <v>18.2</v>
      </c>
      <c r="U246" s="101">
        <v>39.9</v>
      </c>
      <c r="V246" s="129">
        <f t="shared" si="7"/>
        <v>91</v>
      </c>
    </row>
    <row r="247" spans="1:22" ht="15" customHeight="1" x14ac:dyDescent="0.25">
      <c r="A247" s="100">
        <v>743055</v>
      </c>
      <c r="B247" s="100" t="s">
        <v>441</v>
      </c>
      <c r="C247" s="100" t="s">
        <v>190</v>
      </c>
      <c r="D247" s="102" t="s">
        <v>58</v>
      </c>
      <c r="E247" s="133"/>
      <c r="F247" s="133"/>
      <c r="G247" s="128">
        <v>1</v>
      </c>
      <c r="H247" s="128">
        <v>1</v>
      </c>
      <c r="I247" s="128">
        <v>1</v>
      </c>
      <c r="J247" s="128">
        <v>1</v>
      </c>
      <c r="K247" s="128">
        <v>1</v>
      </c>
      <c r="L247" s="128"/>
      <c r="M247" s="133"/>
      <c r="N247" s="133"/>
      <c r="O247" s="133"/>
      <c r="P247" s="133"/>
      <c r="Q247" s="133"/>
      <c r="R247" s="133"/>
      <c r="S247" s="128">
        <f t="shared" si="6"/>
        <v>5</v>
      </c>
      <c r="T247" s="101">
        <v>18.2</v>
      </c>
      <c r="U247" s="101">
        <v>39.9</v>
      </c>
      <c r="V247" s="129">
        <f t="shared" si="7"/>
        <v>91</v>
      </c>
    </row>
    <row r="248" spans="1:22" ht="15" hidden="1" customHeight="1" x14ac:dyDescent="0.25">
      <c r="A248" s="100">
        <v>743059</v>
      </c>
      <c r="B248" s="100" t="s">
        <v>195</v>
      </c>
      <c r="C248" s="100" t="s">
        <v>442</v>
      </c>
      <c r="D248" s="102" t="s">
        <v>58</v>
      </c>
      <c r="E248" s="130"/>
      <c r="F248" s="130"/>
      <c r="G248" s="100"/>
      <c r="H248" s="100"/>
      <c r="I248" s="100"/>
      <c r="J248" s="100"/>
      <c r="K248" s="100"/>
      <c r="L248" s="100"/>
      <c r="M248" s="100"/>
      <c r="N248" s="100"/>
      <c r="O248" s="131"/>
      <c r="P248" s="131"/>
      <c r="Q248" s="131"/>
      <c r="R248" s="131"/>
      <c r="S248" s="128">
        <f t="shared" si="6"/>
        <v>0</v>
      </c>
      <c r="T248" s="101">
        <v>10.9</v>
      </c>
      <c r="U248" s="101">
        <v>23.9</v>
      </c>
      <c r="V248" s="129">
        <f t="shared" si="7"/>
        <v>0</v>
      </c>
    </row>
    <row r="249" spans="1:22" ht="15" hidden="1" customHeight="1" x14ac:dyDescent="0.25">
      <c r="A249" s="100">
        <v>743059</v>
      </c>
      <c r="B249" s="100" t="s">
        <v>443</v>
      </c>
      <c r="C249" s="100" t="s">
        <v>433</v>
      </c>
      <c r="D249" s="102" t="s">
        <v>58</v>
      </c>
      <c r="E249" s="130"/>
      <c r="F249" s="130"/>
      <c r="G249" s="100"/>
      <c r="H249" s="100"/>
      <c r="I249" s="100"/>
      <c r="J249" s="100"/>
      <c r="K249" s="100"/>
      <c r="L249" s="100"/>
      <c r="M249" s="100"/>
      <c r="N249" s="100"/>
      <c r="O249" s="131"/>
      <c r="P249" s="131"/>
      <c r="Q249" s="131"/>
      <c r="R249" s="131"/>
      <c r="S249" s="128">
        <f t="shared" si="6"/>
        <v>0</v>
      </c>
      <c r="T249" s="101">
        <v>10.9</v>
      </c>
      <c r="U249" s="101">
        <v>23.9</v>
      </c>
      <c r="V249" s="129">
        <f t="shared" si="7"/>
        <v>0</v>
      </c>
    </row>
    <row r="250" spans="1:22" ht="15" hidden="1" customHeight="1" x14ac:dyDescent="0.25">
      <c r="A250" s="100">
        <v>743059</v>
      </c>
      <c r="B250" s="100" t="s">
        <v>444</v>
      </c>
      <c r="C250" s="100" t="s">
        <v>430</v>
      </c>
      <c r="D250" s="102" t="s">
        <v>58</v>
      </c>
      <c r="E250" s="130"/>
      <c r="F250" s="130"/>
      <c r="G250" s="100"/>
      <c r="H250" s="100"/>
      <c r="I250" s="100"/>
      <c r="J250" s="100"/>
      <c r="K250" s="100"/>
      <c r="L250" s="100"/>
      <c r="M250" s="100"/>
      <c r="N250" s="100"/>
      <c r="O250" s="131"/>
      <c r="P250" s="131"/>
      <c r="Q250" s="131"/>
      <c r="R250" s="131"/>
      <c r="S250" s="128">
        <f t="shared" si="6"/>
        <v>0</v>
      </c>
      <c r="T250" s="101">
        <v>10.9</v>
      </c>
      <c r="U250" s="101">
        <v>23.9</v>
      </c>
      <c r="V250" s="129">
        <f t="shared" si="7"/>
        <v>0</v>
      </c>
    </row>
    <row r="251" spans="1:22" ht="15" hidden="1" customHeight="1" x14ac:dyDescent="0.25">
      <c r="A251" s="100">
        <v>743059</v>
      </c>
      <c r="B251" s="100" t="s">
        <v>445</v>
      </c>
      <c r="C251" s="100" t="s">
        <v>379</v>
      </c>
      <c r="D251" s="102" t="s">
        <v>58</v>
      </c>
      <c r="E251" s="130"/>
      <c r="F251" s="130"/>
      <c r="G251" s="100"/>
      <c r="H251" s="100"/>
      <c r="I251" s="100"/>
      <c r="J251" s="100"/>
      <c r="K251" s="100"/>
      <c r="L251" s="100"/>
      <c r="M251" s="100"/>
      <c r="N251" s="100"/>
      <c r="O251" s="131"/>
      <c r="P251" s="131"/>
      <c r="Q251" s="131"/>
      <c r="R251" s="131"/>
      <c r="S251" s="128">
        <f t="shared" si="6"/>
        <v>0</v>
      </c>
      <c r="T251" s="101">
        <v>10.9</v>
      </c>
      <c r="U251" s="101">
        <v>23.9</v>
      </c>
      <c r="V251" s="129">
        <f t="shared" si="7"/>
        <v>0</v>
      </c>
    </row>
    <row r="252" spans="1:22" ht="15" hidden="1" customHeight="1" x14ac:dyDescent="0.25">
      <c r="A252" s="100">
        <v>743059</v>
      </c>
      <c r="B252" s="100" t="s">
        <v>446</v>
      </c>
      <c r="C252" s="100" t="s">
        <v>185</v>
      </c>
      <c r="D252" s="102" t="s">
        <v>58</v>
      </c>
      <c r="E252" s="130"/>
      <c r="F252" s="130"/>
      <c r="G252" s="100"/>
      <c r="H252" s="100"/>
      <c r="I252" s="100"/>
      <c r="J252" s="100"/>
      <c r="K252" s="100"/>
      <c r="L252" s="100"/>
      <c r="M252" s="100"/>
      <c r="N252" s="100"/>
      <c r="O252" s="131"/>
      <c r="P252" s="131"/>
      <c r="Q252" s="131"/>
      <c r="R252" s="131"/>
      <c r="S252" s="128">
        <f t="shared" si="6"/>
        <v>0</v>
      </c>
      <c r="T252" s="101">
        <v>10.9</v>
      </c>
      <c r="U252" s="101">
        <v>23.9</v>
      </c>
      <c r="V252" s="129">
        <f t="shared" si="7"/>
        <v>0</v>
      </c>
    </row>
    <row r="253" spans="1:22" ht="15" hidden="1" customHeight="1" x14ac:dyDescent="0.25">
      <c r="A253" s="100">
        <v>743059</v>
      </c>
      <c r="B253" s="100" t="s">
        <v>447</v>
      </c>
      <c r="C253" s="100" t="s">
        <v>190</v>
      </c>
      <c r="D253" s="102" t="s">
        <v>58</v>
      </c>
      <c r="E253" s="130"/>
      <c r="F253" s="130"/>
      <c r="G253" s="100"/>
      <c r="H253" s="100"/>
      <c r="I253" s="100"/>
      <c r="J253" s="100"/>
      <c r="K253" s="100"/>
      <c r="L253" s="100"/>
      <c r="M253" s="100"/>
      <c r="N253" s="100"/>
      <c r="O253" s="131"/>
      <c r="P253" s="131"/>
      <c r="Q253" s="131"/>
      <c r="R253" s="131"/>
      <c r="S253" s="128">
        <f t="shared" si="6"/>
        <v>0</v>
      </c>
      <c r="T253" s="101">
        <v>10.9</v>
      </c>
      <c r="U253" s="101">
        <v>23.9</v>
      </c>
      <c r="V253" s="129">
        <f t="shared" si="7"/>
        <v>0</v>
      </c>
    </row>
    <row r="254" spans="1:22" ht="15" hidden="1" customHeight="1" x14ac:dyDescent="0.25">
      <c r="A254" s="100">
        <v>743065</v>
      </c>
      <c r="B254" s="100" t="s">
        <v>196</v>
      </c>
      <c r="C254" s="100" t="s">
        <v>448</v>
      </c>
      <c r="D254" s="102" t="s">
        <v>62</v>
      </c>
      <c r="E254" s="130"/>
      <c r="F254" s="130"/>
      <c r="G254" s="100"/>
      <c r="H254" s="100"/>
      <c r="I254" s="100"/>
      <c r="J254" s="100"/>
      <c r="K254" s="100"/>
      <c r="L254" s="100"/>
      <c r="M254" s="100"/>
      <c r="N254" s="130"/>
      <c r="O254" s="127"/>
      <c r="P254" s="131"/>
      <c r="Q254" s="127"/>
      <c r="R254" s="127"/>
      <c r="S254" s="128">
        <f t="shared" si="6"/>
        <v>0</v>
      </c>
      <c r="T254" s="101">
        <v>36.4</v>
      </c>
      <c r="U254" s="101">
        <v>79.900000000000006</v>
      </c>
      <c r="V254" s="129">
        <f t="shared" si="7"/>
        <v>0</v>
      </c>
    </row>
    <row r="255" spans="1:22" ht="15" hidden="1" customHeight="1" x14ac:dyDescent="0.25">
      <c r="A255" s="100">
        <v>743065</v>
      </c>
      <c r="B255" s="100" t="s">
        <v>449</v>
      </c>
      <c r="C255" s="100" t="s">
        <v>430</v>
      </c>
      <c r="D255" s="102" t="s">
        <v>62</v>
      </c>
      <c r="E255" s="130"/>
      <c r="F255" s="130"/>
      <c r="G255" s="100"/>
      <c r="H255" s="100"/>
      <c r="I255" s="100"/>
      <c r="J255" s="100"/>
      <c r="K255" s="100"/>
      <c r="L255" s="100"/>
      <c r="M255" s="100"/>
      <c r="N255" s="130"/>
      <c r="O255" s="127"/>
      <c r="P255" s="131"/>
      <c r="Q255" s="127"/>
      <c r="R255" s="127"/>
      <c r="S255" s="128">
        <f t="shared" si="6"/>
        <v>0</v>
      </c>
      <c r="T255" s="101">
        <v>36.4</v>
      </c>
      <c r="U255" s="101">
        <v>79.900000000000006</v>
      </c>
      <c r="V255" s="129">
        <f t="shared" si="7"/>
        <v>0</v>
      </c>
    </row>
    <row r="256" spans="1:22" ht="15" hidden="1" customHeight="1" x14ac:dyDescent="0.25">
      <c r="A256" s="100">
        <v>743065</v>
      </c>
      <c r="B256" s="100" t="s">
        <v>450</v>
      </c>
      <c r="C256" s="100" t="s">
        <v>451</v>
      </c>
      <c r="D256" s="102" t="s">
        <v>62</v>
      </c>
      <c r="E256" s="130"/>
      <c r="F256" s="130"/>
      <c r="G256" s="100"/>
      <c r="H256" s="100"/>
      <c r="I256" s="100"/>
      <c r="J256" s="100"/>
      <c r="K256" s="100"/>
      <c r="L256" s="100"/>
      <c r="M256" s="100"/>
      <c r="N256" s="130"/>
      <c r="O256" s="127"/>
      <c r="P256" s="131"/>
      <c r="Q256" s="127"/>
      <c r="R256" s="127"/>
      <c r="S256" s="128">
        <f t="shared" si="6"/>
        <v>0</v>
      </c>
      <c r="T256" s="101">
        <v>36.4</v>
      </c>
      <c r="U256" s="101">
        <v>79.900000000000006</v>
      </c>
      <c r="V256" s="129">
        <f t="shared" si="7"/>
        <v>0</v>
      </c>
    </row>
    <row r="257" spans="1:22" ht="15" hidden="1" customHeight="1" x14ac:dyDescent="0.25">
      <c r="A257" s="100">
        <v>743068</v>
      </c>
      <c r="B257" s="100" t="s">
        <v>452</v>
      </c>
      <c r="C257" s="100" t="s">
        <v>201</v>
      </c>
      <c r="D257" s="102" t="s">
        <v>62</v>
      </c>
      <c r="E257" s="130"/>
      <c r="F257" s="130"/>
      <c r="G257" s="100"/>
      <c r="H257" s="100"/>
      <c r="I257" s="100"/>
      <c r="J257" s="100"/>
      <c r="K257" s="100"/>
      <c r="L257" s="100"/>
      <c r="M257" s="100"/>
      <c r="N257" s="130"/>
      <c r="O257" s="127"/>
      <c r="P257" s="131"/>
      <c r="Q257" s="127"/>
      <c r="R257" s="127"/>
      <c r="S257" s="128">
        <f t="shared" si="6"/>
        <v>0</v>
      </c>
      <c r="T257" s="101">
        <v>36.4</v>
      </c>
      <c r="U257" s="101">
        <v>79.900000000000006</v>
      </c>
      <c r="V257" s="129">
        <f t="shared" si="7"/>
        <v>0</v>
      </c>
    </row>
    <row r="258" spans="1:22" ht="15" hidden="1" customHeight="1" x14ac:dyDescent="0.25">
      <c r="A258" s="100">
        <v>743069</v>
      </c>
      <c r="B258" s="100" t="s">
        <v>453</v>
      </c>
      <c r="C258" s="100" t="s">
        <v>442</v>
      </c>
      <c r="D258" s="102" t="s">
        <v>62</v>
      </c>
      <c r="E258" s="130"/>
      <c r="F258" s="130"/>
      <c r="G258" s="100"/>
      <c r="H258" s="100"/>
      <c r="I258" s="100"/>
      <c r="J258" s="100"/>
      <c r="K258" s="100"/>
      <c r="L258" s="100"/>
      <c r="M258" s="100"/>
      <c r="N258" s="130"/>
      <c r="O258" s="127"/>
      <c r="P258" s="131"/>
      <c r="Q258" s="127"/>
      <c r="R258" s="127"/>
      <c r="S258" s="128">
        <f t="shared" si="6"/>
        <v>0</v>
      </c>
      <c r="T258" s="101">
        <v>31.8</v>
      </c>
      <c r="U258" s="101">
        <v>69.900000000000006</v>
      </c>
      <c r="V258" s="129">
        <f t="shared" si="7"/>
        <v>0</v>
      </c>
    </row>
    <row r="259" spans="1:22" ht="15" hidden="1" customHeight="1" x14ac:dyDescent="0.25">
      <c r="A259" s="100">
        <v>743073</v>
      </c>
      <c r="B259" s="100" t="s">
        <v>198</v>
      </c>
      <c r="C259" s="100" t="s">
        <v>185</v>
      </c>
      <c r="D259" s="102" t="s">
        <v>62</v>
      </c>
      <c r="E259" s="100"/>
      <c r="F259" s="130"/>
      <c r="G259" s="100"/>
      <c r="H259" s="130"/>
      <c r="I259" s="100"/>
      <c r="J259" s="130"/>
      <c r="K259" s="100"/>
      <c r="L259" s="130"/>
      <c r="M259" s="100"/>
      <c r="N259" s="130"/>
      <c r="O259" s="127"/>
      <c r="P259" s="131"/>
      <c r="Q259" s="127"/>
      <c r="R259" s="131"/>
      <c r="S259" s="128">
        <f t="shared" si="6"/>
        <v>0</v>
      </c>
      <c r="T259" s="101">
        <v>31.8</v>
      </c>
      <c r="U259" s="101">
        <v>69.900000000000006</v>
      </c>
      <c r="V259" s="129">
        <f t="shared" si="7"/>
        <v>0</v>
      </c>
    </row>
    <row r="260" spans="1:22" ht="15" hidden="1" customHeight="1" x14ac:dyDescent="0.25">
      <c r="A260" s="100">
        <v>743073</v>
      </c>
      <c r="B260" s="100" t="s">
        <v>454</v>
      </c>
      <c r="C260" s="100" t="s">
        <v>455</v>
      </c>
      <c r="D260" s="102" t="s">
        <v>62</v>
      </c>
      <c r="E260" s="100"/>
      <c r="F260" s="130"/>
      <c r="G260" s="100"/>
      <c r="H260" s="130"/>
      <c r="I260" s="100"/>
      <c r="J260" s="130"/>
      <c r="K260" s="100"/>
      <c r="L260" s="130"/>
      <c r="M260" s="100"/>
      <c r="N260" s="130"/>
      <c r="O260" s="127"/>
      <c r="P260" s="131"/>
      <c r="Q260" s="127"/>
      <c r="R260" s="131"/>
      <c r="S260" s="128">
        <f t="shared" si="6"/>
        <v>0</v>
      </c>
      <c r="T260" s="101">
        <v>31.8</v>
      </c>
      <c r="U260" s="101">
        <v>69.900000000000006</v>
      </c>
      <c r="V260" s="129">
        <f t="shared" si="7"/>
        <v>0</v>
      </c>
    </row>
    <row r="261" spans="1:22" ht="15" hidden="1" customHeight="1" x14ac:dyDescent="0.25">
      <c r="A261" s="100">
        <v>743073</v>
      </c>
      <c r="B261" s="100" t="s">
        <v>456</v>
      </c>
      <c r="C261" s="100" t="s">
        <v>85</v>
      </c>
      <c r="D261" s="102" t="s">
        <v>62</v>
      </c>
      <c r="E261" s="100"/>
      <c r="F261" s="130"/>
      <c r="G261" s="100"/>
      <c r="H261" s="130"/>
      <c r="I261" s="100"/>
      <c r="J261" s="130"/>
      <c r="K261" s="100"/>
      <c r="L261" s="130"/>
      <c r="M261" s="100"/>
      <c r="N261" s="130"/>
      <c r="O261" s="127"/>
      <c r="P261" s="131"/>
      <c r="Q261" s="127"/>
      <c r="R261" s="131"/>
      <c r="S261" s="128">
        <f t="shared" si="6"/>
        <v>0</v>
      </c>
      <c r="T261" s="101">
        <v>31.8</v>
      </c>
      <c r="U261" s="101">
        <v>69.900000000000006</v>
      </c>
      <c r="V261" s="129">
        <f t="shared" si="7"/>
        <v>0</v>
      </c>
    </row>
    <row r="262" spans="1:22" ht="15" hidden="1" customHeight="1" x14ac:dyDescent="0.25">
      <c r="A262" s="100">
        <v>743077</v>
      </c>
      <c r="B262" s="100" t="s">
        <v>457</v>
      </c>
      <c r="C262" s="100" t="s">
        <v>201</v>
      </c>
      <c r="D262" s="102" t="s">
        <v>62</v>
      </c>
      <c r="E262" s="100"/>
      <c r="F262" s="100"/>
      <c r="G262" s="100"/>
      <c r="H262" s="100"/>
      <c r="I262" s="100"/>
      <c r="J262" s="100"/>
      <c r="K262" s="100"/>
      <c r="L262" s="100"/>
      <c r="M262" s="100"/>
      <c r="N262" s="130"/>
      <c r="O262" s="127"/>
      <c r="P262" s="131"/>
      <c r="Q262" s="127"/>
      <c r="R262" s="131"/>
      <c r="S262" s="128">
        <f t="shared" si="6"/>
        <v>0</v>
      </c>
      <c r="T262" s="101">
        <v>31.8</v>
      </c>
      <c r="U262" s="101">
        <v>69.900000000000006</v>
      </c>
      <c r="V262" s="129">
        <f t="shared" si="7"/>
        <v>0</v>
      </c>
    </row>
    <row r="263" spans="1:22" ht="15" hidden="1" customHeight="1" x14ac:dyDescent="0.25">
      <c r="A263" s="100">
        <v>743077</v>
      </c>
      <c r="B263" s="100" t="s">
        <v>458</v>
      </c>
      <c r="C263" s="100" t="s">
        <v>190</v>
      </c>
      <c r="D263" s="102" t="s">
        <v>62</v>
      </c>
      <c r="E263" s="100"/>
      <c r="F263" s="100"/>
      <c r="G263" s="100"/>
      <c r="H263" s="100"/>
      <c r="I263" s="100"/>
      <c r="J263" s="100"/>
      <c r="K263" s="100"/>
      <c r="L263" s="100"/>
      <c r="M263" s="100"/>
      <c r="N263" s="130"/>
      <c r="O263" s="127"/>
      <c r="P263" s="131"/>
      <c r="Q263" s="127"/>
      <c r="R263" s="131"/>
      <c r="S263" s="128">
        <f t="shared" si="6"/>
        <v>0</v>
      </c>
      <c r="T263" s="101">
        <v>31.8</v>
      </c>
      <c r="U263" s="101">
        <v>69.900000000000006</v>
      </c>
      <c r="V263" s="129">
        <f t="shared" si="7"/>
        <v>0</v>
      </c>
    </row>
    <row r="264" spans="1:22" ht="15" hidden="1" customHeight="1" x14ac:dyDescent="0.25">
      <c r="A264" s="100">
        <v>743079</v>
      </c>
      <c r="B264" s="100" t="s">
        <v>205</v>
      </c>
      <c r="C264" s="100" t="s">
        <v>459</v>
      </c>
      <c r="D264" s="102" t="s">
        <v>62</v>
      </c>
      <c r="E264" s="100"/>
      <c r="F264" s="100"/>
      <c r="G264" s="100"/>
      <c r="H264" s="100"/>
      <c r="I264" s="100"/>
      <c r="J264" s="100"/>
      <c r="K264" s="100"/>
      <c r="L264" s="100"/>
      <c r="M264" s="100"/>
      <c r="N264" s="130"/>
      <c r="O264" s="127"/>
      <c r="P264" s="131"/>
      <c r="Q264" s="127"/>
      <c r="R264" s="131"/>
      <c r="S264" s="128">
        <f t="shared" si="6"/>
        <v>0</v>
      </c>
      <c r="T264" s="101">
        <v>31.8</v>
      </c>
      <c r="U264" s="101">
        <v>69.900000000000006</v>
      </c>
      <c r="V264" s="129">
        <f t="shared" si="7"/>
        <v>0</v>
      </c>
    </row>
    <row r="265" spans="1:22" ht="15" hidden="1" customHeight="1" x14ac:dyDescent="0.25">
      <c r="A265" s="100">
        <v>743079</v>
      </c>
      <c r="B265" s="100" t="s">
        <v>460</v>
      </c>
      <c r="C265" s="100" t="s">
        <v>201</v>
      </c>
      <c r="D265" s="102" t="s">
        <v>62</v>
      </c>
      <c r="E265" s="100"/>
      <c r="F265" s="100"/>
      <c r="G265" s="100"/>
      <c r="H265" s="100"/>
      <c r="I265" s="100"/>
      <c r="J265" s="100"/>
      <c r="K265" s="100"/>
      <c r="L265" s="100"/>
      <c r="M265" s="100"/>
      <c r="N265" s="130"/>
      <c r="O265" s="127"/>
      <c r="P265" s="131"/>
      <c r="Q265" s="127"/>
      <c r="R265" s="131"/>
      <c r="S265" s="128">
        <f t="shared" si="6"/>
        <v>0</v>
      </c>
      <c r="T265" s="101">
        <v>31.8</v>
      </c>
      <c r="U265" s="101">
        <v>69.900000000000006</v>
      </c>
      <c r="V265" s="129">
        <f t="shared" si="7"/>
        <v>0</v>
      </c>
    </row>
    <row r="266" spans="1:22" ht="15" hidden="1" customHeight="1" x14ac:dyDescent="0.25">
      <c r="A266" s="100">
        <v>743079</v>
      </c>
      <c r="B266" s="100" t="s">
        <v>461</v>
      </c>
      <c r="C266" s="100" t="s">
        <v>455</v>
      </c>
      <c r="D266" s="102" t="s">
        <v>62</v>
      </c>
      <c r="E266" s="100"/>
      <c r="F266" s="100"/>
      <c r="G266" s="100"/>
      <c r="H266" s="100"/>
      <c r="I266" s="100"/>
      <c r="J266" s="100"/>
      <c r="K266" s="100"/>
      <c r="L266" s="100"/>
      <c r="M266" s="100"/>
      <c r="N266" s="130"/>
      <c r="O266" s="127"/>
      <c r="P266" s="131"/>
      <c r="Q266" s="127"/>
      <c r="R266" s="131"/>
      <c r="S266" s="128">
        <f t="shared" si="6"/>
        <v>0</v>
      </c>
      <c r="T266" s="101">
        <v>31.8</v>
      </c>
      <c r="U266" s="101">
        <v>69.900000000000006</v>
      </c>
      <c r="V266" s="129">
        <f t="shared" si="7"/>
        <v>0</v>
      </c>
    </row>
    <row r="267" spans="1:22" ht="15" customHeight="1" x14ac:dyDescent="0.25">
      <c r="A267" s="100">
        <v>743079</v>
      </c>
      <c r="B267" s="100" t="s">
        <v>462</v>
      </c>
      <c r="C267" s="100" t="s">
        <v>85</v>
      </c>
      <c r="D267" s="102" t="s">
        <v>62</v>
      </c>
      <c r="E267" s="128"/>
      <c r="F267" s="128">
        <v>1</v>
      </c>
      <c r="G267" s="128">
        <v>1</v>
      </c>
      <c r="H267" s="128">
        <v>1</v>
      </c>
      <c r="I267" s="128">
        <v>1</v>
      </c>
      <c r="J267" s="128">
        <v>1</v>
      </c>
      <c r="K267" s="128">
        <v>1</v>
      </c>
      <c r="L267" s="128"/>
      <c r="M267" s="128">
        <v>1</v>
      </c>
      <c r="N267" s="133"/>
      <c r="O267" s="128"/>
      <c r="P267" s="133"/>
      <c r="Q267" s="128"/>
      <c r="R267" s="133"/>
      <c r="S267" s="128">
        <f t="shared" si="6"/>
        <v>7</v>
      </c>
      <c r="T267" s="101">
        <v>31.8</v>
      </c>
      <c r="U267" s="101">
        <v>69.900000000000006</v>
      </c>
      <c r="V267" s="129">
        <f t="shared" si="7"/>
        <v>222.6</v>
      </c>
    </row>
    <row r="268" spans="1:22" ht="15" hidden="1" customHeight="1" x14ac:dyDescent="0.25">
      <c r="A268" s="100">
        <v>743087</v>
      </c>
      <c r="B268" s="100" t="s">
        <v>206</v>
      </c>
      <c r="C268" s="100" t="s">
        <v>408</v>
      </c>
      <c r="D268" s="102" t="s">
        <v>62</v>
      </c>
      <c r="E268" s="130"/>
      <c r="F268" s="100"/>
      <c r="G268" s="100"/>
      <c r="H268" s="100"/>
      <c r="I268" s="100"/>
      <c r="J268" s="100"/>
      <c r="K268" s="100"/>
      <c r="L268" s="100"/>
      <c r="M268" s="100"/>
      <c r="N268" s="130"/>
      <c r="O268" s="127"/>
      <c r="P268" s="131"/>
      <c r="Q268" s="127"/>
      <c r="R268" s="131"/>
      <c r="S268" s="128">
        <f t="shared" si="6"/>
        <v>0</v>
      </c>
      <c r="T268" s="101">
        <v>20.9</v>
      </c>
      <c r="U268" s="101">
        <v>45.9</v>
      </c>
      <c r="V268" s="129">
        <f t="shared" si="7"/>
        <v>0</v>
      </c>
    </row>
    <row r="269" spans="1:22" ht="15" hidden="1" customHeight="1" x14ac:dyDescent="0.25">
      <c r="A269" s="100">
        <v>743087</v>
      </c>
      <c r="B269" s="100" t="s">
        <v>463</v>
      </c>
      <c r="C269" s="100" t="s">
        <v>373</v>
      </c>
      <c r="D269" s="102" t="s">
        <v>62</v>
      </c>
      <c r="E269" s="130"/>
      <c r="F269" s="100"/>
      <c r="G269" s="100"/>
      <c r="H269" s="100"/>
      <c r="I269" s="100"/>
      <c r="J269" s="100"/>
      <c r="K269" s="100"/>
      <c r="L269" s="100"/>
      <c r="M269" s="100"/>
      <c r="N269" s="130"/>
      <c r="O269" s="127"/>
      <c r="P269" s="131"/>
      <c r="Q269" s="127"/>
      <c r="R269" s="131"/>
      <c r="S269" s="128">
        <f t="shared" si="6"/>
        <v>0</v>
      </c>
      <c r="T269" s="101">
        <v>20.9</v>
      </c>
      <c r="U269" s="101">
        <v>45.9</v>
      </c>
      <c r="V269" s="129">
        <f t="shared" si="7"/>
        <v>0</v>
      </c>
    </row>
    <row r="270" spans="1:22" ht="15" hidden="1" customHeight="1" x14ac:dyDescent="0.25">
      <c r="A270" s="100">
        <v>743087</v>
      </c>
      <c r="B270" s="100" t="s">
        <v>464</v>
      </c>
      <c r="C270" s="100" t="s">
        <v>201</v>
      </c>
      <c r="D270" s="102" t="s">
        <v>62</v>
      </c>
      <c r="E270" s="130"/>
      <c r="F270" s="100"/>
      <c r="G270" s="100"/>
      <c r="H270" s="100"/>
      <c r="I270" s="100"/>
      <c r="J270" s="100"/>
      <c r="K270" s="100"/>
      <c r="L270" s="100"/>
      <c r="M270" s="100"/>
      <c r="N270" s="130"/>
      <c r="O270" s="127"/>
      <c r="P270" s="131"/>
      <c r="Q270" s="127"/>
      <c r="R270" s="131"/>
      <c r="S270" s="128">
        <f t="shared" si="6"/>
        <v>0</v>
      </c>
      <c r="T270" s="101">
        <v>20.9</v>
      </c>
      <c r="U270" s="101">
        <v>45.9</v>
      </c>
      <c r="V270" s="129">
        <f t="shared" si="7"/>
        <v>0</v>
      </c>
    </row>
    <row r="271" spans="1:22" ht="15" hidden="1" customHeight="1" x14ac:dyDescent="0.25">
      <c r="A271" s="100">
        <v>743087</v>
      </c>
      <c r="B271" s="100" t="s">
        <v>465</v>
      </c>
      <c r="C271" s="100" t="s">
        <v>190</v>
      </c>
      <c r="D271" s="102" t="s">
        <v>62</v>
      </c>
      <c r="E271" s="130"/>
      <c r="F271" s="100"/>
      <c r="G271" s="100"/>
      <c r="H271" s="100"/>
      <c r="I271" s="100"/>
      <c r="J271" s="100"/>
      <c r="K271" s="100"/>
      <c r="L271" s="100"/>
      <c r="M271" s="100"/>
      <c r="N271" s="130"/>
      <c r="O271" s="127"/>
      <c r="P271" s="131"/>
      <c r="Q271" s="127"/>
      <c r="R271" s="131"/>
      <c r="S271" s="128">
        <f t="shared" si="6"/>
        <v>0</v>
      </c>
      <c r="T271" s="101">
        <v>20.9</v>
      </c>
      <c r="U271" s="101">
        <v>45.9</v>
      </c>
      <c r="V271" s="129">
        <f t="shared" si="7"/>
        <v>0</v>
      </c>
    </row>
    <row r="272" spans="1:22" ht="15" hidden="1" customHeight="1" x14ac:dyDescent="0.25">
      <c r="A272" s="100">
        <v>743087</v>
      </c>
      <c r="B272" s="100" t="s">
        <v>466</v>
      </c>
      <c r="C272" s="100" t="s">
        <v>455</v>
      </c>
      <c r="D272" s="102" t="s">
        <v>62</v>
      </c>
      <c r="E272" s="130"/>
      <c r="F272" s="100"/>
      <c r="G272" s="100"/>
      <c r="H272" s="100"/>
      <c r="I272" s="100"/>
      <c r="J272" s="100"/>
      <c r="K272" s="100"/>
      <c r="L272" s="100"/>
      <c r="M272" s="100"/>
      <c r="N272" s="130"/>
      <c r="O272" s="127"/>
      <c r="P272" s="131"/>
      <c r="Q272" s="127"/>
      <c r="R272" s="131"/>
      <c r="S272" s="128">
        <f t="shared" si="6"/>
        <v>0</v>
      </c>
      <c r="T272" s="101">
        <v>20.9</v>
      </c>
      <c r="U272" s="101">
        <v>45.9</v>
      </c>
      <c r="V272" s="129">
        <f t="shared" si="7"/>
        <v>0</v>
      </c>
    </row>
    <row r="273" spans="1:22" ht="15" hidden="1" customHeight="1" x14ac:dyDescent="0.25">
      <c r="A273" s="100">
        <v>743091</v>
      </c>
      <c r="B273" s="100" t="s">
        <v>208</v>
      </c>
      <c r="C273" s="100" t="s">
        <v>430</v>
      </c>
      <c r="D273" s="102" t="s">
        <v>62</v>
      </c>
      <c r="E273" s="130"/>
      <c r="F273" s="100"/>
      <c r="G273" s="100"/>
      <c r="H273" s="100"/>
      <c r="I273" s="100"/>
      <c r="J273" s="100"/>
      <c r="K273" s="100"/>
      <c r="L273" s="100"/>
      <c r="M273" s="100"/>
      <c r="N273" s="130"/>
      <c r="O273" s="127"/>
      <c r="P273" s="131"/>
      <c r="Q273" s="127"/>
      <c r="R273" s="131"/>
      <c r="S273" s="128">
        <f t="shared" si="6"/>
        <v>0</v>
      </c>
      <c r="T273" s="101">
        <v>20.9</v>
      </c>
      <c r="U273" s="101">
        <v>45.9</v>
      </c>
      <c r="V273" s="129">
        <f t="shared" si="7"/>
        <v>0</v>
      </c>
    </row>
    <row r="274" spans="1:22" ht="15" hidden="1" customHeight="1" x14ac:dyDescent="0.25">
      <c r="A274" s="100">
        <v>743091</v>
      </c>
      <c r="B274" s="100" t="s">
        <v>467</v>
      </c>
      <c r="C274" s="100" t="s">
        <v>185</v>
      </c>
      <c r="D274" s="102" t="s">
        <v>62</v>
      </c>
      <c r="E274" s="130"/>
      <c r="F274" s="100"/>
      <c r="G274" s="100"/>
      <c r="H274" s="100"/>
      <c r="I274" s="100"/>
      <c r="J274" s="100"/>
      <c r="K274" s="100"/>
      <c r="L274" s="100"/>
      <c r="M274" s="100"/>
      <c r="N274" s="130"/>
      <c r="O274" s="127"/>
      <c r="P274" s="131"/>
      <c r="Q274" s="127"/>
      <c r="R274" s="131"/>
      <c r="S274" s="128">
        <f t="shared" ref="S274:S337" si="8">SUM(E274:R274)</f>
        <v>0</v>
      </c>
      <c r="T274" s="101">
        <v>20.9</v>
      </c>
      <c r="U274" s="101">
        <v>45.9</v>
      </c>
      <c r="V274" s="129">
        <f t="shared" ref="V274:V337" si="9">S274*T274</f>
        <v>0</v>
      </c>
    </row>
    <row r="275" spans="1:22" ht="15" hidden="1" customHeight="1" x14ac:dyDescent="0.25">
      <c r="A275" s="100">
        <v>743093</v>
      </c>
      <c r="B275" s="100" t="s">
        <v>209</v>
      </c>
      <c r="C275" s="100" t="s">
        <v>408</v>
      </c>
      <c r="D275" s="102" t="s">
        <v>62</v>
      </c>
      <c r="E275" s="130"/>
      <c r="F275" s="100"/>
      <c r="G275" s="100"/>
      <c r="H275" s="100"/>
      <c r="I275" s="100"/>
      <c r="J275" s="100"/>
      <c r="K275" s="100"/>
      <c r="L275" s="100"/>
      <c r="M275" s="100"/>
      <c r="N275" s="130"/>
      <c r="O275" s="127"/>
      <c r="P275" s="131"/>
      <c r="Q275" s="127"/>
      <c r="R275" s="131"/>
      <c r="S275" s="128">
        <f t="shared" si="8"/>
        <v>0</v>
      </c>
      <c r="T275" s="101">
        <v>20</v>
      </c>
      <c r="U275" s="101">
        <v>43.9</v>
      </c>
      <c r="V275" s="129">
        <f t="shared" si="9"/>
        <v>0</v>
      </c>
    </row>
    <row r="276" spans="1:22" ht="15" hidden="1" customHeight="1" x14ac:dyDescent="0.25">
      <c r="A276" s="100">
        <v>743093</v>
      </c>
      <c r="B276" s="100" t="s">
        <v>468</v>
      </c>
      <c r="C276" s="100" t="s">
        <v>373</v>
      </c>
      <c r="D276" s="102" t="s">
        <v>62</v>
      </c>
      <c r="E276" s="130"/>
      <c r="F276" s="100"/>
      <c r="G276" s="100"/>
      <c r="H276" s="100"/>
      <c r="I276" s="100"/>
      <c r="J276" s="100"/>
      <c r="K276" s="100"/>
      <c r="L276" s="100"/>
      <c r="M276" s="100"/>
      <c r="N276" s="130"/>
      <c r="O276" s="127"/>
      <c r="P276" s="131"/>
      <c r="Q276" s="127"/>
      <c r="R276" s="131"/>
      <c r="S276" s="128">
        <f t="shared" si="8"/>
        <v>0</v>
      </c>
      <c r="T276" s="101">
        <v>20</v>
      </c>
      <c r="U276" s="101">
        <v>43.9</v>
      </c>
      <c r="V276" s="129">
        <f t="shared" si="9"/>
        <v>0</v>
      </c>
    </row>
    <row r="277" spans="1:22" ht="15" hidden="1" customHeight="1" x14ac:dyDescent="0.25">
      <c r="A277" s="100">
        <v>743093</v>
      </c>
      <c r="B277" s="100" t="s">
        <v>469</v>
      </c>
      <c r="C277" s="100" t="s">
        <v>201</v>
      </c>
      <c r="D277" s="102" t="s">
        <v>62</v>
      </c>
      <c r="E277" s="130"/>
      <c r="F277" s="100"/>
      <c r="G277" s="100"/>
      <c r="H277" s="100"/>
      <c r="I277" s="100"/>
      <c r="J277" s="100"/>
      <c r="K277" s="100"/>
      <c r="L277" s="100"/>
      <c r="M277" s="100"/>
      <c r="N277" s="130"/>
      <c r="O277" s="127"/>
      <c r="P277" s="131"/>
      <c r="Q277" s="127"/>
      <c r="R277" s="131"/>
      <c r="S277" s="128">
        <f t="shared" si="8"/>
        <v>0</v>
      </c>
      <c r="T277" s="101">
        <v>20</v>
      </c>
      <c r="U277" s="101">
        <v>43.9</v>
      </c>
      <c r="V277" s="129">
        <f t="shared" si="9"/>
        <v>0</v>
      </c>
    </row>
    <row r="278" spans="1:22" ht="15" hidden="1" customHeight="1" x14ac:dyDescent="0.25">
      <c r="A278" s="100">
        <v>743093</v>
      </c>
      <c r="B278" s="100" t="s">
        <v>470</v>
      </c>
      <c r="C278" s="100" t="s">
        <v>190</v>
      </c>
      <c r="D278" s="102" t="s">
        <v>62</v>
      </c>
      <c r="E278" s="130"/>
      <c r="F278" s="100"/>
      <c r="G278" s="100"/>
      <c r="H278" s="100"/>
      <c r="I278" s="100"/>
      <c r="J278" s="100"/>
      <c r="K278" s="100"/>
      <c r="L278" s="100"/>
      <c r="M278" s="100"/>
      <c r="N278" s="130"/>
      <c r="O278" s="127"/>
      <c r="P278" s="131"/>
      <c r="Q278" s="127"/>
      <c r="R278" s="131"/>
      <c r="S278" s="128">
        <f t="shared" si="8"/>
        <v>0</v>
      </c>
      <c r="T278" s="101">
        <v>20</v>
      </c>
      <c r="U278" s="101">
        <v>43.9</v>
      </c>
      <c r="V278" s="129">
        <f t="shared" si="9"/>
        <v>0</v>
      </c>
    </row>
    <row r="279" spans="1:22" ht="15" hidden="1" customHeight="1" x14ac:dyDescent="0.25">
      <c r="A279" s="100">
        <v>743093</v>
      </c>
      <c r="B279" s="100" t="s">
        <v>471</v>
      </c>
      <c r="C279" s="100" t="s">
        <v>455</v>
      </c>
      <c r="D279" s="102" t="s">
        <v>62</v>
      </c>
      <c r="E279" s="130"/>
      <c r="F279" s="100"/>
      <c r="G279" s="100"/>
      <c r="H279" s="100"/>
      <c r="I279" s="100"/>
      <c r="J279" s="100"/>
      <c r="K279" s="100"/>
      <c r="L279" s="100"/>
      <c r="M279" s="100"/>
      <c r="N279" s="130"/>
      <c r="O279" s="127"/>
      <c r="P279" s="131"/>
      <c r="Q279" s="127"/>
      <c r="R279" s="131"/>
      <c r="S279" s="128">
        <f t="shared" si="8"/>
        <v>0</v>
      </c>
      <c r="T279" s="101">
        <v>20</v>
      </c>
      <c r="U279" s="101">
        <v>43.9</v>
      </c>
      <c r="V279" s="129">
        <f t="shared" si="9"/>
        <v>0</v>
      </c>
    </row>
    <row r="280" spans="1:22" ht="15" customHeight="1" x14ac:dyDescent="0.25">
      <c r="A280" s="100">
        <v>743097</v>
      </c>
      <c r="B280" s="100" t="s">
        <v>210</v>
      </c>
      <c r="C280" s="100" t="s">
        <v>430</v>
      </c>
      <c r="D280" s="102" t="s">
        <v>62</v>
      </c>
      <c r="E280" s="133"/>
      <c r="F280" s="133"/>
      <c r="G280" s="128">
        <v>1</v>
      </c>
      <c r="H280" s="128">
        <v>1</v>
      </c>
      <c r="I280" s="128">
        <v>1</v>
      </c>
      <c r="J280" s="128">
        <v>1</v>
      </c>
      <c r="K280" s="128">
        <v>1</v>
      </c>
      <c r="L280" s="128"/>
      <c r="M280" s="128">
        <v>1</v>
      </c>
      <c r="N280" s="133"/>
      <c r="O280" s="128"/>
      <c r="P280" s="133"/>
      <c r="Q280" s="128"/>
      <c r="R280" s="128"/>
      <c r="S280" s="128">
        <f t="shared" si="8"/>
        <v>6</v>
      </c>
      <c r="T280" s="101">
        <v>31.8</v>
      </c>
      <c r="U280" s="101">
        <v>69.900000000000006</v>
      </c>
      <c r="V280" s="129">
        <f t="shared" si="9"/>
        <v>190.8</v>
      </c>
    </row>
    <row r="281" spans="1:22" ht="15" customHeight="1" x14ac:dyDescent="0.25">
      <c r="A281" s="100">
        <v>743097</v>
      </c>
      <c r="B281" s="100" t="s">
        <v>472</v>
      </c>
      <c r="C281" s="100" t="s">
        <v>185</v>
      </c>
      <c r="D281" s="102" t="s">
        <v>62</v>
      </c>
      <c r="E281" s="133"/>
      <c r="F281" s="133"/>
      <c r="G281" s="128">
        <v>1</v>
      </c>
      <c r="H281" s="128">
        <v>1</v>
      </c>
      <c r="I281" s="128">
        <v>1</v>
      </c>
      <c r="J281" s="128">
        <v>1</v>
      </c>
      <c r="K281" s="128">
        <v>1</v>
      </c>
      <c r="L281" s="128"/>
      <c r="M281" s="128">
        <v>1</v>
      </c>
      <c r="N281" s="133"/>
      <c r="O281" s="128"/>
      <c r="P281" s="133"/>
      <c r="Q281" s="128"/>
      <c r="R281" s="128"/>
      <c r="S281" s="128">
        <f t="shared" si="8"/>
        <v>6</v>
      </c>
      <c r="T281" s="101">
        <v>31.8</v>
      </c>
      <c r="U281" s="101">
        <v>69.900000000000006</v>
      </c>
      <c r="V281" s="129">
        <f t="shared" si="9"/>
        <v>190.8</v>
      </c>
    </row>
    <row r="282" spans="1:22" ht="15" hidden="1" customHeight="1" x14ac:dyDescent="0.25">
      <c r="A282" s="100">
        <v>743097</v>
      </c>
      <c r="B282" s="100" t="s">
        <v>473</v>
      </c>
      <c r="C282" s="100" t="s">
        <v>201</v>
      </c>
      <c r="D282" s="102" t="s">
        <v>62</v>
      </c>
      <c r="E282" s="130"/>
      <c r="F282" s="130"/>
      <c r="G282" s="100"/>
      <c r="H282" s="100"/>
      <c r="I282" s="100"/>
      <c r="J282" s="100"/>
      <c r="K282" s="100"/>
      <c r="L282" s="100"/>
      <c r="M282" s="100"/>
      <c r="N282" s="130"/>
      <c r="O282" s="127"/>
      <c r="P282" s="131"/>
      <c r="Q282" s="127"/>
      <c r="R282" s="127"/>
      <c r="S282" s="128">
        <f t="shared" si="8"/>
        <v>0</v>
      </c>
      <c r="T282" s="101">
        <v>31.8</v>
      </c>
      <c r="U282" s="101">
        <v>69.900000000000006</v>
      </c>
      <c r="V282" s="129">
        <f t="shared" si="9"/>
        <v>0</v>
      </c>
    </row>
    <row r="283" spans="1:22" ht="15" hidden="1" customHeight="1" x14ac:dyDescent="0.25">
      <c r="A283" s="100">
        <v>743097</v>
      </c>
      <c r="B283" s="100" t="s">
        <v>474</v>
      </c>
      <c r="C283" s="100" t="s">
        <v>190</v>
      </c>
      <c r="D283" s="102" t="s">
        <v>62</v>
      </c>
      <c r="E283" s="130"/>
      <c r="F283" s="130"/>
      <c r="G283" s="100"/>
      <c r="H283" s="100"/>
      <c r="I283" s="100"/>
      <c r="J283" s="100"/>
      <c r="K283" s="100"/>
      <c r="L283" s="100"/>
      <c r="M283" s="100"/>
      <c r="N283" s="130"/>
      <c r="O283" s="127"/>
      <c r="P283" s="131"/>
      <c r="Q283" s="127"/>
      <c r="R283" s="127"/>
      <c r="S283" s="128">
        <f t="shared" si="8"/>
        <v>0</v>
      </c>
      <c r="T283" s="101">
        <v>31.8</v>
      </c>
      <c r="U283" s="101">
        <v>69.900000000000006</v>
      </c>
      <c r="V283" s="129">
        <f t="shared" si="9"/>
        <v>0</v>
      </c>
    </row>
    <row r="284" spans="1:22" ht="15" hidden="1" customHeight="1" x14ac:dyDescent="0.25">
      <c r="A284" s="100">
        <v>743097</v>
      </c>
      <c r="B284" s="100" t="s">
        <v>475</v>
      </c>
      <c r="C284" s="100" t="s">
        <v>455</v>
      </c>
      <c r="D284" s="102" t="s">
        <v>62</v>
      </c>
      <c r="E284" s="130"/>
      <c r="F284" s="130"/>
      <c r="G284" s="100"/>
      <c r="H284" s="100"/>
      <c r="I284" s="100"/>
      <c r="J284" s="100"/>
      <c r="K284" s="100"/>
      <c r="L284" s="100"/>
      <c r="M284" s="100"/>
      <c r="N284" s="130"/>
      <c r="O284" s="127"/>
      <c r="P284" s="131"/>
      <c r="Q284" s="127"/>
      <c r="R284" s="127"/>
      <c r="S284" s="128">
        <f t="shared" si="8"/>
        <v>0</v>
      </c>
      <c r="T284" s="101">
        <v>31.8</v>
      </c>
      <c r="U284" s="101">
        <v>69.900000000000006</v>
      </c>
      <c r="V284" s="129">
        <f t="shared" si="9"/>
        <v>0</v>
      </c>
    </row>
    <row r="285" spans="1:22" ht="15" hidden="1" customHeight="1" x14ac:dyDescent="0.25">
      <c r="A285" s="100">
        <v>743098</v>
      </c>
      <c r="B285" s="100" t="s">
        <v>211</v>
      </c>
      <c r="C285" s="100" t="s">
        <v>185</v>
      </c>
      <c r="D285" s="102" t="s">
        <v>62</v>
      </c>
      <c r="E285" s="130"/>
      <c r="F285" s="100"/>
      <c r="G285" s="100"/>
      <c r="H285" s="100"/>
      <c r="I285" s="100"/>
      <c r="J285" s="100"/>
      <c r="K285" s="100"/>
      <c r="L285" s="100"/>
      <c r="M285" s="100"/>
      <c r="N285" s="130"/>
      <c r="O285" s="127"/>
      <c r="P285" s="131"/>
      <c r="Q285" s="127"/>
      <c r="R285" s="127"/>
      <c r="S285" s="128">
        <f t="shared" si="8"/>
        <v>0</v>
      </c>
      <c r="T285" s="101">
        <v>36.4</v>
      </c>
      <c r="U285" s="101">
        <v>79.900000000000006</v>
      </c>
      <c r="V285" s="129">
        <f t="shared" si="9"/>
        <v>0</v>
      </c>
    </row>
    <row r="286" spans="1:22" ht="15" hidden="1" customHeight="1" x14ac:dyDescent="0.25">
      <c r="A286" s="100">
        <v>743098</v>
      </c>
      <c r="B286" s="100" t="s">
        <v>476</v>
      </c>
      <c r="C286" s="100" t="s">
        <v>201</v>
      </c>
      <c r="D286" s="102" t="s">
        <v>62</v>
      </c>
      <c r="E286" s="130"/>
      <c r="F286" s="100"/>
      <c r="G286" s="100"/>
      <c r="H286" s="100"/>
      <c r="I286" s="100"/>
      <c r="J286" s="100"/>
      <c r="K286" s="100"/>
      <c r="L286" s="100"/>
      <c r="M286" s="100"/>
      <c r="N286" s="130"/>
      <c r="O286" s="127"/>
      <c r="P286" s="131"/>
      <c r="Q286" s="127"/>
      <c r="R286" s="127"/>
      <c r="S286" s="128">
        <f t="shared" si="8"/>
        <v>0</v>
      </c>
      <c r="T286" s="101">
        <v>36.4</v>
      </c>
      <c r="U286" s="101">
        <v>79.900000000000006</v>
      </c>
      <c r="V286" s="129">
        <f t="shared" si="9"/>
        <v>0</v>
      </c>
    </row>
    <row r="287" spans="1:22" ht="15" hidden="1" customHeight="1" x14ac:dyDescent="0.25">
      <c r="A287" s="100">
        <v>743103</v>
      </c>
      <c r="B287" s="100" t="s">
        <v>212</v>
      </c>
      <c r="C287" s="100" t="s">
        <v>190</v>
      </c>
      <c r="D287" s="102" t="s">
        <v>62</v>
      </c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27"/>
      <c r="P287" s="127"/>
      <c r="Q287" s="127"/>
      <c r="R287" s="131"/>
      <c r="S287" s="128">
        <f t="shared" si="8"/>
        <v>0</v>
      </c>
      <c r="T287" s="101">
        <v>20.9</v>
      </c>
      <c r="U287" s="101">
        <v>45.9</v>
      </c>
      <c r="V287" s="129">
        <f t="shared" si="9"/>
        <v>0</v>
      </c>
    </row>
    <row r="288" spans="1:22" ht="15" hidden="1" customHeight="1" x14ac:dyDescent="0.25">
      <c r="A288" s="100">
        <v>743105</v>
      </c>
      <c r="B288" s="100" t="s">
        <v>213</v>
      </c>
      <c r="C288" s="100" t="s">
        <v>185</v>
      </c>
      <c r="D288" s="102" t="s">
        <v>62</v>
      </c>
      <c r="E288" s="130"/>
      <c r="F288" s="100"/>
      <c r="G288" s="100"/>
      <c r="H288" s="100"/>
      <c r="I288" s="100"/>
      <c r="J288" s="100"/>
      <c r="K288" s="100"/>
      <c r="L288" s="100"/>
      <c r="M288" s="100"/>
      <c r="N288" s="130"/>
      <c r="O288" s="127"/>
      <c r="P288" s="131"/>
      <c r="Q288" s="131"/>
      <c r="R288" s="131"/>
      <c r="S288" s="128">
        <f t="shared" si="8"/>
        <v>0</v>
      </c>
      <c r="T288" s="101">
        <v>27.4</v>
      </c>
      <c r="U288" s="101">
        <v>59.9</v>
      </c>
      <c r="V288" s="129">
        <f t="shared" si="9"/>
        <v>0</v>
      </c>
    </row>
    <row r="289" spans="1:22" ht="15" hidden="1" customHeight="1" x14ac:dyDescent="0.25">
      <c r="A289" s="100">
        <v>743105</v>
      </c>
      <c r="B289" s="100" t="s">
        <v>477</v>
      </c>
      <c r="C289" s="100" t="s">
        <v>85</v>
      </c>
      <c r="D289" s="102" t="s">
        <v>62</v>
      </c>
      <c r="E289" s="130"/>
      <c r="F289" s="100"/>
      <c r="G289" s="100"/>
      <c r="H289" s="100"/>
      <c r="I289" s="100"/>
      <c r="J289" s="100"/>
      <c r="K289" s="100"/>
      <c r="L289" s="100"/>
      <c r="M289" s="100"/>
      <c r="N289" s="130"/>
      <c r="O289" s="127"/>
      <c r="P289" s="131"/>
      <c r="Q289" s="131"/>
      <c r="R289" s="131"/>
      <c r="S289" s="128">
        <f t="shared" si="8"/>
        <v>0</v>
      </c>
      <c r="T289" s="101">
        <v>27.4</v>
      </c>
      <c r="U289" s="101">
        <v>59.9</v>
      </c>
      <c r="V289" s="129">
        <f t="shared" si="9"/>
        <v>0</v>
      </c>
    </row>
    <row r="290" spans="1:22" ht="15" hidden="1" customHeight="1" x14ac:dyDescent="0.25">
      <c r="A290" s="100">
        <v>743107</v>
      </c>
      <c r="B290" s="100" t="s">
        <v>91</v>
      </c>
      <c r="C290" s="100" t="s">
        <v>201</v>
      </c>
      <c r="D290" s="102" t="s">
        <v>62</v>
      </c>
      <c r="E290" s="130"/>
      <c r="F290" s="100"/>
      <c r="G290" s="100"/>
      <c r="H290" s="100"/>
      <c r="I290" s="100"/>
      <c r="J290" s="100"/>
      <c r="K290" s="100"/>
      <c r="L290" s="100"/>
      <c r="M290" s="100"/>
      <c r="N290" s="100"/>
      <c r="O290" s="127"/>
      <c r="P290" s="127"/>
      <c r="Q290" s="127"/>
      <c r="R290" s="127"/>
      <c r="S290" s="128">
        <f t="shared" si="8"/>
        <v>0</v>
      </c>
      <c r="T290" s="101">
        <v>31.8</v>
      </c>
      <c r="U290" s="101">
        <v>69.900000000000006</v>
      </c>
      <c r="V290" s="129">
        <f t="shared" si="9"/>
        <v>0</v>
      </c>
    </row>
    <row r="291" spans="1:22" ht="15" hidden="1" customHeight="1" x14ac:dyDescent="0.25">
      <c r="A291" s="100">
        <v>743107</v>
      </c>
      <c r="B291" s="100" t="s">
        <v>478</v>
      </c>
      <c r="C291" s="100" t="s">
        <v>455</v>
      </c>
      <c r="D291" s="102" t="s">
        <v>62</v>
      </c>
      <c r="E291" s="130"/>
      <c r="F291" s="100"/>
      <c r="G291" s="100"/>
      <c r="H291" s="100"/>
      <c r="I291" s="100"/>
      <c r="J291" s="100"/>
      <c r="K291" s="100"/>
      <c r="L291" s="100"/>
      <c r="M291" s="100"/>
      <c r="N291" s="100"/>
      <c r="O291" s="127"/>
      <c r="P291" s="127"/>
      <c r="Q291" s="127"/>
      <c r="R291" s="127"/>
      <c r="S291" s="128">
        <f t="shared" si="8"/>
        <v>0</v>
      </c>
      <c r="T291" s="101">
        <v>31.8</v>
      </c>
      <c r="U291" s="101">
        <v>69.900000000000006</v>
      </c>
      <c r="V291" s="129">
        <f t="shared" si="9"/>
        <v>0</v>
      </c>
    </row>
    <row r="292" spans="1:22" ht="15" hidden="1" customHeight="1" x14ac:dyDescent="0.25">
      <c r="A292" s="100">
        <v>743109</v>
      </c>
      <c r="B292" s="100" t="s">
        <v>214</v>
      </c>
      <c r="C292" s="100" t="s">
        <v>448</v>
      </c>
      <c r="D292" s="102" t="s">
        <v>62</v>
      </c>
      <c r="E292" s="130"/>
      <c r="F292" s="100"/>
      <c r="G292" s="100"/>
      <c r="H292" s="100"/>
      <c r="I292" s="100"/>
      <c r="J292" s="100"/>
      <c r="K292" s="100"/>
      <c r="L292" s="100"/>
      <c r="M292" s="100"/>
      <c r="N292" s="100"/>
      <c r="O292" s="127"/>
      <c r="P292" s="127"/>
      <c r="Q292" s="127"/>
      <c r="R292" s="127"/>
      <c r="S292" s="128">
        <f t="shared" si="8"/>
        <v>0</v>
      </c>
      <c r="T292" s="101">
        <v>31.8</v>
      </c>
      <c r="U292" s="101">
        <v>69.900000000000006</v>
      </c>
      <c r="V292" s="129">
        <f t="shared" si="9"/>
        <v>0</v>
      </c>
    </row>
    <row r="293" spans="1:22" ht="15" customHeight="1" x14ac:dyDescent="0.25">
      <c r="A293" s="100">
        <v>743109</v>
      </c>
      <c r="B293" s="100" t="s">
        <v>479</v>
      </c>
      <c r="C293" s="100" t="s">
        <v>451</v>
      </c>
      <c r="D293" s="102" t="s">
        <v>62</v>
      </c>
      <c r="E293" s="133"/>
      <c r="F293" s="128">
        <v>1</v>
      </c>
      <c r="G293" s="128">
        <v>1</v>
      </c>
      <c r="H293" s="128">
        <v>1</v>
      </c>
      <c r="I293" s="128">
        <v>1</v>
      </c>
      <c r="J293" s="128">
        <v>1</v>
      </c>
      <c r="K293" s="128">
        <v>1</v>
      </c>
      <c r="L293" s="128"/>
      <c r="M293" s="128">
        <v>1</v>
      </c>
      <c r="N293" s="128"/>
      <c r="O293" s="128"/>
      <c r="P293" s="128"/>
      <c r="Q293" s="128"/>
      <c r="R293" s="128"/>
      <c r="S293" s="128">
        <f t="shared" si="8"/>
        <v>7</v>
      </c>
      <c r="T293" s="101">
        <v>31.8</v>
      </c>
      <c r="U293" s="101">
        <v>69.900000000000006</v>
      </c>
      <c r="V293" s="129">
        <f t="shared" si="9"/>
        <v>222.6</v>
      </c>
    </row>
    <row r="294" spans="1:22" ht="15" hidden="1" customHeight="1" x14ac:dyDescent="0.25">
      <c r="A294" s="100">
        <v>743109</v>
      </c>
      <c r="B294" s="100" t="s">
        <v>480</v>
      </c>
      <c r="C294" s="100" t="s">
        <v>185</v>
      </c>
      <c r="D294" s="102" t="s">
        <v>62</v>
      </c>
      <c r="E294" s="130"/>
      <c r="F294" s="100"/>
      <c r="G294" s="100"/>
      <c r="H294" s="100"/>
      <c r="I294" s="100"/>
      <c r="J294" s="100"/>
      <c r="K294" s="100"/>
      <c r="L294" s="100"/>
      <c r="M294" s="100"/>
      <c r="N294" s="100"/>
      <c r="O294" s="127"/>
      <c r="P294" s="127"/>
      <c r="Q294" s="127"/>
      <c r="R294" s="127"/>
      <c r="S294" s="128">
        <f t="shared" si="8"/>
        <v>0</v>
      </c>
      <c r="T294" s="101">
        <v>31.8</v>
      </c>
      <c r="U294" s="101">
        <v>69.900000000000006</v>
      </c>
      <c r="V294" s="129">
        <f t="shared" si="9"/>
        <v>0</v>
      </c>
    </row>
    <row r="295" spans="1:22" ht="15" hidden="1" customHeight="1" x14ac:dyDescent="0.25">
      <c r="A295" s="100">
        <v>743109</v>
      </c>
      <c r="B295" s="100" t="s">
        <v>481</v>
      </c>
      <c r="C295" s="100" t="s">
        <v>201</v>
      </c>
      <c r="D295" s="102" t="s">
        <v>62</v>
      </c>
      <c r="E295" s="130"/>
      <c r="F295" s="100"/>
      <c r="G295" s="100"/>
      <c r="H295" s="100"/>
      <c r="I295" s="100"/>
      <c r="J295" s="100"/>
      <c r="K295" s="100"/>
      <c r="L295" s="100"/>
      <c r="M295" s="100"/>
      <c r="N295" s="100"/>
      <c r="O295" s="127"/>
      <c r="P295" s="127"/>
      <c r="Q295" s="127"/>
      <c r="R295" s="127"/>
      <c r="S295" s="128">
        <f t="shared" si="8"/>
        <v>0</v>
      </c>
      <c r="T295" s="101">
        <v>31.8</v>
      </c>
      <c r="U295" s="101">
        <v>69.900000000000006</v>
      </c>
      <c r="V295" s="129">
        <f t="shared" si="9"/>
        <v>0</v>
      </c>
    </row>
    <row r="296" spans="1:22" ht="15" customHeight="1" x14ac:dyDescent="0.25">
      <c r="A296" s="100">
        <v>743109</v>
      </c>
      <c r="B296" s="100" t="s">
        <v>482</v>
      </c>
      <c r="C296" s="100" t="s">
        <v>190</v>
      </c>
      <c r="D296" s="102" t="s">
        <v>62</v>
      </c>
      <c r="E296" s="133"/>
      <c r="F296" s="128">
        <v>1</v>
      </c>
      <c r="G296" s="128">
        <v>1</v>
      </c>
      <c r="H296" s="128">
        <v>1</v>
      </c>
      <c r="I296" s="128">
        <v>1</v>
      </c>
      <c r="J296" s="128"/>
      <c r="K296" s="128"/>
      <c r="L296" s="128"/>
      <c r="M296" s="128"/>
      <c r="N296" s="128"/>
      <c r="O296" s="128"/>
      <c r="P296" s="128"/>
      <c r="Q296" s="128"/>
      <c r="R296" s="128"/>
      <c r="S296" s="128">
        <f t="shared" si="8"/>
        <v>4</v>
      </c>
      <c r="T296" s="101">
        <v>31.8</v>
      </c>
      <c r="U296" s="101">
        <v>69.900000000000006</v>
      </c>
      <c r="V296" s="129">
        <f t="shared" si="9"/>
        <v>127.2</v>
      </c>
    </row>
    <row r="297" spans="1:22" ht="15" hidden="1" customHeight="1" x14ac:dyDescent="0.25">
      <c r="A297" s="100">
        <v>743109</v>
      </c>
      <c r="B297" s="100" t="s">
        <v>483</v>
      </c>
      <c r="C297" s="100" t="s">
        <v>85</v>
      </c>
      <c r="D297" s="102" t="s">
        <v>62</v>
      </c>
      <c r="E297" s="130"/>
      <c r="F297" s="100"/>
      <c r="G297" s="100"/>
      <c r="H297" s="100"/>
      <c r="I297" s="100"/>
      <c r="J297" s="100"/>
      <c r="K297" s="100"/>
      <c r="L297" s="100"/>
      <c r="M297" s="100"/>
      <c r="N297" s="100"/>
      <c r="O297" s="127"/>
      <c r="P297" s="127"/>
      <c r="Q297" s="127"/>
      <c r="R297" s="127"/>
      <c r="S297" s="128">
        <f t="shared" si="8"/>
        <v>0</v>
      </c>
      <c r="T297" s="101">
        <v>31.8</v>
      </c>
      <c r="U297" s="101">
        <v>69.900000000000006</v>
      </c>
      <c r="V297" s="129">
        <f t="shared" si="9"/>
        <v>0</v>
      </c>
    </row>
    <row r="298" spans="1:22" ht="15" hidden="1" customHeight="1" x14ac:dyDescent="0.25">
      <c r="A298" s="100">
        <v>743111</v>
      </c>
      <c r="B298" s="100" t="s">
        <v>215</v>
      </c>
      <c r="C298" s="100" t="s">
        <v>448</v>
      </c>
      <c r="D298" s="102" t="s">
        <v>62</v>
      </c>
      <c r="E298" s="130"/>
      <c r="F298" s="100"/>
      <c r="G298" s="100"/>
      <c r="H298" s="100"/>
      <c r="I298" s="100"/>
      <c r="J298" s="100"/>
      <c r="K298" s="100"/>
      <c r="L298" s="100"/>
      <c r="M298" s="100"/>
      <c r="N298" s="100"/>
      <c r="O298" s="127"/>
      <c r="P298" s="127"/>
      <c r="Q298" s="127"/>
      <c r="R298" s="127"/>
      <c r="S298" s="128">
        <f t="shared" si="8"/>
        <v>0</v>
      </c>
      <c r="T298" s="101">
        <v>27.4</v>
      </c>
      <c r="U298" s="101">
        <v>59.9</v>
      </c>
      <c r="V298" s="129">
        <f t="shared" si="9"/>
        <v>0</v>
      </c>
    </row>
    <row r="299" spans="1:22" ht="15" hidden="1" customHeight="1" x14ac:dyDescent="0.25">
      <c r="A299" s="100">
        <v>743111</v>
      </c>
      <c r="B299" s="100" t="s">
        <v>484</v>
      </c>
      <c r="C299" s="100" t="s">
        <v>190</v>
      </c>
      <c r="D299" s="102" t="s">
        <v>62</v>
      </c>
      <c r="E299" s="130"/>
      <c r="F299" s="100"/>
      <c r="G299" s="100"/>
      <c r="H299" s="100"/>
      <c r="I299" s="100"/>
      <c r="J299" s="100"/>
      <c r="K299" s="100"/>
      <c r="L299" s="100"/>
      <c r="M299" s="100"/>
      <c r="N299" s="100"/>
      <c r="O299" s="127"/>
      <c r="P299" s="127"/>
      <c r="Q299" s="127"/>
      <c r="R299" s="127"/>
      <c r="S299" s="128">
        <f t="shared" si="8"/>
        <v>0</v>
      </c>
      <c r="T299" s="101">
        <v>27.4</v>
      </c>
      <c r="U299" s="101">
        <v>59.9</v>
      </c>
      <c r="V299" s="129">
        <f t="shared" si="9"/>
        <v>0</v>
      </c>
    </row>
    <row r="300" spans="1:22" ht="15" hidden="1" customHeight="1" x14ac:dyDescent="0.25">
      <c r="A300" s="100">
        <v>743113</v>
      </c>
      <c r="B300" s="100" t="s">
        <v>216</v>
      </c>
      <c r="C300" s="100" t="s">
        <v>448</v>
      </c>
      <c r="D300" s="102" t="s">
        <v>62</v>
      </c>
      <c r="E300" s="130"/>
      <c r="F300" s="100"/>
      <c r="G300" s="100"/>
      <c r="H300" s="100"/>
      <c r="I300" s="100"/>
      <c r="J300" s="100"/>
      <c r="K300" s="100"/>
      <c r="L300" s="100"/>
      <c r="M300" s="100"/>
      <c r="N300" s="100"/>
      <c r="O300" s="127"/>
      <c r="P300" s="127"/>
      <c r="Q300" s="127"/>
      <c r="R300" s="127"/>
      <c r="S300" s="128">
        <f t="shared" si="8"/>
        <v>0</v>
      </c>
      <c r="T300" s="101">
        <v>22.7</v>
      </c>
      <c r="U300" s="101">
        <v>49.9</v>
      </c>
      <c r="V300" s="129">
        <f t="shared" si="9"/>
        <v>0</v>
      </c>
    </row>
    <row r="301" spans="1:22" ht="15" hidden="1" customHeight="1" x14ac:dyDescent="0.25">
      <c r="A301" s="100">
        <v>743113</v>
      </c>
      <c r="B301" s="100" t="s">
        <v>485</v>
      </c>
      <c r="C301" s="100" t="s">
        <v>455</v>
      </c>
      <c r="D301" s="102" t="s">
        <v>62</v>
      </c>
      <c r="E301" s="130"/>
      <c r="F301" s="100"/>
      <c r="G301" s="100"/>
      <c r="H301" s="100"/>
      <c r="I301" s="100"/>
      <c r="J301" s="100"/>
      <c r="K301" s="100"/>
      <c r="L301" s="100"/>
      <c r="M301" s="100"/>
      <c r="N301" s="100"/>
      <c r="O301" s="127"/>
      <c r="P301" s="127"/>
      <c r="Q301" s="127"/>
      <c r="R301" s="127"/>
      <c r="S301" s="128">
        <f t="shared" si="8"/>
        <v>0</v>
      </c>
      <c r="T301" s="101">
        <v>22.7</v>
      </c>
      <c r="U301" s="101">
        <v>49.9</v>
      </c>
      <c r="V301" s="129">
        <f t="shared" si="9"/>
        <v>0</v>
      </c>
    </row>
    <row r="302" spans="1:22" ht="15" hidden="1" customHeight="1" x14ac:dyDescent="0.25">
      <c r="A302" s="100">
        <v>743115</v>
      </c>
      <c r="B302" s="100" t="s">
        <v>486</v>
      </c>
      <c r="C302" s="100" t="s">
        <v>448</v>
      </c>
      <c r="D302" s="102" t="s">
        <v>62</v>
      </c>
      <c r="E302" s="130"/>
      <c r="F302" s="100"/>
      <c r="G302" s="100"/>
      <c r="H302" s="100"/>
      <c r="I302" s="100"/>
      <c r="J302" s="100"/>
      <c r="K302" s="100"/>
      <c r="L302" s="100"/>
      <c r="M302" s="100"/>
      <c r="N302" s="130"/>
      <c r="O302" s="127"/>
      <c r="P302" s="131"/>
      <c r="Q302" s="127"/>
      <c r="R302" s="127"/>
      <c r="S302" s="128">
        <f t="shared" si="8"/>
        <v>0</v>
      </c>
      <c r="T302" s="101">
        <v>20.9</v>
      </c>
      <c r="U302" s="101">
        <v>45.9</v>
      </c>
      <c r="V302" s="129">
        <f t="shared" si="9"/>
        <v>0</v>
      </c>
    </row>
    <row r="303" spans="1:22" ht="15" hidden="1" customHeight="1" x14ac:dyDescent="0.25">
      <c r="A303" s="100">
        <v>743115</v>
      </c>
      <c r="B303" s="100" t="s">
        <v>487</v>
      </c>
      <c r="C303" s="100" t="s">
        <v>451</v>
      </c>
      <c r="D303" s="102" t="s">
        <v>62</v>
      </c>
      <c r="E303" s="130"/>
      <c r="F303" s="100"/>
      <c r="G303" s="100"/>
      <c r="H303" s="100"/>
      <c r="I303" s="100"/>
      <c r="J303" s="100"/>
      <c r="K303" s="100"/>
      <c r="L303" s="100"/>
      <c r="M303" s="100"/>
      <c r="N303" s="130"/>
      <c r="O303" s="127"/>
      <c r="P303" s="131"/>
      <c r="Q303" s="127"/>
      <c r="R303" s="127"/>
      <c r="S303" s="128">
        <f t="shared" si="8"/>
        <v>0</v>
      </c>
      <c r="T303" s="101">
        <v>20.9</v>
      </c>
      <c r="U303" s="101">
        <v>45.9</v>
      </c>
      <c r="V303" s="129">
        <f t="shared" si="9"/>
        <v>0</v>
      </c>
    </row>
    <row r="304" spans="1:22" ht="15" hidden="1" customHeight="1" x14ac:dyDescent="0.25">
      <c r="A304" s="100">
        <v>743117</v>
      </c>
      <c r="B304" s="100" t="s">
        <v>218</v>
      </c>
      <c r="C304" s="100" t="s">
        <v>488</v>
      </c>
      <c r="D304" s="102" t="s">
        <v>62</v>
      </c>
      <c r="E304" s="100"/>
      <c r="F304" s="100"/>
      <c r="G304" s="100"/>
      <c r="H304" s="100"/>
      <c r="I304" s="100"/>
      <c r="J304" s="100"/>
      <c r="K304" s="100"/>
      <c r="L304" s="100"/>
      <c r="M304" s="100"/>
      <c r="N304" s="130"/>
      <c r="O304" s="127"/>
      <c r="P304" s="131"/>
      <c r="Q304" s="127"/>
      <c r="R304" s="127"/>
      <c r="S304" s="128">
        <f t="shared" si="8"/>
        <v>0</v>
      </c>
      <c r="T304" s="101">
        <v>15.5</v>
      </c>
      <c r="U304" s="101">
        <v>33.9</v>
      </c>
      <c r="V304" s="129">
        <f t="shared" si="9"/>
        <v>0</v>
      </c>
    </row>
    <row r="305" spans="1:22" ht="15" hidden="1" customHeight="1" x14ac:dyDescent="0.25">
      <c r="A305" s="100">
        <v>743117</v>
      </c>
      <c r="B305" s="100" t="s">
        <v>489</v>
      </c>
      <c r="C305" s="100" t="s">
        <v>451</v>
      </c>
      <c r="D305" s="102" t="s">
        <v>62</v>
      </c>
      <c r="E305" s="100"/>
      <c r="F305" s="100"/>
      <c r="G305" s="100"/>
      <c r="H305" s="100"/>
      <c r="I305" s="100"/>
      <c r="J305" s="100"/>
      <c r="K305" s="100"/>
      <c r="L305" s="100"/>
      <c r="M305" s="100"/>
      <c r="N305" s="130"/>
      <c r="O305" s="127"/>
      <c r="P305" s="131"/>
      <c r="Q305" s="127"/>
      <c r="R305" s="127"/>
      <c r="S305" s="128">
        <f t="shared" si="8"/>
        <v>0</v>
      </c>
      <c r="T305" s="101">
        <v>15.5</v>
      </c>
      <c r="U305" s="101">
        <v>33.9</v>
      </c>
      <c r="V305" s="129">
        <f t="shared" si="9"/>
        <v>0</v>
      </c>
    </row>
    <row r="306" spans="1:22" ht="15" hidden="1" customHeight="1" x14ac:dyDescent="0.25">
      <c r="A306" s="100">
        <v>743117</v>
      </c>
      <c r="B306" s="100" t="s">
        <v>490</v>
      </c>
      <c r="C306" s="100" t="s">
        <v>185</v>
      </c>
      <c r="D306" s="102" t="s">
        <v>62</v>
      </c>
      <c r="E306" s="100"/>
      <c r="F306" s="100"/>
      <c r="G306" s="100"/>
      <c r="H306" s="100"/>
      <c r="I306" s="100"/>
      <c r="J306" s="100"/>
      <c r="K306" s="100"/>
      <c r="L306" s="100"/>
      <c r="M306" s="100"/>
      <c r="N306" s="130"/>
      <c r="O306" s="127"/>
      <c r="P306" s="131"/>
      <c r="Q306" s="127"/>
      <c r="R306" s="127"/>
      <c r="S306" s="128">
        <f t="shared" si="8"/>
        <v>0</v>
      </c>
      <c r="T306" s="101">
        <v>15.5</v>
      </c>
      <c r="U306" s="101">
        <v>33.9</v>
      </c>
      <c r="V306" s="129">
        <f t="shared" si="9"/>
        <v>0</v>
      </c>
    </row>
    <row r="307" spans="1:22" ht="15" hidden="1" customHeight="1" x14ac:dyDescent="0.25">
      <c r="A307" s="100">
        <v>743117</v>
      </c>
      <c r="B307" s="100" t="s">
        <v>491</v>
      </c>
      <c r="C307" s="100" t="s">
        <v>201</v>
      </c>
      <c r="D307" s="102" t="s">
        <v>62</v>
      </c>
      <c r="E307" s="100"/>
      <c r="F307" s="100"/>
      <c r="G307" s="100"/>
      <c r="H307" s="100"/>
      <c r="I307" s="100"/>
      <c r="J307" s="100"/>
      <c r="K307" s="100"/>
      <c r="L307" s="100"/>
      <c r="M307" s="100"/>
      <c r="N307" s="130"/>
      <c r="O307" s="127"/>
      <c r="P307" s="131"/>
      <c r="Q307" s="127"/>
      <c r="R307" s="127"/>
      <c r="S307" s="128">
        <f t="shared" si="8"/>
        <v>0</v>
      </c>
      <c r="T307" s="101">
        <v>15.5</v>
      </c>
      <c r="U307" s="101">
        <v>33.9</v>
      </c>
      <c r="V307" s="129">
        <f t="shared" si="9"/>
        <v>0</v>
      </c>
    </row>
    <row r="308" spans="1:22" ht="15" hidden="1" customHeight="1" x14ac:dyDescent="0.25">
      <c r="A308" s="100">
        <v>743117</v>
      </c>
      <c r="B308" s="100" t="s">
        <v>492</v>
      </c>
      <c r="C308" s="100" t="s">
        <v>190</v>
      </c>
      <c r="D308" s="102" t="s">
        <v>62</v>
      </c>
      <c r="E308" s="100"/>
      <c r="F308" s="100"/>
      <c r="G308" s="100"/>
      <c r="H308" s="100"/>
      <c r="I308" s="100"/>
      <c r="J308" s="100"/>
      <c r="K308" s="100"/>
      <c r="L308" s="100"/>
      <c r="M308" s="100"/>
      <c r="N308" s="130"/>
      <c r="O308" s="127"/>
      <c r="P308" s="131"/>
      <c r="Q308" s="127"/>
      <c r="R308" s="127"/>
      <c r="S308" s="128">
        <f t="shared" si="8"/>
        <v>0</v>
      </c>
      <c r="T308" s="101">
        <v>15.5</v>
      </c>
      <c r="U308" s="101">
        <v>33.9</v>
      </c>
      <c r="V308" s="129">
        <f t="shared" si="9"/>
        <v>0</v>
      </c>
    </row>
    <row r="309" spans="1:22" ht="15" hidden="1" customHeight="1" x14ac:dyDescent="0.25">
      <c r="A309" s="100">
        <v>743117</v>
      </c>
      <c r="B309" s="100" t="s">
        <v>493</v>
      </c>
      <c r="C309" s="100" t="s">
        <v>85</v>
      </c>
      <c r="D309" s="102" t="s">
        <v>62</v>
      </c>
      <c r="E309" s="100"/>
      <c r="F309" s="100"/>
      <c r="G309" s="100"/>
      <c r="H309" s="100"/>
      <c r="I309" s="100"/>
      <c r="J309" s="100"/>
      <c r="K309" s="100"/>
      <c r="L309" s="100"/>
      <c r="M309" s="100"/>
      <c r="N309" s="130"/>
      <c r="O309" s="127"/>
      <c r="P309" s="131"/>
      <c r="Q309" s="127"/>
      <c r="R309" s="127"/>
      <c r="S309" s="128">
        <f t="shared" si="8"/>
        <v>0</v>
      </c>
      <c r="T309" s="101">
        <v>15.5</v>
      </c>
      <c r="U309" s="101">
        <v>33.9</v>
      </c>
      <c r="V309" s="129">
        <f t="shared" si="9"/>
        <v>0</v>
      </c>
    </row>
    <row r="310" spans="1:22" ht="15" hidden="1" customHeight="1" x14ac:dyDescent="0.25">
      <c r="A310" s="100">
        <v>743121</v>
      </c>
      <c r="B310" s="100" t="s">
        <v>217</v>
      </c>
      <c r="C310" s="100" t="s">
        <v>430</v>
      </c>
      <c r="D310" s="102" t="s">
        <v>62</v>
      </c>
      <c r="E310" s="100"/>
      <c r="F310" s="100"/>
      <c r="G310" s="100"/>
      <c r="H310" s="100"/>
      <c r="I310" s="100"/>
      <c r="J310" s="100"/>
      <c r="K310" s="100"/>
      <c r="L310" s="100"/>
      <c r="M310" s="100"/>
      <c r="N310" s="130"/>
      <c r="O310" s="127"/>
      <c r="P310" s="131"/>
      <c r="Q310" s="127"/>
      <c r="R310" s="127"/>
      <c r="S310" s="128">
        <f t="shared" si="8"/>
        <v>0</v>
      </c>
      <c r="T310" s="101">
        <v>18.2</v>
      </c>
      <c r="U310" s="101">
        <v>39.9</v>
      </c>
      <c r="V310" s="129">
        <f t="shared" si="9"/>
        <v>0</v>
      </c>
    </row>
    <row r="311" spans="1:22" ht="15" hidden="1" customHeight="1" x14ac:dyDescent="0.25">
      <c r="A311" s="100">
        <v>743121</v>
      </c>
      <c r="B311" s="100" t="s">
        <v>494</v>
      </c>
      <c r="C311" s="100" t="s">
        <v>185</v>
      </c>
      <c r="D311" s="102" t="s">
        <v>62</v>
      </c>
      <c r="E311" s="100"/>
      <c r="F311" s="100"/>
      <c r="G311" s="100"/>
      <c r="H311" s="100"/>
      <c r="I311" s="100"/>
      <c r="J311" s="100"/>
      <c r="K311" s="100"/>
      <c r="L311" s="100"/>
      <c r="M311" s="100"/>
      <c r="N311" s="130"/>
      <c r="O311" s="127"/>
      <c r="P311" s="131"/>
      <c r="Q311" s="127"/>
      <c r="R311" s="127"/>
      <c r="S311" s="128">
        <f t="shared" si="8"/>
        <v>0</v>
      </c>
      <c r="T311" s="101">
        <v>18.2</v>
      </c>
      <c r="U311" s="101">
        <v>39.9</v>
      </c>
      <c r="V311" s="129">
        <f t="shared" si="9"/>
        <v>0</v>
      </c>
    </row>
    <row r="312" spans="1:22" ht="15" hidden="1" customHeight="1" x14ac:dyDescent="0.25">
      <c r="A312" s="100">
        <v>743129</v>
      </c>
      <c r="B312" s="100" t="s">
        <v>220</v>
      </c>
      <c r="C312" s="100" t="s">
        <v>430</v>
      </c>
      <c r="D312" s="102" t="s">
        <v>62</v>
      </c>
      <c r="E312" s="100"/>
      <c r="F312" s="100"/>
      <c r="G312" s="100"/>
      <c r="H312" s="100"/>
      <c r="I312" s="100"/>
      <c r="J312" s="100"/>
      <c r="K312" s="100"/>
      <c r="L312" s="100"/>
      <c r="M312" s="100"/>
      <c r="N312" s="130"/>
      <c r="O312" s="127"/>
      <c r="P312" s="131"/>
      <c r="Q312" s="127"/>
      <c r="R312" s="127"/>
      <c r="S312" s="128">
        <f t="shared" si="8"/>
        <v>0</v>
      </c>
      <c r="T312" s="101">
        <v>27.4</v>
      </c>
      <c r="U312" s="101">
        <v>59.9</v>
      </c>
      <c r="V312" s="129">
        <f t="shared" si="9"/>
        <v>0</v>
      </c>
    </row>
    <row r="313" spans="1:22" ht="15" hidden="1" customHeight="1" x14ac:dyDescent="0.25">
      <c r="A313" s="100">
        <v>743129</v>
      </c>
      <c r="B313" s="100" t="s">
        <v>495</v>
      </c>
      <c r="C313" s="100" t="s">
        <v>185</v>
      </c>
      <c r="D313" s="102" t="s">
        <v>62</v>
      </c>
      <c r="E313" s="100"/>
      <c r="F313" s="100"/>
      <c r="G313" s="100"/>
      <c r="H313" s="100"/>
      <c r="I313" s="100"/>
      <c r="J313" s="100"/>
      <c r="K313" s="100"/>
      <c r="L313" s="100"/>
      <c r="M313" s="100"/>
      <c r="N313" s="130"/>
      <c r="O313" s="127"/>
      <c r="P313" s="131"/>
      <c r="Q313" s="127"/>
      <c r="R313" s="127"/>
      <c r="S313" s="128">
        <f t="shared" si="8"/>
        <v>0</v>
      </c>
      <c r="T313" s="101">
        <v>27.4</v>
      </c>
      <c r="U313" s="101">
        <v>59.9</v>
      </c>
      <c r="V313" s="129">
        <f t="shared" si="9"/>
        <v>0</v>
      </c>
    </row>
    <row r="314" spans="1:22" ht="15" hidden="1" customHeight="1" x14ac:dyDescent="0.25">
      <c r="A314" s="100">
        <v>743133</v>
      </c>
      <c r="B314" s="100" t="s">
        <v>221</v>
      </c>
      <c r="C314" s="100" t="s">
        <v>430</v>
      </c>
      <c r="D314" s="102" t="s">
        <v>62</v>
      </c>
      <c r="E314" s="100"/>
      <c r="F314" s="100"/>
      <c r="G314" s="100"/>
      <c r="H314" s="100"/>
      <c r="I314" s="100"/>
      <c r="J314" s="100"/>
      <c r="K314" s="100"/>
      <c r="L314" s="100"/>
      <c r="M314" s="100"/>
      <c r="N314" s="130"/>
      <c r="O314" s="127"/>
      <c r="P314" s="131"/>
      <c r="Q314" s="127"/>
      <c r="R314" s="127"/>
      <c r="S314" s="128">
        <f t="shared" si="8"/>
        <v>0</v>
      </c>
      <c r="T314" s="101">
        <v>27.4</v>
      </c>
      <c r="U314" s="101">
        <v>59.9</v>
      </c>
      <c r="V314" s="129">
        <f t="shared" si="9"/>
        <v>0</v>
      </c>
    </row>
    <row r="315" spans="1:22" ht="15" hidden="1" customHeight="1" x14ac:dyDescent="0.25">
      <c r="A315" s="100">
        <v>743133</v>
      </c>
      <c r="B315" s="100" t="s">
        <v>496</v>
      </c>
      <c r="C315" s="100" t="s">
        <v>185</v>
      </c>
      <c r="D315" s="102" t="s">
        <v>62</v>
      </c>
      <c r="E315" s="100"/>
      <c r="F315" s="100"/>
      <c r="G315" s="100"/>
      <c r="H315" s="100"/>
      <c r="I315" s="100"/>
      <c r="J315" s="100"/>
      <c r="K315" s="100"/>
      <c r="L315" s="100"/>
      <c r="M315" s="100"/>
      <c r="N315" s="130"/>
      <c r="O315" s="127"/>
      <c r="P315" s="131"/>
      <c r="Q315" s="127"/>
      <c r="R315" s="127"/>
      <c r="S315" s="128">
        <f t="shared" si="8"/>
        <v>0</v>
      </c>
      <c r="T315" s="101">
        <v>27.4</v>
      </c>
      <c r="U315" s="101">
        <v>59.9</v>
      </c>
      <c r="V315" s="129">
        <f t="shared" si="9"/>
        <v>0</v>
      </c>
    </row>
    <row r="316" spans="1:22" ht="15" hidden="1" customHeight="1" x14ac:dyDescent="0.25">
      <c r="A316" s="100">
        <v>743133</v>
      </c>
      <c r="B316" s="100" t="s">
        <v>497</v>
      </c>
      <c r="C316" s="100" t="s">
        <v>201</v>
      </c>
      <c r="D316" s="102" t="s">
        <v>62</v>
      </c>
      <c r="E316" s="100"/>
      <c r="F316" s="100"/>
      <c r="G316" s="100"/>
      <c r="H316" s="100"/>
      <c r="I316" s="100"/>
      <c r="J316" s="100"/>
      <c r="K316" s="100"/>
      <c r="L316" s="100"/>
      <c r="M316" s="100"/>
      <c r="N316" s="130"/>
      <c r="O316" s="127"/>
      <c r="P316" s="131"/>
      <c r="Q316" s="127"/>
      <c r="R316" s="127"/>
      <c r="S316" s="128">
        <f t="shared" si="8"/>
        <v>0</v>
      </c>
      <c r="T316" s="101">
        <v>27.4</v>
      </c>
      <c r="U316" s="101">
        <v>59.9</v>
      </c>
      <c r="V316" s="129">
        <f t="shared" si="9"/>
        <v>0</v>
      </c>
    </row>
    <row r="317" spans="1:22" ht="15" hidden="1" customHeight="1" x14ac:dyDescent="0.25">
      <c r="A317" s="100">
        <v>743133</v>
      </c>
      <c r="B317" s="100" t="s">
        <v>498</v>
      </c>
      <c r="C317" s="100" t="s">
        <v>455</v>
      </c>
      <c r="D317" s="102" t="s">
        <v>62</v>
      </c>
      <c r="E317" s="100"/>
      <c r="F317" s="100"/>
      <c r="G317" s="100"/>
      <c r="H317" s="100"/>
      <c r="I317" s="100"/>
      <c r="J317" s="100"/>
      <c r="K317" s="100"/>
      <c r="L317" s="100"/>
      <c r="M317" s="100"/>
      <c r="N317" s="130"/>
      <c r="O317" s="127"/>
      <c r="P317" s="131"/>
      <c r="Q317" s="127"/>
      <c r="R317" s="127"/>
      <c r="S317" s="128">
        <f t="shared" si="8"/>
        <v>0</v>
      </c>
      <c r="T317" s="101">
        <v>27.4</v>
      </c>
      <c r="U317" s="101">
        <v>59.9</v>
      </c>
      <c r="V317" s="129">
        <f t="shared" si="9"/>
        <v>0</v>
      </c>
    </row>
    <row r="318" spans="1:22" ht="15" hidden="1" customHeight="1" x14ac:dyDescent="0.25">
      <c r="A318" s="100">
        <v>743134</v>
      </c>
      <c r="B318" s="100" t="s">
        <v>222</v>
      </c>
      <c r="C318" s="100" t="s">
        <v>430</v>
      </c>
      <c r="D318" s="102" t="s">
        <v>62</v>
      </c>
      <c r="E318" s="100"/>
      <c r="F318" s="100"/>
      <c r="G318" s="100"/>
      <c r="H318" s="100"/>
      <c r="I318" s="100"/>
      <c r="J318" s="100"/>
      <c r="K318" s="100"/>
      <c r="L318" s="100"/>
      <c r="M318" s="100"/>
      <c r="N318" s="130"/>
      <c r="O318" s="127"/>
      <c r="P318" s="131"/>
      <c r="Q318" s="127"/>
      <c r="R318" s="127"/>
      <c r="S318" s="128">
        <f t="shared" si="8"/>
        <v>0</v>
      </c>
      <c r="T318" s="101">
        <v>22.7</v>
      </c>
      <c r="U318" s="101">
        <v>49.9</v>
      </c>
      <c r="V318" s="129">
        <f t="shared" si="9"/>
        <v>0</v>
      </c>
    </row>
    <row r="319" spans="1:22" ht="15" hidden="1" customHeight="1" x14ac:dyDescent="0.25">
      <c r="A319" s="100">
        <v>743134</v>
      </c>
      <c r="B319" s="100" t="s">
        <v>499</v>
      </c>
      <c r="C319" s="100" t="s">
        <v>185</v>
      </c>
      <c r="D319" s="102" t="s">
        <v>62</v>
      </c>
      <c r="E319" s="100"/>
      <c r="F319" s="100"/>
      <c r="G319" s="100"/>
      <c r="H319" s="100"/>
      <c r="I319" s="100"/>
      <c r="J319" s="100"/>
      <c r="K319" s="100"/>
      <c r="L319" s="100"/>
      <c r="M319" s="100"/>
      <c r="N319" s="130"/>
      <c r="O319" s="127"/>
      <c r="P319" s="131"/>
      <c r="Q319" s="127"/>
      <c r="R319" s="127"/>
      <c r="S319" s="128">
        <f t="shared" si="8"/>
        <v>0</v>
      </c>
      <c r="T319" s="101">
        <v>22.7</v>
      </c>
      <c r="U319" s="101">
        <v>49.9</v>
      </c>
      <c r="V319" s="129">
        <f t="shared" si="9"/>
        <v>0</v>
      </c>
    </row>
    <row r="320" spans="1:22" ht="15" hidden="1" customHeight="1" x14ac:dyDescent="0.25">
      <c r="A320" s="100">
        <v>743134</v>
      </c>
      <c r="B320" s="100" t="s">
        <v>500</v>
      </c>
      <c r="C320" s="100" t="s">
        <v>201</v>
      </c>
      <c r="D320" s="102" t="s">
        <v>62</v>
      </c>
      <c r="E320" s="100"/>
      <c r="F320" s="100"/>
      <c r="G320" s="100"/>
      <c r="H320" s="100"/>
      <c r="I320" s="100"/>
      <c r="J320" s="100"/>
      <c r="K320" s="100"/>
      <c r="L320" s="100"/>
      <c r="M320" s="100"/>
      <c r="N320" s="130"/>
      <c r="O320" s="127"/>
      <c r="P320" s="131"/>
      <c r="Q320" s="127"/>
      <c r="R320" s="127"/>
      <c r="S320" s="128">
        <f t="shared" si="8"/>
        <v>0</v>
      </c>
      <c r="T320" s="101">
        <v>22.7</v>
      </c>
      <c r="U320" s="101">
        <v>49.9</v>
      </c>
      <c r="V320" s="129">
        <f t="shared" si="9"/>
        <v>0</v>
      </c>
    </row>
    <row r="321" spans="1:22" ht="15" hidden="1" customHeight="1" x14ac:dyDescent="0.25">
      <c r="A321" s="100">
        <v>743134</v>
      </c>
      <c r="B321" s="100" t="s">
        <v>501</v>
      </c>
      <c r="C321" s="100" t="s">
        <v>455</v>
      </c>
      <c r="D321" s="102" t="s">
        <v>62</v>
      </c>
      <c r="E321" s="100"/>
      <c r="F321" s="100"/>
      <c r="G321" s="100"/>
      <c r="H321" s="100"/>
      <c r="I321" s="100"/>
      <c r="J321" s="100"/>
      <c r="K321" s="100"/>
      <c r="L321" s="100"/>
      <c r="M321" s="100"/>
      <c r="N321" s="130"/>
      <c r="O321" s="127"/>
      <c r="P321" s="131"/>
      <c r="Q321" s="127"/>
      <c r="R321" s="127"/>
      <c r="S321" s="128">
        <f t="shared" si="8"/>
        <v>0</v>
      </c>
      <c r="T321" s="101">
        <v>22.7</v>
      </c>
      <c r="U321" s="101">
        <v>49.9</v>
      </c>
      <c r="V321" s="129">
        <f t="shared" si="9"/>
        <v>0</v>
      </c>
    </row>
    <row r="322" spans="1:22" ht="15" hidden="1" customHeight="1" x14ac:dyDescent="0.25">
      <c r="A322" s="100">
        <v>743135</v>
      </c>
      <c r="B322" s="100" t="s">
        <v>223</v>
      </c>
      <c r="C322" s="100" t="s">
        <v>451</v>
      </c>
      <c r="D322" s="102" t="s">
        <v>62</v>
      </c>
      <c r="E322" s="100"/>
      <c r="F322" s="100"/>
      <c r="G322" s="100"/>
      <c r="H322" s="100"/>
      <c r="I322" s="100"/>
      <c r="J322" s="100"/>
      <c r="K322" s="100"/>
      <c r="L322" s="100"/>
      <c r="M322" s="100"/>
      <c r="N322" s="130"/>
      <c r="O322" s="127"/>
      <c r="P322" s="131"/>
      <c r="Q322" s="127"/>
      <c r="R322" s="127"/>
      <c r="S322" s="128">
        <f t="shared" si="8"/>
        <v>0</v>
      </c>
      <c r="T322" s="101">
        <v>22.7</v>
      </c>
      <c r="U322" s="101">
        <v>49.9</v>
      </c>
      <c r="V322" s="129">
        <f t="shared" si="9"/>
        <v>0</v>
      </c>
    </row>
    <row r="323" spans="1:22" ht="15" hidden="1" customHeight="1" x14ac:dyDescent="0.25">
      <c r="A323" s="100">
        <v>743135</v>
      </c>
      <c r="B323" s="100" t="s">
        <v>502</v>
      </c>
      <c r="C323" s="100" t="s">
        <v>185</v>
      </c>
      <c r="D323" s="102" t="s">
        <v>62</v>
      </c>
      <c r="E323" s="100"/>
      <c r="F323" s="100"/>
      <c r="G323" s="100"/>
      <c r="H323" s="100"/>
      <c r="I323" s="100"/>
      <c r="J323" s="100"/>
      <c r="K323" s="100"/>
      <c r="L323" s="100"/>
      <c r="M323" s="100"/>
      <c r="N323" s="130"/>
      <c r="O323" s="127"/>
      <c r="P323" s="131"/>
      <c r="Q323" s="127"/>
      <c r="R323" s="127"/>
      <c r="S323" s="128">
        <f t="shared" si="8"/>
        <v>0</v>
      </c>
      <c r="T323" s="101">
        <v>22.7</v>
      </c>
      <c r="U323" s="101">
        <v>49.9</v>
      </c>
      <c r="V323" s="129">
        <f t="shared" si="9"/>
        <v>0</v>
      </c>
    </row>
    <row r="324" spans="1:22" ht="15" hidden="1" customHeight="1" x14ac:dyDescent="0.25">
      <c r="A324" s="100">
        <v>743135</v>
      </c>
      <c r="B324" s="100" t="s">
        <v>503</v>
      </c>
      <c r="C324" s="100" t="s">
        <v>455</v>
      </c>
      <c r="D324" s="102" t="s">
        <v>62</v>
      </c>
      <c r="E324" s="100"/>
      <c r="F324" s="100"/>
      <c r="G324" s="100"/>
      <c r="H324" s="100"/>
      <c r="I324" s="100"/>
      <c r="J324" s="100"/>
      <c r="K324" s="100"/>
      <c r="L324" s="100"/>
      <c r="M324" s="100"/>
      <c r="N324" s="130"/>
      <c r="O324" s="127"/>
      <c r="P324" s="131"/>
      <c r="Q324" s="127"/>
      <c r="R324" s="127"/>
      <c r="S324" s="128">
        <f t="shared" si="8"/>
        <v>0</v>
      </c>
      <c r="T324" s="101">
        <v>22.7</v>
      </c>
      <c r="U324" s="101">
        <v>49.9</v>
      </c>
      <c r="V324" s="129">
        <f t="shared" si="9"/>
        <v>0</v>
      </c>
    </row>
    <row r="325" spans="1:22" ht="15" hidden="1" customHeight="1" x14ac:dyDescent="0.25">
      <c r="A325" s="100">
        <v>743136</v>
      </c>
      <c r="B325" s="100" t="s">
        <v>224</v>
      </c>
      <c r="C325" s="100" t="s">
        <v>408</v>
      </c>
      <c r="D325" s="102" t="s">
        <v>62</v>
      </c>
      <c r="E325" s="100"/>
      <c r="F325" s="100"/>
      <c r="G325" s="100"/>
      <c r="H325" s="100"/>
      <c r="I325" s="100"/>
      <c r="J325" s="100"/>
      <c r="K325" s="100"/>
      <c r="L325" s="100"/>
      <c r="M325" s="100"/>
      <c r="N325" s="130"/>
      <c r="O325" s="127"/>
      <c r="P325" s="131"/>
      <c r="Q325" s="127"/>
      <c r="R325" s="127"/>
      <c r="S325" s="128">
        <f t="shared" si="8"/>
        <v>0</v>
      </c>
      <c r="T325" s="101">
        <v>20.9</v>
      </c>
      <c r="U325" s="101">
        <v>45.9</v>
      </c>
      <c r="V325" s="129">
        <f t="shared" si="9"/>
        <v>0</v>
      </c>
    </row>
    <row r="326" spans="1:22" ht="15" hidden="1" customHeight="1" x14ac:dyDescent="0.25">
      <c r="A326" s="100">
        <v>743136</v>
      </c>
      <c r="B326" s="100" t="s">
        <v>504</v>
      </c>
      <c r="C326" s="100" t="s">
        <v>185</v>
      </c>
      <c r="D326" s="102" t="s">
        <v>62</v>
      </c>
      <c r="E326" s="100"/>
      <c r="F326" s="100"/>
      <c r="G326" s="100"/>
      <c r="H326" s="100"/>
      <c r="I326" s="100"/>
      <c r="J326" s="100"/>
      <c r="K326" s="100"/>
      <c r="L326" s="100"/>
      <c r="M326" s="100"/>
      <c r="N326" s="130"/>
      <c r="O326" s="127"/>
      <c r="P326" s="131"/>
      <c r="Q326" s="127"/>
      <c r="R326" s="127"/>
      <c r="S326" s="128">
        <f t="shared" si="8"/>
        <v>0</v>
      </c>
      <c r="T326" s="101">
        <v>20.9</v>
      </c>
      <c r="U326" s="101">
        <v>45.9</v>
      </c>
      <c r="V326" s="129">
        <f t="shared" si="9"/>
        <v>0</v>
      </c>
    </row>
    <row r="327" spans="1:22" ht="15" hidden="1" customHeight="1" x14ac:dyDescent="0.25">
      <c r="A327" s="100">
        <v>743136</v>
      </c>
      <c r="B327" s="100" t="s">
        <v>505</v>
      </c>
      <c r="C327" s="100" t="s">
        <v>190</v>
      </c>
      <c r="D327" s="102" t="s">
        <v>62</v>
      </c>
      <c r="E327" s="100"/>
      <c r="F327" s="100"/>
      <c r="G327" s="100"/>
      <c r="H327" s="100"/>
      <c r="I327" s="100"/>
      <c r="J327" s="100"/>
      <c r="K327" s="100"/>
      <c r="L327" s="100"/>
      <c r="M327" s="100"/>
      <c r="N327" s="130"/>
      <c r="O327" s="127"/>
      <c r="P327" s="131"/>
      <c r="Q327" s="127"/>
      <c r="R327" s="127"/>
      <c r="S327" s="128">
        <f t="shared" si="8"/>
        <v>0</v>
      </c>
      <c r="T327" s="101">
        <v>20.9</v>
      </c>
      <c r="U327" s="101">
        <v>45.9</v>
      </c>
      <c r="V327" s="129">
        <f t="shared" si="9"/>
        <v>0</v>
      </c>
    </row>
    <row r="328" spans="1:22" ht="15" hidden="1" customHeight="1" x14ac:dyDescent="0.25">
      <c r="A328" s="100">
        <v>743136</v>
      </c>
      <c r="B328" s="100" t="s">
        <v>506</v>
      </c>
      <c r="C328" s="100" t="s">
        <v>455</v>
      </c>
      <c r="D328" s="102" t="s">
        <v>62</v>
      </c>
      <c r="E328" s="100"/>
      <c r="F328" s="100"/>
      <c r="G328" s="100"/>
      <c r="H328" s="100"/>
      <c r="I328" s="100"/>
      <c r="J328" s="100"/>
      <c r="K328" s="100"/>
      <c r="L328" s="100"/>
      <c r="M328" s="100"/>
      <c r="N328" s="130"/>
      <c r="O328" s="127"/>
      <c r="P328" s="131"/>
      <c r="Q328" s="127"/>
      <c r="R328" s="127"/>
      <c r="S328" s="128">
        <f t="shared" si="8"/>
        <v>0</v>
      </c>
      <c r="T328" s="101">
        <v>20.9</v>
      </c>
      <c r="U328" s="101">
        <v>45.9</v>
      </c>
      <c r="V328" s="129">
        <f t="shared" si="9"/>
        <v>0</v>
      </c>
    </row>
    <row r="329" spans="1:22" ht="15" hidden="1" customHeight="1" x14ac:dyDescent="0.25">
      <c r="A329" s="100">
        <v>743139</v>
      </c>
      <c r="B329" s="100" t="s">
        <v>225</v>
      </c>
      <c r="C329" s="100" t="s">
        <v>430</v>
      </c>
      <c r="D329" s="102" t="s">
        <v>58</v>
      </c>
      <c r="E329" s="130"/>
      <c r="F329" s="130"/>
      <c r="G329" s="130"/>
      <c r="H329" s="100"/>
      <c r="I329" s="100"/>
      <c r="J329" s="130"/>
      <c r="K329" s="130"/>
      <c r="L329" s="130"/>
      <c r="M329" s="130"/>
      <c r="N329" s="130"/>
      <c r="O329" s="131"/>
      <c r="P329" s="131"/>
      <c r="Q329" s="131"/>
      <c r="R329" s="131"/>
      <c r="S329" s="128">
        <f t="shared" si="8"/>
        <v>0</v>
      </c>
      <c r="T329" s="101">
        <v>13.6</v>
      </c>
      <c r="U329" s="101">
        <v>29.9</v>
      </c>
      <c r="V329" s="129">
        <f t="shared" si="9"/>
        <v>0</v>
      </c>
    </row>
    <row r="330" spans="1:22" ht="15" hidden="1" customHeight="1" x14ac:dyDescent="0.25">
      <c r="A330" s="100">
        <v>743139</v>
      </c>
      <c r="B330" s="100" t="s">
        <v>507</v>
      </c>
      <c r="C330" s="100" t="s">
        <v>430</v>
      </c>
      <c r="D330" s="102" t="s">
        <v>62</v>
      </c>
      <c r="E330" s="100"/>
      <c r="F330" s="100"/>
      <c r="G330" s="100"/>
      <c r="H330" s="100"/>
      <c r="I330" s="100"/>
      <c r="J330" s="100"/>
      <c r="K330" s="100"/>
      <c r="L330" s="100"/>
      <c r="M330" s="100"/>
      <c r="N330" s="130"/>
      <c r="O330" s="127"/>
      <c r="P330" s="131"/>
      <c r="Q330" s="131"/>
      <c r="R330" s="131"/>
      <c r="S330" s="128">
        <f t="shared" si="8"/>
        <v>0</v>
      </c>
      <c r="T330" s="101">
        <v>13.6</v>
      </c>
      <c r="U330" s="101">
        <v>29.9</v>
      </c>
      <c r="V330" s="129">
        <f t="shared" si="9"/>
        <v>0</v>
      </c>
    </row>
    <row r="331" spans="1:22" ht="15" hidden="1" customHeight="1" x14ac:dyDescent="0.25">
      <c r="A331" s="100">
        <v>743139</v>
      </c>
      <c r="B331" s="100" t="s">
        <v>508</v>
      </c>
      <c r="C331" s="100" t="s">
        <v>373</v>
      </c>
      <c r="D331" s="102" t="s">
        <v>58</v>
      </c>
      <c r="E331" s="130"/>
      <c r="F331" s="130"/>
      <c r="G331" s="130"/>
      <c r="H331" s="100"/>
      <c r="I331" s="100"/>
      <c r="J331" s="130"/>
      <c r="K331" s="130"/>
      <c r="L331" s="130"/>
      <c r="M331" s="130"/>
      <c r="N331" s="130"/>
      <c r="O331" s="131"/>
      <c r="P331" s="131"/>
      <c r="Q331" s="131"/>
      <c r="R331" s="131"/>
      <c r="S331" s="128">
        <f t="shared" si="8"/>
        <v>0</v>
      </c>
      <c r="T331" s="101">
        <v>13.6</v>
      </c>
      <c r="U331" s="101">
        <v>29.9</v>
      </c>
      <c r="V331" s="129">
        <f t="shared" si="9"/>
        <v>0</v>
      </c>
    </row>
    <row r="332" spans="1:22" ht="15" hidden="1" customHeight="1" x14ac:dyDescent="0.25">
      <c r="A332" s="100">
        <v>743139</v>
      </c>
      <c r="B332" s="100" t="s">
        <v>509</v>
      </c>
      <c r="C332" s="100" t="s">
        <v>373</v>
      </c>
      <c r="D332" s="102" t="s">
        <v>62</v>
      </c>
      <c r="E332" s="100"/>
      <c r="F332" s="100"/>
      <c r="G332" s="100"/>
      <c r="H332" s="100"/>
      <c r="I332" s="100"/>
      <c r="J332" s="100"/>
      <c r="K332" s="100"/>
      <c r="L332" s="100"/>
      <c r="M332" s="100"/>
      <c r="N332" s="130"/>
      <c r="O332" s="127"/>
      <c r="P332" s="131"/>
      <c r="Q332" s="131"/>
      <c r="R332" s="131"/>
      <c r="S332" s="128">
        <f t="shared" si="8"/>
        <v>0</v>
      </c>
      <c r="T332" s="101">
        <v>13.6</v>
      </c>
      <c r="U332" s="101">
        <v>29.9</v>
      </c>
      <c r="V332" s="129">
        <f t="shared" si="9"/>
        <v>0</v>
      </c>
    </row>
    <row r="333" spans="1:22" ht="15" hidden="1" customHeight="1" x14ac:dyDescent="0.25">
      <c r="A333" s="100">
        <v>743139</v>
      </c>
      <c r="B333" s="100" t="s">
        <v>510</v>
      </c>
      <c r="C333" s="100" t="s">
        <v>185</v>
      </c>
      <c r="D333" s="102" t="s">
        <v>58</v>
      </c>
      <c r="E333" s="130"/>
      <c r="F333" s="130"/>
      <c r="G333" s="130"/>
      <c r="H333" s="100"/>
      <c r="I333" s="100"/>
      <c r="J333" s="130"/>
      <c r="K333" s="130"/>
      <c r="L333" s="130"/>
      <c r="M333" s="130"/>
      <c r="N333" s="130"/>
      <c r="O333" s="131"/>
      <c r="P333" s="131"/>
      <c r="Q333" s="131"/>
      <c r="R333" s="131"/>
      <c r="S333" s="128">
        <f t="shared" si="8"/>
        <v>0</v>
      </c>
      <c r="T333" s="101">
        <v>13.6</v>
      </c>
      <c r="U333" s="101">
        <v>29.9</v>
      </c>
      <c r="V333" s="129">
        <f t="shared" si="9"/>
        <v>0</v>
      </c>
    </row>
    <row r="334" spans="1:22" ht="15" hidden="1" customHeight="1" x14ac:dyDescent="0.25">
      <c r="A334" s="100">
        <v>743139</v>
      </c>
      <c r="B334" s="100" t="s">
        <v>511</v>
      </c>
      <c r="C334" s="100" t="s">
        <v>185</v>
      </c>
      <c r="D334" s="102" t="s">
        <v>62</v>
      </c>
      <c r="E334" s="100"/>
      <c r="F334" s="100"/>
      <c r="G334" s="100"/>
      <c r="H334" s="100"/>
      <c r="I334" s="100"/>
      <c r="J334" s="100"/>
      <c r="K334" s="100"/>
      <c r="L334" s="100"/>
      <c r="M334" s="100"/>
      <c r="N334" s="130"/>
      <c r="O334" s="127"/>
      <c r="P334" s="131"/>
      <c r="Q334" s="131"/>
      <c r="R334" s="131"/>
      <c r="S334" s="128">
        <f t="shared" si="8"/>
        <v>0</v>
      </c>
      <c r="T334" s="101">
        <v>13.6</v>
      </c>
      <c r="U334" s="101">
        <v>29.9</v>
      </c>
      <c r="V334" s="129">
        <f t="shared" si="9"/>
        <v>0</v>
      </c>
    </row>
    <row r="335" spans="1:22" ht="15" hidden="1" customHeight="1" x14ac:dyDescent="0.25">
      <c r="A335" s="100">
        <v>743139</v>
      </c>
      <c r="B335" s="100" t="s">
        <v>512</v>
      </c>
      <c r="C335" s="100" t="s">
        <v>455</v>
      </c>
      <c r="D335" s="102" t="s">
        <v>58</v>
      </c>
      <c r="E335" s="130"/>
      <c r="F335" s="130"/>
      <c r="G335" s="130"/>
      <c r="H335" s="100"/>
      <c r="I335" s="100"/>
      <c r="J335" s="130"/>
      <c r="K335" s="130"/>
      <c r="L335" s="130"/>
      <c r="M335" s="130"/>
      <c r="N335" s="130"/>
      <c r="O335" s="131"/>
      <c r="P335" s="131"/>
      <c r="Q335" s="131"/>
      <c r="R335" s="131"/>
      <c r="S335" s="128">
        <f t="shared" si="8"/>
        <v>0</v>
      </c>
      <c r="T335" s="101">
        <v>13.6</v>
      </c>
      <c r="U335" s="101">
        <v>29.9</v>
      </c>
      <c r="V335" s="129">
        <f t="shared" si="9"/>
        <v>0</v>
      </c>
    </row>
    <row r="336" spans="1:22" ht="15" hidden="1" customHeight="1" x14ac:dyDescent="0.25">
      <c r="A336" s="100">
        <v>743139</v>
      </c>
      <c r="B336" s="100" t="s">
        <v>513</v>
      </c>
      <c r="C336" s="100" t="s">
        <v>455</v>
      </c>
      <c r="D336" s="102" t="s">
        <v>62</v>
      </c>
      <c r="E336" s="100"/>
      <c r="F336" s="100"/>
      <c r="G336" s="100"/>
      <c r="H336" s="100"/>
      <c r="I336" s="100"/>
      <c r="J336" s="100"/>
      <c r="K336" s="100"/>
      <c r="L336" s="100"/>
      <c r="M336" s="100"/>
      <c r="N336" s="130"/>
      <c r="O336" s="127"/>
      <c r="P336" s="131"/>
      <c r="Q336" s="131"/>
      <c r="R336" s="131"/>
      <c r="S336" s="128">
        <f t="shared" si="8"/>
        <v>0</v>
      </c>
      <c r="T336" s="101">
        <v>13.6</v>
      </c>
      <c r="U336" s="101">
        <v>29.9</v>
      </c>
      <c r="V336" s="129">
        <f t="shared" si="9"/>
        <v>0</v>
      </c>
    </row>
    <row r="337" spans="1:22" ht="15" hidden="1" customHeight="1" x14ac:dyDescent="0.25">
      <c r="A337" s="100">
        <v>743144</v>
      </c>
      <c r="B337" s="100" t="s">
        <v>226</v>
      </c>
      <c r="C337" s="100" t="s">
        <v>379</v>
      </c>
      <c r="D337" s="102" t="s">
        <v>62</v>
      </c>
      <c r="E337" s="100"/>
      <c r="F337" s="100"/>
      <c r="G337" s="100"/>
      <c r="H337" s="100"/>
      <c r="I337" s="100"/>
      <c r="J337" s="100"/>
      <c r="K337" s="100"/>
      <c r="L337" s="100"/>
      <c r="M337" s="100"/>
      <c r="N337" s="130"/>
      <c r="O337" s="127"/>
      <c r="P337" s="131"/>
      <c r="Q337" s="127"/>
      <c r="R337" s="127"/>
      <c r="S337" s="128">
        <f t="shared" si="8"/>
        <v>0</v>
      </c>
      <c r="T337" s="101">
        <v>18.2</v>
      </c>
      <c r="U337" s="101">
        <v>39.9</v>
      </c>
      <c r="V337" s="129">
        <f t="shared" si="9"/>
        <v>0</v>
      </c>
    </row>
    <row r="338" spans="1:22" ht="15" hidden="1" customHeight="1" x14ac:dyDescent="0.25">
      <c r="A338" s="100">
        <v>743144</v>
      </c>
      <c r="B338" s="100" t="s">
        <v>514</v>
      </c>
      <c r="C338" s="100" t="s">
        <v>455</v>
      </c>
      <c r="D338" s="102" t="s">
        <v>62</v>
      </c>
      <c r="E338" s="100"/>
      <c r="F338" s="100"/>
      <c r="G338" s="100"/>
      <c r="H338" s="100"/>
      <c r="I338" s="100"/>
      <c r="J338" s="100"/>
      <c r="K338" s="100"/>
      <c r="L338" s="100"/>
      <c r="M338" s="100"/>
      <c r="N338" s="130"/>
      <c r="O338" s="127"/>
      <c r="P338" s="131"/>
      <c r="Q338" s="127"/>
      <c r="R338" s="127"/>
      <c r="S338" s="128">
        <f t="shared" ref="S338:S401" si="10">SUM(E338:R338)</f>
        <v>0</v>
      </c>
      <c r="T338" s="101">
        <v>18.2</v>
      </c>
      <c r="U338" s="101">
        <v>39.9</v>
      </c>
      <c r="V338" s="129">
        <f t="shared" ref="V338:V401" si="11">S338*T338</f>
        <v>0</v>
      </c>
    </row>
    <row r="339" spans="1:22" ht="15" hidden="1" customHeight="1" x14ac:dyDescent="0.25">
      <c r="A339" s="100">
        <v>743145</v>
      </c>
      <c r="B339" s="100" t="s">
        <v>227</v>
      </c>
      <c r="C339" s="100" t="s">
        <v>430</v>
      </c>
      <c r="D339" s="102" t="s">
        <v>62</v>
      </c>
      <c r="E339" s="100"/>
      <c r="F339" s="100"/>
      <c r="G339" s="100"/>
      <c r="H339" s="100"/>
      <c r="I339" s="100"/>
      <c r="J339" s="100"/>
      <c r="K339" s="100"/>
      <c r="L339" s="100"/>
      <c r="M339" s="100"/>
      <c r="N339" s="130"/>
      <c r="O339" s="127"/>
      <c r="P339" s="131"/>
      <c r="Q339" s="127"/>
      <c r="R339" s="127"/>
      <c r="S339" s="128">
        <f t="shared" si="10"/>
        <v>0</v>
      </c>
      <c r="T339" s="101">
        <v>22.7</v>
      </c>
      <c r="U339" s="101">
        <v>49.9</v>
      </c>
      <c r="V339" s="129">
        <f t="shared" si="11"/>
        <v>0</v>
      </c>
    </row>
    <row r="340" spans="1:22" ht="15" hidden="1" customHeight="1" x14ac:dyDescent="0.25">
      <c r="A340" s="100">
        <v>743145</v>
      </c>
      <c r="B340" s="100" t="s">
        <v>515</v>
      </c>
      <c r="C340" s="100" t="s">
        <v>201</v>
      </c>
      <c r="D340" s="102" t="s">
        <v>62</v>
      </c>
      <c r="E340" s="100"/>
      <c r="F340" s="100"/>
      <c r="G340" s="100"/>
      <c r="H340" s="100"/>
      <c r="I340" s="100"/>
      <c r="J340" s="100"/>
      <c r="K340" s="100"/>
      <c r="L340" s="100"/>
      <c r="M340" s="100"/>
      <c r="N340" s="130"/>
      <c r="O340" s="127"/>
      <c r="P340" s="131"/>
      <c r="Q340" s="127"/>
      <c r="R340" s="127"/>
      <c r="S340" s="128">
        <f t="shared" si="10"/>
        <v>0</v>
      </c>
      <c r="T340" s="101">
        <v>22.7</v>
      </c>
      <c r="U340" s="101">
        <v>49.9</v>
      </c>
      <c r="V340" s="129">
        <f t="shared" si="11"/>
        <v>0</v>
      </c>
    </row>
    <row r="341" spans="1:22" ht="15" hidden="1" customHeight="1" x14ac:dyDescent="0.25">
      <c r="A341" s="100">
        <v>743146</v>
      </c>
      <c r="B341" s="100" t="s">
        <v>228</v>
      </c>
      <c r="C341" s="100" t="s">
        <v>201</v>
      </c>
      <c r="D341" s="102" t="s">
        <v>62</v>
      </c>
      <c r="E341" s="100"/>
      <c r="F341" s="100"/>
      <c r="G341" s="100"/>
      <c r="H341" s="100"/>
      <c r="I341" s="100"/>
      <c r="J341" s="100"/>
      <c r="K341" s="100"/>
      <c r="L341" s="100"/>
      <c r="M341" s="100"/>
      <c r="N341" s="130"/>
      <c r="O341" s="127"/>
      <c r="P341" s="131"/>
      <c r="Q341" s="127"/>
      <c r="R341" s="127"/>
      <c r="S341" s="128">
        <f t="shared" si="10"/>
        <v>0</v>
      </c>
      <c r="T341" s="101">
        <v>16.8</v>
      </c>
      <c r="U341" s="101">
        <v>36.9</v>
      </c>
      <c r="V341" s="129">
        <f t="shared" si="11"/>
        <v>0</v>
      </c>
    </row>
    <row r="342" spans="1:22" ht="15" hidden="1" customHeight="1" x14ac:dyDescent="0.25">
      <c r="A342" s="100">
        <v>743147</v>
      </c>
      <c r="B342" s="100" t="s">
        <v>229</v>
      </c>
      <c r="C342" s="100" t="s">
        <v>448</v>
      </c>
      <c r="D342" s="102" t="s">
        <v>62</v>
      </c>
      <c r="E342" s="100"/>
      <c r="F342" s="100"/>
      <c r="G342" s="100"/>
      <c r="H342" s="100"/>
      <c r="I342" s="100"/>
      <c r="J342" s="100"/>
      <c r="K342" s="100"/>
      <c r="L342" s="100"/>
      <c r="M342" s="100"/>
      <c r="N342" s="130"/>
      <c r="O342" s="127"/>
      <c r="P342" s="131"/>
      <c r="Q342" s="127"/>
      <c r="R342" s="127"/>
      <c r="S342" s="128">
        <f t="shared" si="10"/>
        <v>0</v>
      </c>
      <c r="T342" s="101">
        <v>20.9</v>
      </c>
      <c r="U342" s="101">
        <v>45.9</v>
      </c>
      <c r="V342" s="129">
        <f t="shared" si="11"/>
        <v>0</v>
      </c>
    </row>
    <row r="343" spans="1:22" ht="15" hidden="1" customHeight="1" x14ac:dyDescent="0.25">
      <c r="A343" s="100">
        <v>743150</v>
      </c>
      <c r="B343" s="100" t="s">
        <v>230</v>
      </c>
      <c r="C343" s="100" t="s">
        <v>185</v>
      </c>
      <c r="D343" s="102" t="s">
        <v>62</v>
      </c>
      <c r="E343" s="100"/>
      <c r="F343" s="100"/>
      <c r="G343" s="100"/>
      <c r="H343" s="100"/>
      <c r="I343" s="100"/>
      <c r="J343" s="100"/>
      <c r="K343" s="100"/>
      <c r="L343" s="100"/>
      <c r="M343" s="100"/>
      <c r="N343" s="130"/>
      <c r="O343" s="127"/>
      <c r="P343" s="131"/>
      <c r="Q343" s="127"/>
      <c r="R343" s="127"/>
      <c r="S343" s="128">
        <f t="shared" si="10"/>
        <v>0</v>
      </c>
      <c r="T343" s="101">
        <v>12.3</v>
      </c>
      <c r="U343" s="101">
        <v>26.9</v>
      </c>
      <c r="V343" s="129">
        <f t="shared" si="11"/>
        <v>0</v>
      </c>
    </row>
    <row r="344" spans="1:22" ht="15" hidden="1" customHeight="1" x14ac:dyDescent="0.25">
      <c r="A344" s="100">
        <v>743150</v>
      </c>
      <c r="B344" s="100" t="s">
        <v>516</v>
      </c>
      <c r="C344" s="100" t="s">
        <v>190</v>
      </c>
      <c r="D344" s="102" t="s">
        <v>62</v>
      </c>
      <c r="E344" s="100"/>
      <c r="F344" s="100"/>
      <c r="G344" s="100"/>
      <c r="H344" s="100"/>
      <c r="I344" s="100"/>
      <c r="J344" s="100"/>
      <c r="K344" s="100"/>
      <c r="L344" s="100"/>
      <c r="M344" s="100"/>
      <c r="N344" s="130"/>
      <c r="O344" s="127"/>
      <c r="P344" s="131"/>
      <c r="Q344" s="127"/>
      <c r="R344" s="127"/>
      <c r="S344" s="128">
        <f t="shared" si="10"/>
        <v>0</v>
      </c>
      <c r="T344" s="101">
        <v>12.3</v>
      </c>
      <c r="U344" s="101">
        <v>26.9</v>
      </c>
      <c r="V344" s="129">
        <f t="shared" si="11"/>
        <v>0</v>
      </c>
    </row>
    <row r="345" spans="1:22" ht="15" hidden="1" customHeight="1" x14ac:dyDescent="0.25">
      <c r="A345" s="100">
        <v>743152</v>
      </c>
      <c r="B345" s="100" t="s">
        <v>231</v>
      </c>
      <c r="C345" s="100" t="s">
        <v>185</v>
      </c>
      <c r="D345" s="102" t="s">
        <v>62</v>
      </c>
      <c r="E345" s="100"/>
      <c r="F345" s="100"/>
      <c r="G345" s="100"/>
      <c r="H345" s="100"/>
      <c r="I345" s="100"/>
      <c r="J345" s="100"/>
      <c r="K345" s="100"/>
      <c r="L345" s="100"/>
      <c r="M345" s="100"/>
      <c r="N345" s="130"/>
      <c r="O345" s="127"/>
      <c r="P345" s="131"/>
      <c r="Q345" s="127"/>
      <c r="R345" s="127"/>
      <c r="S345" s="128">
        <f t="shared" si="10"/>
        <v>0</v>
      </c>
      <c r="T345" s="101">
        <v>15</v>
      </c>
      <c r="U345" s="101">
        <v>32.9</v>
      </c>
      <c r="V345" s="129">
        <f t="shared" si="11"/>
        <v>0</v>
      </c>
    </row>
    <row r="346" spans="1:22" ht="15" hidden="1" customHeight="1" x14ac:dyDescent="0.25">
      <c r="A346" s="100">
        <v>743152</v>
      </c>
      <c r="B346" s="100" t="s">
        <v>517</v>
      </c>
      <c r="C346" s="100" t="s">
        <v>190</v>
      </c>
      <c r="D346" s="102" t="s">
        <v>62</v>
      </c>
      <c r="E346" s="100"/>
      <c r="F346" s="100"/>
      <c r="G346" s="100"/>
      <c r="H346" s="100"/>
      <c r="I346" s="100"/>
      <c r="J346" s="100"/>
      <c r="K346" s="100"/>
      <c r="L346" s="100"/>
      <c r="M346" s="100"/>
      <c r="N346" s="130"/>
      <c r="O346" s="127"/>
      <c r="P346" s="131"/>
      <c r="Q346" s="127"/>
      <c r="R346" s="127"/>
      <c r="S346" s="128">
        <f t="shared" si="10"/>
        <v>0</v>
      </c>
      <c r="T346" s="101">
        <v>15</v>
      </c>
      <c r="U346" s="101">
        <v>32.9</v>
      </c>
      <c r="V346" s="129">
        <f t="shared" si="11"/>
        <v>0</v>
      </c>
    </row>
    <row r="347" spans="1:22" ht="15" hidden="1" customHeight="1" x14ac:dyDescent="0.25">
      <c r="A347" s="100">
        <v>743153</v>
      </c>
      <c r="B347" s="100" t="s">
        <v>232</v>
      </c>
      <c r="C347" s="100" t="s">
        <v>488</v>
      </c>
      <c r="D347" s="102" t="s">
        <v>62</v>
      </c>
      <c r="E347" s="100"/>
      <c r="F347" s="100"/>
      <c r="G347" s="100"/>
      <c r="H347" s="100"/>
      <c r="I347" s="100"/>
      <c r="J347" s="100"/>
      <c r="K347" s="100"/>
      <c r="L347" s="100"/>
      <c r="M347" s="100"/>
      <c r="N347" s="130"/>
      <c r="O347" s="127"/>
      <c r="P347" s="131"/>
      <c r="Q347" s="127"/>
      <c r="R347" s="127"/>
      <c r="S347" s="128">
        <f t="shared" si="10"/>
        <v>0</v>
      </c>
      <c r="T347" s="101">
        <v>13.6</v>
      </c>
      <c r="U347" s="101">
        <v>29.9</v>
      </c>
      <c r="V347" s="129">
        <f t="shared" si="11"/>
        <v>0</v>
      </c>
    </row>
    <row r="348" spans="1:22" ht="15" hidden="1" customHeight="1" x14ac:dyDescent="0.25">
      <c r="A348" s="100">
        <v>743153</v>
      </c>
      <c r="B348" s="100" t="s">
        <v>518</v>
      </c>
      <c r="C348" s="100" t="s">
        <v>373</v>
      </c>
      <c r="D348" s="102" t="s">
        <v>62</v>
      </c>
      <c r="E348" s="100"/>
      <c r="F348" s="100"/>
      <c r="G348" s="100"/>
      <c r="H348" s="100"/>
      <c r="I348" s="100"/>
      <c r="J348" s="100"/>
      <c r="K348" s="100"/>
      <c r="L348" s="100"/>
      <c r="M348" s="100"/>
      <c r="N348" s="130"/>
      <c r="O348" s="127"/>
      <c r="P348" s="131"/>
      <c r="Q348" s="127"/>
      <c r="R348" s="127"/>
      <c r="S348" s="128">
        <f t="shared" si="10"/>
        <v>0</v>
      </c>
      <c r="T348" s="101">
        <v>13.6</v>
      </c>
      <c r="U348" s="101">
        <v>29.9</v>
      </c>
      <c r="V348" s="129">
        <f t="shared" si="11"/>
        <v>0</v>
      </c>
    </row>
    <row r="349" spans="1:22" ht="15" hidden="1" customHeight="1" x14ac:dyDescent="0.25">
      <c r="A349" s="100">
        <v>743154</v>
      </c>
      <c r="B349" s="100" t="s">
        <v>233</v>
      </c>
      <c r="C349" s="100" t="s">
        <v>488</v>
      </c>
      <c r="D349" s="102" t="s">
        <v>62</v>
      </c>
      <c r="E349" s="100"/>
      <c r="F349" s="100"/>
      <c r="G349" s="100"/>
      <c r="H349" s="100"/>
      <c r="I349" s="100"/>
      <c r="J349" s="100"/>
      <c r="K349" s="100"/>
      <c r="L349" s="100"/>
      <c r="M349" s="100"/>
      <c r="N349" s="130"/>
      <c r="O349" s="127"/>
      <c r="P349" s="131"/>
      <c r="Q349" s="127"/>
      <c r="R349" s="127"/>
      <c r="S349" s="128">
        <f t="shared" si="10"/>
        <v>0</v>
      </c>
      <c r="T349" s="101">
        <v>12.3</v>
      </c>
      <c r="U349" s="101">
        <v>26.9</v>
      </c>
      <c r="V349" s="129">
        <f t="shared" si="11"/>
        <v>0</v>
      </c>
    </row>
    <row r="350" spans="1:22" ht="15" hidden="1" customHeight="1" x14ac:dyDescent="0.25">
      <c r="A350" s="100">
        <v>743154</v>
      </c>
      <c r="B350" s="100" t="s">
        <v>519</v>
      </c>
      <c r="C350" s="100" t="s">
        <v>373</v>
      </c>
      <c r="D350" s="102" t="s">
        <v>62</v>
      </c>
      <c r="E350" s="100"/>
      <c r="F350" s="100"/>
      <c r="G350" s="100"/>
      <c r="H350" s="100"/>
      <c r="I350" s="100"/>
      <c r="J350" s="100"/>
      <c r="K350" s="100"/>
      <c r="L350" s="100"/>
      <c r="M350" s="100"/>
      <c r="N350" s="130"/>
      <c r="O350" s="127"/>
      <c r="P350" s="131"/>
      <c r="Q350" s="127"/>
      <c r="R350" s="127"/>
      <c r="S350" s="128">
        <f t="shared" si="10"/>
        <v>0</v>
      </c>
      <c r="T350" s="101">
        <v>12.3</v>
      </c>
      <c r="U350" s="101">
        <v>26.9</v>
      </c>
      <c r="V350" s="129">
        <f t="shared" si="11"/>
        <v>0</v>
      </c>
    </row>
    <row r="351" spans="1:22" ht="15" hidden="1" customHeight="1" x14ac:dyDescent="0.25">
      <c r="A351" s="100">
        <v>743157</v>
      </c>
      <c r="B351" s="100" t="s">
        <v>234</v>
      </c>
      <c r="C351" s="100" t="s">
        <v>430</v>
      </c>
      <c r="D351" s="102" t="s">
        <v>62</v>
      </c>
      <c r="E351" s="100"/>
      <c r="F351" s="100"/>
      <c r="G351" s="100"/>
      <c r="H351" s="100"/>
      <c r="I351" s="100"/>
      <c r="J351" s="100"/>
      <c r="K351" s="100"/>
      <c r="L351" s="100"/>
      <c r="M351" s="100"/>
      <c r="N351" s="130"/>
      <c r="O351" s="127"/>
      <c r="P351" s="131"/>
      <c r="Q351" s="131"/>
      <c r="R351" s="131"/>
      <c r="S351" s="128">
        <f t="shared" si="10"/>
        <v>0</v>
      </c>
      <c r="T351" s="101">
        <v>13.6</v>
      </c>
      <c r="U351" s="101">
        <v>29.9</v>
      </c>
      <c r="V351" s="129">
        <f t="shared" si="11"/>
        <v>0</v>
      </c>
    </row>
    <row r="352" spans="1:22" ht="15" hidden="1" customHeight="1" x14ac:dyDescent="0.25">
      <c r="A352" s="100">
        <v>743157</v>
      </c>
      <c r="B352" s="100" t="s">
        <v>520</v>
      </c>
      <c r="C352" s="100" t="s">
        <v>201</v>
      </c>
      <c r="D352" s="102" t="s">
        <v>62</v>
      </c>
      <c r="E352" s="100"/>
      <c r="F352" s="100"/>
      <c r="G352" s="100"/>
      <c r="H352" s="100"/>
      <c r="I352" s="100"/>
      <c r="J352" s="100"/>
      <c r="K352" s="100"/>
      <c r="L352" s="100"/>
      <c r="M352" s="100"/>
      <c r="N352" s="130"/>
      <c r="O352" s="127"/>
      <c r="P352" s="131"/>
      <c r="Q352" s="131"/>
      <c r="R352" s="131"/>
      <c r="S352" s="128">
        <f t="shared" si="10"/>
        <v>0</v>
      </c>
      <c r="T352" s="101">
        <v>13.6</v>
      </c>
      <c r="U352" s="101">
        <v>29.9</v>
      </c>
      <c r="V352" s="129">
        <f t="shared" si="11"/>
        <v>0</v>
      </c>
    </row>
    <row r="353" spans="1:22" ht="15" hidden="1" customHeight="1" x14ac:dyDescent="0.25">
      <c r="A353" s="100">
        <v>743157</v>
      </c>
      <c r="B353" s="100" t="s">
        <v>521</v>
      </c>
      <c r="C353" s="100" t="s">
        <v>455</v>
      </c>
      <c r="D353" s="102" t="s">
        <v>62</v>
      </c>
      <c r="E353" s="100"/>
      <c r="F353" s="100"/>
      <c r="G353" s="100"/>
      <c r="H353" s="100"/>
      <c r="I353" s="100"/>
      <c r="J353" s="100"/>
      <c r="K353" s="100"/>
      <c r="L353" s="100"/>
      <c r="M353" s="100"/>
      <c r="N353" s="130"/>
      <c r="O353" s="127"/>
      <c r="P353" s="131"/>
      <c r="Q353" s="131"/>
      <c r="R353" s="131"/>
      <c r="S353" s="128">
        <f t="shared" si="10"/>
        <v>0</v>
      </c>
      <c r="T353" s="101">
        <v>13.6</v>
      </c>
      <c r="U353" s="101">
        <v>29.9</v>
      </c>
      <c r="V353" s="129">
        <f t="shared" si="11"/>
        <v>0</v>
      </c>
    </row>
    <row r="354" spans="1:22" ht="15" hidden="1" customHeight="1" x14ac:dyDescent="0.25">
      <c r="A354" s="100">
        <v>743158</v>
      </c>
      <c r="B354" s="100" t="s">
        <v>235</v>
      </c>
      <c r="C354" s="100" t="s">
        <v>190</v>
      </c>
      <c r="D354" s="102" t="s">
        <v>62</v>
      </c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27"/>
      <c r="P354" s="131"/>
      <c r="Q354" s="131"/>
      <c r="R354" s="131"/>
      <c r="S354" s="128">
        <f t="shared" si="10"/>
        <v>0</v>
      </c>
      <c r="T354" s="101">
        <v>10.9</v>
      </c>
      <c r="U354" s="101">
        <v>23.9</v>
      </c>
      <c r="V354" s="129">
        <f t="shared" si="11"/>
        <v>0</v>
      </c>
    </row>
    <row r="355" spans="1:22" ht="15" hidden="1" customHeight="1" x14ac:dyDescent="0.25">
      <c r="A355" s="100">
        <v>743161</v>
      </c>
      <c r="B355" s="100" t="s">
        <v>236</v>
      </c>
      <c r="C355" s="100" t="s">
        <v>433</v>
      </c>
      <c r="D355" s="102" t="s">
        <v>62</v>
      </c>
      <c r="E355" s="100"/>
      <c r="F355" s="100"/>
      <c r="G355" s="100"/>
      <c r="H355" s="100"/>
      <c r="I355" s="100"/>
      <c r="J355" s="100"/>
      <c r="K355" s="100"/>
      <c r="L355" s="100"/>
      <c r="M355" s="100"/>
      <c r="N355" s="130"/>
      <c r="O355" s="127"/>
      <c r="P355" s="131"/>
      <c r="Q355" s="127"/>
      <c r="R355" s="127"/>
      <c r="S355" s="128">
        <f t="shared" si="10"/>
        <v>0</v>
      </c>
      <c r="T355" s="101">
        <v>13.6</v>
      </c>
      <c r="U355" s="101">
        <v>29.9</v>
      </c>
      <c r="V355" s="129">
        <f t="shared" si="11"/>
        <v>0</v>
      </c>
    </row>
    <row r="356" spans="1:22" ht="15" hidden="1" customHeight="1" x14ac:dyDescent="0.25">
      <c r="A356" s="100">
        <v>743161</v>
      </c>
      <c r="B356" s="100" t="s">
        <v>522</v>
      </c>
      <c r="C356" s="100" t="s">
        <v>488</v>
      </c>
      <c r="D356" s="102" t="s">
        <v>62</v>
      </c>
      <c r="E356" s="100"/>
      <c r="F356" s="100"/>
      <c r="G356" s="100"/>
      <c r="H356" s="100"/>
      <c r="I356" s="100"/>
      <c r="J356" s="100"/>
      <c r="K356" s="100"/>
      <c r="L356" s="100"/>
      <c r="M356" s="100"/>
      <c r="N356" s="130"/>
      <c r="O356" s="127"/>
      <c r="P356" s="131"/>
      <c r="Q356" s="127"/>
      <c r="R356" s="127"/>
      <c r="S356" s="128">
        <f t="shared" si="10"/>
        <v>0</v>
      </c>
      <c r="T356" s="101">
        <v>13.6</v>
      </c>
      <c r="U356" s="101">
        <v>29.9</v>
      </c>
      <c r="V356" s="129">
        <f t="shared" si="11"/>
        <v>0</v>
      </c>
    </row>
    <row r="357" spans="1:22" ht="15" hidden="1" customHeight="1" x14ac:dyDescent="0.25">
      <c r="A357" s="100">
        <v>743161</v>
      </c>
      <c r="B357" s="100" t="s">
        <v>523</v>
      </c>
      <c r="C357" s="100" t="s">
        <v>190</v>
      </c>
      <c r="D357" s="102" t="s">
        <v>62</v>
      </c>
      <c r="E357" s="100"/>
      <c r="F357" s="100"/>
      <c r="G357" s="100"/>
      <c r="H357" s="100"/>
      <c r="I357" s="100"/>
      <c r="J357" s="100"/>
      <c r="K357" s="100"/>
      <c r="L357" s="100"/>
      <c r="M357" s="100"/>
      <c r="N357" s="130"/>
      <c r="O357" s="127"/>
      <c r="P357" s="131"/>
      <c r="Q357" s="127"/>
      <c r="R357" s="127"/>
      <c r="S357" s="128">
        <f t="shared" si="10"/>
        <v>0</v>
      </c>
      <c r="T357" s="101">
        <v>13.6</v>
      </c>
      <c r="U357" s="101">
        <v>29.9</v>
      </c>
      <c r="V357" s="129">
        <f t="shared" si="11"/>
        <v>0</v>
      </c>
    </row>
    <row r="358" spans="1:22" ht="15" hidden="1" customHeight="1" x14ac:dyDescent="0.25">
      <c r="A358" s="100">
        <v>743164</v>
      </c>
      <c r="B358" s="100" t="s">
        <v>237</v>
      </c>
      <c r="C358" s="100" t="s">
        <v>201</v>
      </c>
      <c r="D358" s="102" t="s">
        <v>62</v>
      </c>
      <c r="E358" s="100"/>
      <c r="F358" s="100"/>
      <c r="G358" s="100"/>
      <c r="H358" s="100"/>
      <c r="I358" s="100"/>
      <c r="J358" s="100"/>
      <c r="K358" s="100"/>
      <c r="L358" s="100"/>
      <c r="M358" s="100"/>
      <c r="N358" s="130"/>
      <c r="O358" s="127"/>
      <c r="P358" s="131"/>
      <c r="Q358" s="127"/>
      <c r="R358" s="127"/>
      <c r="S358" s="128">
        <f t="shared" si="10"/>
        <v>0</v>
      </c>
      <c r="T358" s="101">
        <v>13.6</v>
      </c>
      <c r="U358" s="101">
        <v>29.9</v>
      </c>
      <c r="V358" s="129">
        <f t="shared" si="11"/>
        <v>0</v>
      </c>
    </row>
    <row r="359" spans="1:22" ht="15" hidden="1" customHeight="1" x14ac:dyDescent="0.25">
      <c r="A359" s="100">
        <v>743164</v>
      </c>
      <c r="B359" s="100" t="s">
        <v>524</v>
      </c>
      <c r="C359" s="100" t="s">
        <v>190</v>
      </c>
      <c r="D359" s="102" t="s">
        <v>62</v>
      </c>
      <c r="E359" s="100"/>
      <c r="F359" s="100"/>
      <c r="G359" s="100"/>
      <c r="H359" s="100"/>
      <c r="I359" s="100"/>
      <c r="J359" s="100"/>
      <c r="K359" s="100"/>
      <c r="L359" s="100"/>
      <c r="M359" s="100"/>
      <c r="N359" s="130"/>
      <c r="O359" s="127"/>
      <c r="P359" s="131"/>
      <c r="Q359" s="127"/>
      <c r="R359" s="127"/>
      <c r="S359" s="128">
        <f t="shared" si="10"/>
        <v>0</v>
      </c>
      <c r="T359" s="101">
        <v>13.6</v>
      </c>
      <c r="U359" s="101">
        <v>29.9</v>
      </c>
      <c r="V359" s="129">
        <f t="shared" si="11"/>
        <v>0</v>
      </c>
    </row>
    <row r="360" spans="1:22" ht="15" hidden="1" customHeight="1" x14ac:dyDescent="0.25">
      <c r="A360" s="100">
        <v>743165</v>
      </c>
      <c r="B360" s="100" t="s">
        <v>238</v>
      </c>
      <c r="C360" s="100" t="s">
        <v>488</v>
      </c>
      <c r="D360" s="102" t="s">
        <v>62</v>
      </c>
      <c r="E360" s="100"/>
      <c r="F360" s="100"/>
      <c r="G360" s="100"/>
      <c r="H360" s="100"/>
      <c r="I360" s="100"/>
      <c r="J360" s="100"/>
      <c r="K360" s="100"/>
      <c r="L360" s="100"/>
      <c r="M360" s="100"/>
      <c r="N360" s="130"/>
      <c r="O360" s="127"/>
      <c r="P360" s="131"/>
      <c r="Q360" s="127"/>
      <c r="R360" s="127"/>
      <c r="S360" s="128">
        <f t="shared" si="10"/>
        <v>0</v>
      </c>
      <c r="T360" s="101">
        <v>13.6</v>
      </c>
      <c r="U360" s="101">
        <v>29.9</v>
      </c>
      <c r="V360" s="129">
        <f t="shared" si="11"/>
        <v>0</v>
      </c>
    </row>
    <row r="361" spans="1:22" ht="15" hidden="1" customHeight="1" x14ac:dyDescent="0.25">
      <c r="A361" s="100">
        <v>743165</v>
      </c>
      <c r="B361" s="100" t="s">
        <v>219</v>
      </c>
      <c r="C361" s="100" t="s">
        <v>185</v>
      </c>
      <c r="D361" s="102" t="s">
        <v>62</v>
      </c>
      <c r="E361" s="100"/>
      <c r="F361" s="100"/>
      <c r="G361" s="100"/>
      <c r="H361" s="100"/>
      <c r="I361" s="100"/>
      <c r="J361" s="100"/>
      <c r="K361" s="100"/>
      <c r="L361" s="100"/>
      <c r="M361" s="100"/>
      <c r="N361" s="130"/>
      <c r="O361" s="127"/>
      <c r="P361" s="131"/>
      <c r="Q361" s="127"/>
      <c r="R361" s="127"/>
      <c r="S361" s="128">
        <f t="shared" si="10"/>
        <v>0</v>
      </c>
      <c r="T361" s="101">
        <v>13.6</v>
      </c>
      <c r="U361" s="101">
        <v>29.9</v>
      </c>
      <c r="V361" s="129">
        <f t="shared" si="11"/>
        <v>0</v>
      </c>
    </row>
    <row r="362" spans="1:22" ht="15" hidden="1" customHeight="1" x14ac:dyDescent="0.25">
      <c r="A362" s="100">
        <v>743165</v>
      </c>
      <c r="B362" s="100" t="s">
        <v>525</v>
      </c>
      <c r="C362" s="100" t="s">
        <v>201</v>
      </c>
      <c r="D362" s="102" t="s">
        <v>62</v>
      </c>
      <c r="E362" s="100"/>
      <c r="F362" s="100"/>
      <c r="G362" s="100"/>
      <c r="H362" s="100"/>
      <c r="I362" s="100"/>
      <c r="J362" s="100"/>
      <c r="K362" s="100"/>
      <c r="L362" s="100"/>
      <c r="M362" s="100"/>
      <c r="N362" s="130"/>
      <c r="O362" s="127"/>
      <c r="P362" s="131"/>
      <c r="Q362" s="127"/>
      <c r="R362" s="127"/>
      <c r="S362" s="128">
        <f t="shared" si="10"/>
        <v>0</v>
      </c>
      <c r="T362" s="101">
        <v>13.6</v>
      </c>
      <c r="U362" s="101">
        <v>29.9</v>
      </c>
      <c r="V362" s="129">
        <f t="shared" si="11"/>
        <v>0</v>
      </c>
    </row>
    <row r="363" spans="1:22" ht="15" hidden="1" customHeight="1" x14ac:dyDescent="0.25">
      <c r="A363" s="100">
        <v>743168</v>
      </c>
      <c r="B363" s="100" t="s">
        <v>239</v>
      </c>
      <c r="C363" s="100" t="s">
        <v>373</v>
      </c>
      <c r="D363" s="102" t="s">
        <v>62</v>
      </c>
      <c r="E363" s="100"/>
      <c r="F363" s="100"/>
      <c r="G363" s="100"/>
      <c r="H363" s="100"/>
      <c r="I363" s="100"/>
      <c r="J363" s="100"/>
      <c r="K363" s="100"/>
      <c r="L363" s="100"/>
      <c r="M363" s="100"/>
      <c r="N363" s="130"/>
      <c r="O363" s="127"/>
      <c r="P363" s="131"/>
      <c r="Q363" s="127"/>
      <c r="R363" s="127"/>
      <c r="S363" s="128">
        <f t="shared" si="10"/>
        <v>0</v>
      </c>
      <c r="T363" s="101">
        <v>11.8</v>
      </c>
      <c r="U363" s="101">
        <v>25.9</v>
      </c>
      <c r="V363" s="129">
        <f t="shared" si="11"/>
        <v>0</v>
      </c>
    </row>
    <row r="364" spans="1:22" ht="15" hidden="1" customHeight="1" x14ac:dyDescent="0.25">
      <c r="A364" s="100">
        <v>743168</v>
      </c>
      <c r="B364" s="100" t="s">
        <v>526</v>
      </c>
      <c r="C364" s="100" t="s">
        <v>185</v>
      </c>
      <c r="D364" s="102" t="s">
        <v>62</v>
      </c>
      <c r="E364" s="100"/>
      <c r="F364" s="100"/>
      <c r="G364" s="100"/>
      <c r="H364" s="100"/>
      <c r="I364" s="100"/>
      <c r="J364" s="100"/>
      <c r="K364" s="100"/>
      <c r="L364" s="100"/>
      <c r="M364" s="100"/>
      <c r="N364" s="130"/>
      <c r="O364" s="127"/>
      <c r="P364" s="131"/>
      <c r="Q364" s="127"/>
      <c r="R364" s="127"/>
      <c r="S364" s="128">
        <f t="shared" si="10"/>
        <v>0</v>
      </c>
      <c r="T364" s="101">
        <v>11.8</v>
      </c>
      <c r="U364" s="101">
        <v>25.9</v>
      </c>
      <c r="V364" s="129">
        <f t="shared" si="11"/>
        <v>0</v>
      </c>
    </row>
    <row r="365" spans="1:22" ht="15" hidden="1" customHeight="1" x14ac:dyDescent="0.25">
      <c r="A365" s="100">
        <v>743170</v>
      </c>
      <c r="B365" s="100" t="s">
        <v>240</v>
      </c>
      <c r="C365" s="100" t="s">
        <v>459</v>
      </c>
      <c r="D365" s="102" t="s">
        <v>62</v>
      </c>
      <c r="E365" s="100"/>
      <c r="F365" s="100"/>
      <c r="G365" s="100"/>
      <c r="H365" s="100"/>
      <c r="I365" s="100"/>
      <c r="J365" s="100"/>
      <c r="K365" s="100"/>
      <c r="L365" s="100"/>
      <c r="M365" s="100"/>
      <c r="N365" s="130"/>
      <c r="O365" s="127"/>
      <c r="P365" s="131"/>
      <c r="Q365" s="127"/>
      <c r="R365" s="127"/>
      <c r="S365" s="128">
        <f t="shared" si="10"/>
        <v>0</v>
      </c>
      <c r="T365" s="101">
        <v>11.8</v>
      </c>
      <c r="U365" s="101">
        <v>25.9</v>
      </c>
      <c r="V365" s="129">
        <f t="shared" si="11"/>
        <v>0</v>
      </c>
    </row>
    <row r="366" spans="1:22" ht="15" hidden="1" customHeight="1" x14ac:dyDescent="0.25">
      <c r="A366" s="100">
        <v>743170</v>
      </c>
      <c r="B366" s="100" t="s">
        <v>527</v>
      </c>
      <c r="C366" s="100" t="s">
        <v>379</v>
      </c>
      <c r="D366" s="102" t="s">
        <v>62</v>
      </c>
      <c r="E366" s="100"/>
      <c r="F366" s="100"/>
      <c r="G366" s="100"/>
      <c r="H366" s="100"/>
      <c r="I366" s="100"/>
      <c r="J366" s="100"/>
      <c r="K366" s="100"/>
      <c r="L366" s="100"/>
      <c r="M366" s="100"/>
      <c r="N366" s="130"/>
      <c r="O366" s="127"/>
      <c r="P366" s="131"/>
      <c r="Q366" s="127"/>
      <c r="R366" s="127"/>
      <c r="S366" s="128">
        <f t="shared" si="10"/>
        <v>0</v>
      </c>
      <c r="T366" s="101">
        <v>11.8</v>
      </c>
      <c r="U366" s="101">
        <v>25.9</v>
      </c>
      <c r="V366" s="129">
        <f t="shared" si="11"/>
        <v>0</v>
      </c>
    </row>
    <row r="367" spans="1:22" ht="15" hidden="1" customHeight="1" x14ac:dyDescent="0.25">
      <c r="A367" s="100">
        <v>743170</v>
      </c>
      <c r="B367" s="100" t="s">
        <v>528</v>
      </c>
      <c r="C367" s="100" t="s">
        <v>201</v>
      </c>
      <c r="D367" s="102" t="s">
        <v>62</v>
      </c>
      <c r="E367" s="100"/>
      <c r="F367" s="100"/>
      <c r="G367" s="100"/>
      <c r="H367" s="100"/>
      <c r="I367" s="100"/>
      <c r="J367" s="100"/>
      <c r="K367" s="100"/>
      <c r="L367" s="100"/>
      <c r="M367" s="100"/>
      <c r="N367" s="130"/>
      <c r="O367" s="127"/>
      <c r="P367" s="131"/>
      <c r="Q367" s="127"/>
      <c r="R367" s="127"/>
      <c r="S367" s="128">
        <f t="shared" si="10"/>
        <v>0</v>
      </c>
      <c r="T367" s="101">
        <v>11.8</v>
      </c>
      <c r="U367" s="101">
        <v>25.9</v>
      </c>
      <c r="V367" s="129">
        <f t="shared" si="11"/>
        <v>0</v>
      </c>
    </row>
    <row r="368" spans="1:22" ht="15" hidden="1" customHeight="1" x14ac:dyDescent="0.25">
      <c r="A368" s="100">
        <v>743170</v>
      </c>
      <c r="B368" s="100" t="s">
        <v>529</v>
      </c>
      <c r="C368" s="100" t="s">
        <v>190</v>
      </c>
      <c r="D368" s="102" t="s">
        <v>62</v>
      </c>
      <c r="E368" s="100"/>
      <c r="F368" s="100"/>
      <c r="G368" s="100"/>
      <c r="H368" s="100"/>
      <c r="I368" s="100"/>
      <c r="J368" s="100"/>
      <c r="K368" s="100"/>
      <c r="L368" s="100"/>
      <c r="M368" s="100"/>
      <c r="N368" s="130"/>
      <c r="O368" s="127"/>
      <c r="P368" s="131"/>
      <c r="Q368" s="127"/>
      <c r="R368" s="127"/>
      <c r="S368" s="128">
        <f t="shared" si="10"/>
        <v>0</v>
      </c>
      <c r="T368" s="101">
        <v>11.8</v>
      </c>
      <c r="U368" s="101">
        <v>25.9</v>
      </c>
      <c r="V368" s="129">
        <f t="shared" si="11"/>
        <v>0</v>
      </c>
    </row>
    <row r="369" spans="1:22" ht="15" hidden="1" customHeight="1" x14ac:dyDescent="0.25">
      <c r="A369" s="100">
        <v>743170</v>
      </c>
      <c r="B369" s="100" t="s">
        <v>530</v>
      </c>
      <c r="C369" s="100" t="s">
        <v>455</v>
      </c>
      <c r="D369" s="102" t="s">
        <v>62</v>
      </c>
      <c r="E369" s="100"/>
      <c r="F369" s="100"/>
      <c r="G369" s="100"/>
      <c r="H369" s="100"/>
      <c r="I369" s="100"/>
      <c r="J369" s="100"/>
      <c r="K369" s="100"/>
      <c r="L369" s="100"/>
      <c r="M369" s="100"/>
      <c r="N369" s="130"/>
      <c r="O369" s="127"/>
      <c r="P369" s="131"/>
      <c r="Q369" s="127"/>
      <c r="R369" s="127"/>
      <c r="S369" s="128">
        <f t="shared" si="10"/>
        <v>0</v>
      </c>
      <c r="T369" s="101">
        <v>11.8</v>
      </c>
      <c r="U369" s="101">
        <v>25.9</v>
      </c>
      <c r="V369" s="129">
        <f t="shared" si="11"/>
        <v>0</v>
      </c>
    </row>
    <row r="370" spans="1:22" ht="15" hidden="1" customHeight="1" x14ac:dyDescent="0.25">
      <c r="A370" s="100">
        <v>743172</v>
      </c>
      <c r="B370" s="100" t="s">
        <v>241</v>
      </c>
      <c r="C370" s="100" t="s">
        <v>459</v>
      </c>
      <c r="D370" s="102" t="s">
        <v>62</v>
      </c>
      <c r="E370" s="100"/>
      <c r="F370" s="100"/>
      <c r="G370" s="100"/>
      <c r="H370" s="100"/>
      <c r="I370" s="100"/>
      <c r="J370" s="100"/>
      <c r="K370" s="100"/>
      <c r="L370" s="100"/>
      <c r="M370" s="100"/>
      <c r="N370" s="130"/>
      <c r="O370" s="127"/>
      <c r="P370" s="131"/>
      <c r="Q370" s="131"/>
      <c r="R370" s="131"/>
      <c r="S370" s="128">
        <f t="shared" si="10"/>
        <v>0</v>
      </c>
      <c r="T370" s="101">
        <v>18.2</v>
      </c>
      <c r="U370" s="101">
        <v>39.9</v>
      </c>
      <c r="V370" s="129">
        <f t="shared" si="11"/>
        <v>0</v>
      </c>
    </row>
    <row r="371" spans="1:22" ht="15" hidden="1" customHeight="1" x14ac:dyDescent="0.25">
      <c r="A371" s="100">
        <v>743172</v>
      </c>
      <c r="B371" s="100" t="s">
        <v>207</v>
      </c>
      <c r="C371" s="100" t="s">
        <v>379</v>
      </c>
      <c r="D371" s="102" t="s">
        <v>62</v>
      </c>
      <c r="E371" s="100"/>
      <c r="F371" s="100"/>
      <c r="G371" s="100"/>
      <c r="H371" s="100"/>
      <c r="I371" s="100"/>
      <c r="J371" s="100"/>
      <c r="K371" s="100"/>
      <c r="L371" s="100"/>
      <c r="M371" s="100"/>
      <c r="N371" s="130"/>
      <c r="O371" s="127"/>
      <c r="P371" s="131"/>
      <c r="Q371" s="131"/>
      <c r="R371" s="131"/>
      <c r="S371" s="128">
        <f t="shared" si="10"/>
        <v>0</v>
      </c>
      <c r="T371" s="101">
        <v>18.2</v>
      </c>
      <c r="U371" s="101">
        <v>39.9</v>
      </c>
      <c r="V371" s="129">
        <f t="shared" si="11"/>
        <v>0</v>
      </c>
    </row>
    <row r="372" spans="1:22" ht="15" hidden="1" customHeight="1" x14ac:dyDescent="0.25">
      <c r="A372" s="100">
        <v>743174</v>
      </c>
      <c r="B372" s="100" t="s">
        <v>242</v>
      </c>
      <c r="C372" s="100" t="s">
        <v>185</v>
      </c>
      <c r="D372" s="102" t="s">
        <v>62</v>
      </c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27"/>
      <c r="P372" s="131"/>
      <c r="Q372" s="131"/>
      <c r="R372" s="131"/>
      <c r="S372" s="128">
        <f t="shared" si="10"/>
        <v>0</v>
      </c>
      <c r="T372" s="101">
        <v>15.5</v>
      </c>
      <c r="U372" s="101">
        <v>33.9</v>
      </c>
      <c r="V372" s="129">
        <f t="shared" si="11"/>
        <v>0</v>
      </c>
    </row>
    <row r="373" spans="1:22" ht="15" hidden="1" customHeight="1" x14ac:dyDescent="0.25">
      <c r="A373" s="100">
        <v>743174</v>
      </c>
      <c r="B373" s="100" t="s">
        <v>531</v>
      </c>
      <c r="C373" s="100" t="s">
        <v>201</v>
      </c>
      <c r="D373" s="102" t="s">
        <v>62</v>
      </c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27"/>
      <c r="P373" s="131"/>
      <c r="Q373" s="131"/>
      <c r="R373" s="131"/>
      <c r="S373" s="128">
        <f t="shared" si="10"/>
        <v>0</v>
      </c>
      <c r="T373" s="101">
        <v>15.5</v>
      </c>
      <c r="U373" s="101">
        <v>33.9</v>
      </c>
      <c r="V373" s="129">
        <f t="shared" si="11"/>
        <v>0</v>
      </c>
    </row>
    <row r="374" spans="1:22" ht="15" hidden="1" customHeight="1" x14ac:dyDescent="0.25">
      <c r="A374" s="100">
        <v>743176</v>
      </c>
      <c r="B374" s="100" t="s">
        <v>532</v>
      </c>
      <c r="C374" s="100" t="s">
        <v>379</v>
      </c>
      <c r="D374" s="102" t="s">
        <v>62</v>
      </c>
      <c r="E374" s="100"/>
      <c r="F374" s="100"/>
      <c r="G374" s="100"/>
      <c r="H374" s="100"/>
      <c r="I374" s="100"/>
      <c r="J374" s="100"/>
      <c r="K374" s="100"/>
      <c r="L374" s="100"/>
      <c r="M374" s="100"/>
      <c r="N374" s="130"/>
      <c r="O374" s="127"/>
      <c r="P374" s="131"/>
      <c r="Q374" s="127"/>
      <c r="R374" s="127"/>
      <c r="S374" s="128">
        <f t="shared" si="10"/>
        <v>0</v>
      </c>
      <c r="T374" s="101">
        <v>10.9</v>
      </c>
      <c r="U374" s="101">
        <v>23.9</v>
      </c>
      <c r="V374" s="129">
        <f t="shared" si="11"/>
        <v>0</v>
      </c>
    </row>
    <row r="375" spans="1:22" ht="15" hidden="1" customHeight="1" x14ac:dyDescent="0.25">
      <c r="A375" s="100">
        <v>743176</v>
      </c>
      <c r="B375" s="100" t="s">
        <v>149</v>
      </c>
      <c r="C375" s="100" t="s">
        <v>185</v>
      </c>
      <c r="D375" s="102" t="s">
        <v>62</v>
      </c>
      <c r="E375" s="100"/>
      <c r="F375" s="100"/>
      <c r="G375" s="100"/>
      <c r="H375" s="100"/>
      <c r="I375" s="100"/>
      <c r="J375" s="100"/>
      <c r="K375" s="100"/>
      <c r="L375" s="100"/>
      <c r="M375" s="100"/>
      <c r="N375" s="130"/>
      <c r="O375" s="127"/>
      <c r="P375" s="131"/>
      <c r="Q375" s="127"/>
      <c r="R375" s="127"/>
      <c r="S375" s="128">
        <f t="shared" si="10"/>
        <v>0</v>
      </c>
      <c r="T375" s="101">
        <v>10.9</v>
      </c>
      <c r="U375" s="101">
        <v>23.9</v>
      </c>
      <c r="V375" s="129">
        <f t="shared" si="11"/>
        <v>0</v>
      </c>
    </row>
    <row r="376" spans="1:22" ht="15" hidden="1" customHeight="1" x14ac:dyDescent="0.25">
      <c r="A376" s="100">
        <v>743176</v>
      </c>
      <c r="B376" s="100" t="s">
        <v>533</v>
      </c>
      <c r="C376" s="100" t="s">
        <v>201</v>
      </c>
      <c r="D376" s="102" t="s">
        <v>62</v>
      </c>
      <c r="E376" s="100"/>
      <c r="F376" s="100"/>
      <c r="G376" s="100"/>
      <c r="H376" s="100"/>
      <c r="I376" s="100"/>
      <c r="J376" s="100"/>
      <c r="K376" s="100"/>
      <c r="L376" s="100"/>
      <c r="M376" s="100"/>
      <c r="N376" s="130"/>
      <c r="O376" s="127"/>
      <c r="P376" s="131"/>
      <c r="Q376" s="127"/>
      <c r="R376" s="127"/>
      <c r="S376" s="128">
        <f t="shared" si="10"/>
        <v>0</v>
      </c>
      <c r="T376" s="101">
        <v>10.9</v>
      </c>
      <c r="U376" s="101">
        <v>23.9</v>
      </c>
      <c r="V376" s="129">
        <f t="shared" si="11"/>
        <v>0</v>
      </c>
    </row>
    <row r="377" spans="1:22" ht="15" hidden="1" customHeight="1" x14ac:dyDescent="0.25">
      <c r="A377" s="100">
        <v>743177</v>
      </c>
      <c r="B377" s="100" t="s">
        <v>534</v>
      </c>
      <c r="C377" s="100" t="s">
        <v>448</v>
      </c>
      <c r="D377" s="102" t="s">
        <v>62</v>
      </c>
      <c r="E377" s="100"/>
      <c r="F377" s="100"/>
      <c r="G377" s="100"/>
      <c r="H377" s="100"/>
      <c r="I377" s="100"/>
      <c r="J377" s="100"/>
      <c r="K377" s="100"/>
      <c r="L377" s="100"/>
      <c r="M377" s="100"/>
      <c r="N377" s="130"/>
      <c r="O377" s="127"/>
      <c r="P377" s="131"/>
      <c r="Q377" s="127"/>
      <c r="R377" s="127"/>
      <c r="S377" s="128">
        <f t="shared" si="10"/>
        <v>0</v>
      </c>
      <c r="T377" s="101">
        <v>11.8</v>
      </c>
      <c r="U377" s="101">
        <v>25.9</v>
      </c>
      <c r="V377" s="129">
        <f t="shared" si="11"/>
        <v>0</v>
      </c>
    </row>
    <row r="378" spans="1:22" ht="15" hidden="1" customHeight="1" x14ac:dyDescent="0.25">
      <c r="A378" s="100">
        <v>743177</v>
      </c>
      <c r="B378" s="100" t="s">
        <v>199</v>
      </c>
      <c r="C378" s="100" t="s">
        <v>408</v>
      </c>
      <c r="D378" s="102" t="s">
        <v>62</v>
      </c>
      <c r="E378" s="100"/>
      <c r="F378" s="100"/>
      <c r="G378" s="100"/>
      <c r="H378" s="100"/>
      <c r="I378" s="100"/>
      <c r="J378" s="100"/>
      <c r="K378" s="100"/>
      <c r="L378" s="100"/>
      <c r="M378" s="100"/>
      <c r="N378" s="130"/>
      <c r="O378" s="127"/>
      <c r="P378" s="131"/>
      <c r="Q378" s="127"/>
      <c r="R378" s="127"/>
      <c r="S378" s="128">
        <f t="shared" si="10"/>
        <v>0</v>
      </c>
      <c r="T378" s="101">
        <v>11.8</v>
      </c>
      <c r="U378" s="101">
        <v>25.9</v>
      </c>
      <c r="V378" s="129">
        <f t="shared" si="11"/>
        <v>0</v>
      </c>
    </row>
    <row r="379" spans="1:22" ht="15" hidden="1" customHeight="1" x14ac:dyDescent="0.25">
      <c r="A379" s="100">
        <v>743177</v>
      </c>
      <c r="B379" s="100" t="s">
        <v>535</v>
      </c>
      <c r="C379" s="100" t="s">
        <v>371</v>
      </c>
      <c r="D379" s="102" t="s">
        <v>62</v>
      </c>
      <c r="E379" s="100"/>
      <c r="F379" s="100"/>
      <c r="G379" s="100"/>
      <c r="H379" s="100"/>
      <c r="I379" s="100"/>
      <c r="J379" s="100"/>
      <c r="K379" s="100"/>
      <c r="L379" s="100"/>
      <c r="M379" s="100"/>
      <c r="N379" s="130"/>
      <c r="O379" s="127"/>
      <c r="P379" s="131"/>
      <c r="Q379" s="127"/>
      <c r="R379" s="127"/>
      <c r="S379" s="128">
        <f t="shared" si="10"/>
        <v>0</v>
      </c>
      <c r="T379" s="101">
        <v>11.8</v>
      </c>
      <c r="U379" s="101">
        <v>25.9</v>
      </c>
      <c r="V379" s="129">
        <f t="shared" si="11"/>
        <v>0</v>
      </c>
    </row>
    <row r="380" spans="1:22" ht="15" hidden="1" customHeight="1" x14ac:dyDescent="0.25">
      <c r="A380" s="100">
        <v>743177</v>
      </c>
      <c r="B380" s="100" t="s">
        <v>536</v>
      </c>
      <c r="C380" s="100" t="s">
        <v>190</v>
      </c>
      <c r="D380" s="102" t="s">
        <v>62</v>
      </c>
      <c r="E380" s="100"/>
      <c r="F380" s="100"/>
      <c r="G380" s="100"/>
      <c r="H380" s="100"/>
      <c r="I380" s="100"/>
      <c r="J380" s="100"/>
      <c r="K380" s="100"/>
      <c r="L380" s="100"/>
      <c r="M380" s="100"/>
      <c r="N380" s="130"/>
      <c r="O380" s="127"/>
      <c r="P380" s="131"/>
      <c r="Q380" s="127"/>
      <c r="R380" s="127"/>
      <c r="S380" s="128">
        <f t="shared" si="10"/>
        <v>0</v>
      </c>
      <c r="T380" s="101">
        <v>11.8</v>
      </c>
      <c r="U380" s="101">
        <v>25.9</v>
      </c>
      <c r="V380" s="129">
        <f t="shared" si="11"/>
        <v>0</v>
      </c>
    </row>
    <row r="381" spans="1:22" ht="15" hidden="1" customHeight="1" x14ac:dyDescent="0.25">
      <c r="A381" s="100">
        <v>743177</v>
      </c>
      <c r="B381" s="100" t="s">
        <v>537</v>
      </c>
      <c r="C381" s="100" t="s">
        <v>85</v>
      </c>
      <c r="D381" s="102" t="s">
        <v>62</v>
      </c>
      <c r="E381" s="100"/>
      <c r="F381" s="100"/>
      <c r="G381" s="100"/>
      <c r="H381" s="100"/>
      <c r="I381" s="100"/>
      <c r="J381" s="100"/>
      <c r="K381" s="100"/>
      <c r="L381" s="100"/>
      <c r="M381" s="100"/>
      <c r="N381" s="130"/>
      <c r="O381" s="127"/>
      <c r="P381" s="131"/>
      <c r="Q381" s="127"/>
      <c r="R381" s="127"/>
      <c r="S381" s="128">
        <f t="shared" si="10"/>
        <v>0</v>
      </c>
      <c r="T381" s="101">
        <v>11.8</v>
      </c>
      <c r="U381" s="101">
        <v>25.9</v>
      </c>
      <c r="V381" s="129">
        <f t="shared" si="11"/>
        <v>0</v>
      </c>
    </row>
    <row r="382" spans="1:22" ht="15" hidden="1" customHeight="1" x14ac:dyDescent="0.25">
      <c r="A382" s="100">
        <v>743179</v>
      </c>
      <c r="B382" s="100" t="s">
        <v>538</v>
      </c>
      <c r="C382" s="100" t="s">
        <v>430</v>
      </c>
      <c r="D382" s="102" t="s">
        <v>62</v>
      </c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27"/>
      <c r="P382" s="131"/>
      <c r="Q382" s="127"/>
      <c r="R382" s="127"/>
      <c r="S382" s="128">
        <f t="shared" si="10"/>
        <v>0</v>
      </c>
      <c r="T382" s="101">
        <v>15.5</v>
      </c>
      <c r="U382" s="101">
        <v>33.9</v>
      </c>
      <c r="V382" s="129">
        <f t="shared" si="11"/>
        <v>0</v>
      </c>
    </row>
    <row r="383" spans="1:22" ht="15" hidden="1" customHeight="1" x14ac:dyDescent="0.25">
      <c r="A383" s="100">
        <v>743179</v>
      </c>
      <c r="B383" s="100" t="s">
        <v>539</v>
      </c>
      <c r="C383" s="100" t="s">
        <v>455</v>
      </c>
      <c r="D383" s="102" t="s">
        <v>62</v>
      </c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27"/>
      <c r="P383" s="131"/>
      <c r="Q383" s="127"/>
      <c r="R383" s="127"/>
      <c r="S383" s="128">
        <f t="shared" si="10"/>
        <v>0</v>
      </c>
      <c r="T383" s="101">
        <v>15.5</v>
      </c>
      <c r="U383" s="101">
        <v>33.9</v>
      </c>
      <c r="V383" s="129">
        <f t="shared" si="11"/>
        <v>0</v>
      </c>
    </row>
    <row r="384" spans="1:22" ht="15" hidden="1" customHeight="1" x14ac:dyDescent="0.25">
      <c r="A384" s="100">
        <v>743183</v>
      </c>
      <c r="B384" s="100" t="s">
        <v>243</v>
      </c>
      <c r="C384" s="100" t="s">
        <v>442</v>
      </c>
      <c r="D384" s="102" t="s">
        <v>62</v>
      </c>
      <c r="E384" s="100"/>
      <c r="F384" s="100"/>
      <c r="G384" s="100"/>
      <c r="H384" s="100"/>
      <c r="I384" s="100"/>
      <c r="J384" s="100"/>
      <c r="K384" s="100"/>
      <c r="L384" s="100"/>
      <c r="M384" s="100"/>
      <c r="N384" s="130"/>
      <c r="O384" s="127"/>
      <c r="P384" s="131"/>
      <c r="Q384" s="127"/>
      <c r="R384" s="127"/>
      <c r="S384" s="128">
        <f t="shared" si="10"/>
        <v>0</v>
      </c>
      <c r="T384" s="101">
        <v>12.3</v>
      </c>
      <c r="U384" s="101">
        <v>26.9</v>
      </c>
      <c r="V384" s="129">
        <f t="shared" si="11"/>
        <v>0</v>
      </c>
    </row>
    <row r="385" spans="1:22" ht="15" hidden="1" customHeight="1" x14ac:dyDescent="0.25">
      <c r="A385" s="100">
        <v>743183</v>
      </c>
      <c r="B385" s="100" t="s">
        <v>540</v>
      </c>
      <c r="C385" s="100" t="s">
        <v>430</v>
      </c>
      <c r="D385" s="102" t="s">
        <v>62</v>
      </c>
      <c r="E385" s="100"/>
      <c r="F385" s="100"/>
      <c r="G385" s="100"/>
      <c r="H385" s="100"/>
      <c r="I385" s="100"/>
      <c r="J385" s="100"/>
      <c r="K385" s="100"/>
      <c r="L385" s="100"/>
      <c r="M385" s="100"/>
      <c r="N385" s="130"/>
      <c r="O385" s="127"/>
      <c r="P385" s="131"/>
      <c r="Q385" s="127"/>
      <c r="R385" s="127"/>
      <c r="S385" s="128">
        <f t="shared" si="10"/>
        <v>0</v>
      </c>
      <c r="T385" s="101">
        <v>12.3</v>
      </c>
      <c r="U385" s="101">
        <v>26.9</v>
      </c>
      <c r="V385" s="129">
        <f t="shared" si="11"/>
        <v>0</v>
      </c>
    </row>
    <row r="386" spans="1:22" ht="15" hidden="1" customHeight="1" x14ac:dyDescent="0.25">
      <c r="A386" s="100">
        <v>743183</v>
      </c>
      <c r="B386" s="100" t="s">
        <v>541</v>
      </c>
      <c r="C386" s="100" t="s">
        <v>190</v>
      </c>
      <c r="D386" s="102" t="s">
        <v>62</v>
      </c>
      <c r="E386" s="100"/>
      <c r="F386" s="100"/>
      <c r="G386" s="100"/>
      <c r="H386" s="100"/>
      <c r="I386" s="100"/>
      <c r="J386" s="100"/>
      <c r="K386" s="100"/>
      <c r="L386" s="100"/>
      <c r="M386" s="100"/>
      <c r="N386" s="130"/>
      <c r="O386" s="127"/>
      <c r="P386" s="131"/>
      <c r="Q386" s="127"/>
      <c r="R386" s="127"/>
      <c r="S386" s="128">
        <f t="shared" si="10"/>
        <v>0</v>
      </c>
      <c r="T386" s="101">
        <v>12.3</v>
      </c>
      <c r="U386" s="101">
        <v>26.9</v>
      </c>
      <c r="V386" s="129">
        <f t="shared" si="11"/>
        <v>0</v>
      </c>
    </row>
    <row r="387" spans="1:22" ht="15" hidden="1" customHeight="1" x14ac:dyDescent="0.25">
      <c r="A387" s="100">
        <v>743185</v>
      </c>
      <c r="B387" s="100" t="s">
        <v>245</v>
      </c>
      <c r="C387" s="100" t="s">
        <v>433</v>
      </c>
      <c r="D387" s="102" t="s">
        <v>62</v>
      </c>
      <c r="E387" s="100"/>
      <c r="F387" s="100"/>
      <c r="G387" s="100"/>
      <c r="H387" s="100"/>
      <c r="I387" s="100"/>
      <c r="J387" s="100"/>
      <c r="K387" s="100"/>
      <c r="L387" s="100"/>
      <c r="M387" s="100"/>
      <c r="N387" s="130"/>
      <c r="O387" s="127"/>
      <c r="P387" s="131"/>
      <c r="Q387" s="127"/>
      <c r="R387" s="127"/>
      <c r="S387" s="128">
        <f t="shared" si="10"/>
        <v>0</v>
      </c>
      <c r="T387" s="101">
        <v>10.9</v>
      </c>
      <c r="U387" s="101">
        <v>23.9</v>
      </c>
      <c r="V387" s="129">
        <f t="shared" si="11"/>
        <v>0</v>
      </c>
    </row>
    <row r="388" spans="1:22" ht="15" hidden="1" customHeight="1" x14ac:dyDescent="0.25">
      <c r="A388" s="100">
        <v>743185</v>
      </c>
      <c r="B388" s="100" t="s">
        <v>189</v>
      </c>
      <c r="C388" s="100" t="s">
        <v>190</v>
      </c>
      <c r="D388" s="102" t="s">
        <v>62</v>
      </c>
      <c r="E388" s="100"/>
      <c r="F388" s="100"/>
      <c r="G388" s="100"/>
      <c r="H388" s="100"/>
      <c r="I388" s="100"/>
      <c r="J388" s="100"/>
      <c r="K388" s="100"/>
      <c r="L388" s="100"/>
      <c r="M388" s="100"/>
      <c r="N388" s="130"/>
      <c r="O388" s="127"/>
      <c r="P388" s="131"/>
      <c r="Q388" s="127"/>
      <c r="R388" s="127"/>
      <c r="S388" s="128">
        <f t="shared" si="10"/>
        <v>0</v>
      </c>
      <c r="T388" s="101">
        <v>10.9</v>
      </c>
      <c r="U388" s="101">
        <v>23.9</v>
      </c>
      <c r="V388" s="129">
        <f t="shared" si="11"/>
        <v>0</v>
      </c>
    </row>
    <row r="389" spans="1:22" ht="15" hidden="1" customHeight="1" x14ac:dyDescent="0.25">
      <c r="A389" s="100">
        <v>743185</v>
      </c>
      <c r="B389" s="100" t="s">
        <v>542</v>
      </c>
      <c r="C389" s="100" t="s">
        <v>455</v>
      </c>
      <c r="D389" s="102" t="s">
        <v>62</v>
      </c>
      <c r="E389" s="100"/>
      <c r="F389" s="100"/>
      <c r="G389" s="100"/>
      <c r="H389" s="100"/>
      <c r="I389" s="100"/>
      <c r="J389" s="100"/>
      <c r="K389" s="100"/>
      <c r="L389" s="100"/>
      <c r="M389" s="100"/>
      <c r="N389" s="130"/>
      <c r="O389" s="127"/>
      <c r="P389" s="131"/>
      <c r="Q389" s="127"/>
      <c r="R389" s="127"/>
      <c r="S389" s="128">
        <f t="shared" si="10"/>
        <v>0</v>
      </c>
      <c r="T389" s="101">
        <v>10.9</v>
      </c>
      <c r="U389" s="101">
        <v>23.9</v>
      </c>
      <c r="V389" s="129">
        <f t="shared" si="11"/>
        <v>0</v>
      </c>
    </row>
    <row r="390" spans="1:22" ht="15" hidden="1" customHeight="1" x14ac:dyDescent="0.25">
      <c r="A390" s="100">
        <v>743187</v>
      </c>
      <c r="B390" s="100" t="s">
        <v>244</v>
      </c>
      <c r="C390" s="100" t="s">
        <v>430</v>
      </c>
      <c r="D390" s="102" t="s">
        <v>78</v>
      </c>
      <c r="E390" s="130"/>
      <c r="F390" s="130"/>
      <c r="G390" s="100"/>
      <c r="H390" s="100"/>
      <c r="I390" s="100"/>
      <c r="J390" s="130"/>
      <c r="K390" s="130"/>
      <c r="L390" s="130"/>
      <c r="M390" s="130"/>
      <c r="N390" s="130"/>
      <c r="O390" s="131"/>
      <c r="P390" s="131"/>
      <c r="Q390" s="131"/>
      <c r="R390" s="131"/>
      <c r="S390" s="128">
        <f t="shared" si="10"/>
        <v>0</v>
      </c>
      <c r="T390" s="101">
        <v>10.9</v>
      </c>
      <c r="U390" s="101">
        <v>23.9</v>
      </c>
      <c r="V390" s="129">
        <f t="shared" si="11"/>
        <v>0</v>
      </c>
    </row>
    <row r="391" spans="1:22" ht="15" hidden="1" customHeight="1" x14ac:dyDescent="0.25">
      <c r="A391" s="100">
        <v>743187</v>
      </c>
      <c r="B391" s="100" t="s">
        <v>543</v>
      </c>
      <c r="C391" s="100" t="s">
        <v>185</v>
      </c>
      <c r="D391" s="102" t="s">
        <v>78</v>
      </c>
      <c r="E391" s="130"/>
      <c r="F391" s="130"/>
      <c r="G391" s="100"/>
      <c r="H391" s="100"/>
      <c r="I391" s="100"/>
      <c r="J391" s="130"/>
      <c r="K391" s="130"/>
      <c r="L391" s="130"/>
      <c r="M391" s="130"/>
      <c r="N391" s="130"/>
      <c r="O391" s="131"/>
      <c r="P391" s="131"/>
      <c r="Q391" s="131"/>
      <c r="R391" s="131"/>
      <c r="S391" s="128">
        <f t="shared" si="10"/>
        <v>0</v>
      </c>
      <c r="T391" s="101">
        <v>10.9</v>
      </c>
      <c r="U391" s="101">
        <v>23.9</v>
      </c>
      <c r="V391" s="129">
        <f t="shared" si="11"/>
        <v>0</v>
      </c>
    </row>
    <row r="392" spans="1:22" ht="15" hidden="1" customHeight="1" x14ac:dyDescent="0.25">
      <c r="A392" s="100">
        <v>743188</v>
      </c>
      <c r="B392" s="100" t="s">
        <v>246</v>
      </c>
      <c r="C392" s="100" t="s">
        <v>430</v>
      </c>
      <c r="D392" s="102" t="s">
        <v>78</v>
      </c>
      <c r="E392" s="130"/>
      <c r="F392" s="130"/>
      <c r="G392" s="100"/>
      <c r="H392" s="100"/>
      <c r="I392" s="100"/>
      <c r="J392" s="130"/>
      <c r="K392" s="130"/>
      <c r="L392" s="130"/>
      <c r="M392" s="130"/>
      <c r="N392" s="130"/>
      <c r="O392" s="131"/>
      <c r="P392" s="131"/>
      <c r="Q392" s="131"/>
      <c r="R392" s="131"/>
      <c r="S392" s="128">
        <f t="shared" si="10"/>
        <v>0</v>
      </c>
      <c r="T392" s="101">
        <v>10.9</v>
      </c>
      <c r="U392" s="101">
        <v>23.9</v>
      </c>
      <c r="V392" s="129">
        <f t="shared" si="11"/>
        <v>0</v>
      </c>
    </row>
    <row r="393" spans="1:22" ht="15" hidden="1" customHeight="1" x14ac:dyDescent="0.25">
      <c r="A393" s="100">
        <v>743188</v>
      </c>
      <c r="B393" s="100" t="s">
        <v>544</v>
      </c>
      <c r="C393" s="100" t="s">
        <v>201</v>
      </c>
      <c r="D393" s="102" t="s">
        <v>78</v>
      </c>
      <c r="E393" s="130"/>
      <c r="F393" s="130"/>
      <c r="G393" s="100"/>
      <c r="H393" s="100"/>
      <c r="I393" s="100"/>
      <c r="J393" s="130"/>
      <c r="K393" s="130"/>
      <c r="L393" s="130"/>
      <c r="M393" s="130"/>
      <c r="N393" s="130"/>
      <c r="O393" s="131"/>
      <c r="P393" s="131"/>
      <c r="Q393" s="131"/>
      <c r="R393" s="131"/>
      <c r="S393" s="128">
        <f t="shared" si="10"/>
        <v>0</v>
      </c>
      <c r="T393" s="101">
        <v>10.9</v>
      </c>
      <c r="U393" s="101">
        <v>23.9</v>
      </c>
      <c r="V393" s="129">
        <f t="shared" si="11"/>
        <v>0</v>
      </c>
    </row>
    <row r="394" spans="1:22" ht="15" hidden="1" customHeight="1" x14ac:dyDescent="0.25">
      <c r="A394" s="100">
        <v>743189</v>
      </c>
      <c r="B394" s="100" t="s">
        <v>247</v>
      </c>
      <c r="C394" s="100" t="s">
        <v>373</v>
      </c>
      <c r="D394" s="102" t="s">
        <v>78</v>
      </c>
      <c r="E394" s="130"/>
      <c r="F394" s="130"/>
      <c r="G394" s="100"/>
      <c r="H394" s="100"/>
      <c r="I394" s="100"/>
      <c r="J394" s="130"/>
      <c r="K394" s="130"/>
      <c r="L394" s="130"/>
      <c r="M394" s="130"/>
      <c r="N394" s="130"/>
      <c r="O394" s="131"/>
      <c r="P394" s="131"/>
      <c r="Q394" s="131"/>
      <c r="R394" s="131"/>
      <c r="S394" s="128">
        <f t="shared" si="10"/>
        <v>0</v>
      </c>
      <c r="T394" s="101">
        <v>10.9</v>
      </c>
      <c r="U394" s="101">
        <v>23.9</v>
      </c>
      <c r="V394" s="129">
        <f t="shared" si="11"/>
        <v>0</v>
      </c>
    </row>
    <row r="395" spans="1:22" ht="15" hidden="1" customHeight="1" x14ac:dyDescent="0.25">
      <c r="A395" s="100">
        <v>743189</v>
      </c>
      <c r="B395" s="100" t="s">
        <v>545</v>
      </c>
      <c r="C395" s="100" t="s">
        <v>455</v>
      </c>
      <c r="D395" s="102" t="s">
        <v>78</v>
      </c>
      <c r="E395" s="130"/>
      <c r="F395" s="130"/>
      <c r="G395" s="100"/>
      <c r="H395" s="100"/>
      <c r="I395" s="100"/>
      <c r="J395" s="130"/>
      <c r="K395" s="130"/>
      <c r="L395" s="130"/>
      <c r="M395" s="130"/>
      <c r="N395" s="130"/>
      <c r="O395" s="131"/>
      <c r="P395" s="131"/>
      <c r="Q395" s="131"/>
      <c r="R395" s="131"/>
      <c r="S395" s="128">
        <f t="shared" si="10"/>
        <v>0</v>
      </c>
      <c r="T395" s="101">
        <v>10.9</v>
      </c>
      <c r="U395" s="101">
        <v>23.9</v>
      </c>
      <c r="V395" s="129">
        <f t="shared" si="11"/>
        <v>0</v>
      </c>
    </row>
    <row r="396" spans="1:22" ht="15" hidden="1" customHeight="1" x14ac:dyDescent="0.25">
      <c r="A396" s="100">
        <v>760401</v>
      </c>
      <c r="B396" s="100" t="s">
        <v>248</v>
      </c>
      <c r="C396" s="100" t="s">
        <v>343</v>
      </c>
      <c r="D396" s="102" t="s">
        <v>32</v>
      </c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31"/>
      <c r="P396" s="131"/>
      <c r="Q396" s="131"/>
      <c r="R396" s="131"/>
      <c r="S396" s="128">
        <f t="shared" si="10"/>
        <v>0</v>
      </c>
      <c r="T396" s="101">
        <v>10.9</v>
      </c>
      <c r="U396" s="101">
        <v>23.9</v>
      </c>
      <c r="V396" s="129">
        <f t="shared" si="11"/>
        <v>0</v>
      </c>
    </row>
    <row r="397" spans="1:22" ht="15" hidden="1" customHeight="1" x14ac:dyDescent="0.25">
      <c r="A397" s="100">
        <v>760401</v>
      </c>
      <c r="B397" s="100" t="s">
        <v>546</v>
      </c>
      <c r="C397" s="100" t="s">
        <v>347</v>
      </c>
      <c r="D397" s="102" t="s">
        <v>32</v>
      </c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31"/>
      <c r="P397" s="131"/>
      <c r="Q397" s="131"/>
      <c r="R397" s="131"/>
      <c r="S397" s="128">
        <f t="shared" si="10"/>
        <v>0</v>
      </c>
      <c r="T397" s="101">
        <v>10.9</v>
      </c>
      <c r="U397" s="101">
        <v>23.9</v>
      </c>
      <c r="V397" s="129">
        <f t="shared" si="11"/>
        <v>0</v>
      </c>
    </row>
    <row r="398" spans="1:22" ht="15" hidden="1" customHeight="1" x14ac:dyDescent="0.25">
      <c r="A398" s="100">
        <v>760401</v>
      </c>
      <c r="B398" s="100" t="s">
        <v>126</v>
      </c>
      <c r="C398" s="100" t="s">
        <v>351</v>
      </c>
      <c r="D398" s="102" t="s">
        <v>32</v>
      </c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31"/>
      <c r="P398" s="131"/>
      <c r="Q398" s="131"/>
      <c r="R398" s="131"/>
      <c r="S398" s="128">
        <f t="shared" si="10"/>
        <v>0</v>
      </c>
      <c r="T398" s="101">
        <v>10.9</v>
      </c>
      <c r="U398" s="101">
        <v>23.9</v>
      </c>
      <c r="V398" s="129">
        <f t="shared" si="11"/>
        <v>0</v>
      </c>
    </row>
    <row r="399" spans="1:22" ht="15" hidden="1" customHeight="1" x14ac:dyDescent="0.25">
      <c r="A399" s="100">
        <v>760401</v>
      </c>
      <c r="B399" s="100" t="s">
        <v>128</v>
      </c>
      <c r="C399" s="100" t="s">
        <v>123</v>
      </c>
      <c r="D399" s="102" t="s">
        <v>32</v>
      </c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31"/>
      <c r="P399" s="131"/>
      <c r="Q399" s="131"/>
      <c r="R399" s="131"/>
      <c r="S399" s="128">
        <f t="shared" si="10"/>
        <v>0</v>
      </c>
      <c r="T399" s="101">
        <v>10.9</v>
      </c>
      <c r="U399" s="101">
        <v>23.9</v>
      </c>
      <c r="V399" s="129">
        <f t="shared" si="11"/>
        <v>0</v>
      </c>
    </row>
    <row r="400" spans="1:22" ht="15" customHeight="1" x14ac:dyDescent="0.25">
      <c r="A400" s="100">
        <v>760403</v>
      </c>
      <c r="B400" s="100" t="s">
        <v>249</v>
      </c>
      <c r="C400" s="100" t="s">
        <v>343</v>
      </c>
      <c r="D400" s="102" t="s">
        <v>55</v>
      </c>
      <c r="E400" s="128">
        <v>1</v>
      </c>
      <c r="F400" s="128">
        <v>1</v>
      </c>
      <c r="G400" s="128">
        <v>1</v>
      </c>
      <c r="H400" s="128">
        <v>1</v>
      </c>
      <c r="I400" s="128"/>
      <c r="J400" s="128"/>
      <c r="K400" s="128"/>
      <c r="L400" s="128"/>
      <c r="M400" s="128"/>
      <c r="N400" s="128"/>
      <c r="O400" s="128"/>
      <c r="P400" s="133"/>
      <c r="Q400" s="133"/>
      <c r="R400" s="133"/>
      <c r="S400" s="128">
        <f t="shared" si="10"/>
        <v>4</v>
      </c>
      <c r="T400" s="101">
        <v>9.1</v>
      </c>
      <c r="U400" s="101">
        <v>19.899999999999999</v>
      </c>
      <c r="V400" s="129">
        <f t="shared" si="11"/>
        <v>36.4</v>
      </c>
    </row>
    <row r="401" spans="1:22" ht="15" customHeight="1" x14ac:dyDescent="0.25">
      <c r="A401" s="100">
        <v>760403</v>
      </c>
      <c r="B401" s="100" t="s">
        <v>249</v>
      </c>
      <c r="C401" s="100" t="s">
        <v>100</v>
      </c>
      <c r="D401" s="102" t="s">
        <v>55</v>
      </c>
      <c r="E401" s="128">
        <v>1</v>
      </c>
      <c r="F401" s="128">
        <v>1</v>
      </c>
      <c r="G401" s="128">
        <v>1</v>
      </c>
      <c r="H401" s="128">
        <v>1</v>
      </c>
      <c r="I401" s="128"/>
      <c r="J401" s="128"/>
      <c r="K401" s="128"/>
      <c r="L401" s="128"/>
      <c r="M401" s="128"/>
      <c r="N401" s="128"/>
      <c r="O401" s="128"/>
      <c r="P401" s="133"/>
      <c r="Q401" s="133"/>
      <c r="R401" s="133"/>
      <c r="S401" s="128">
        <f t="shared" si="10"/>
        <v>4</v>
      </c>
      <c r="T401" s="101">
        <v>9.1</v>
      </c>
      <c r="U401" s="101">
        <v>19.899999999999999</v>
      </c>
      <c r="V401" s="129">
        <f t="shared" si="11"/>
        <v>36.4</v>
      </c>
    </row>
    <row r="402" spans="1:22" ht="15" hidden="1" customHeight="1" x14ac:dyDescent="0.25">
      <c r="A402" s="100">
        <v>760403</v>
      </c>
      <c r="B402" s="100" t="s">
        <v>249</v>
      </c>
      <c r="C402" s="100" t="s">
        <v>141</v>
      </c>
      <c r="D402" s="102" t="s">
        <v>55</v>
      </c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27"/>
      <c r="P402" s="131"/>
      <c r="Q402" s="131"/>
      <c r="R402" s="131"/>
      <c r="S402" s="128">
        <f t="shared" ref="S402:S459" si="12">SUM(E402:R402)</f>
        <v>0</v>
      </c>
      <c r="T402" s="101">
        <v>9.1</v>
      </c>
      <c r="U402" s="101">
        <v>19.899999999999999</v>
      </c>
      <c r="V402" s="129">
        <f t="shared" ref="V402:V459" si="13">S402*T402</f>
        <v>0</v>
      </c>
    </row>
    <row r="403" spans="1:22" ht="15" customHeight="1" x14ac:dyDescent="0.25">
      <c r="A403" s="100">
        <v>760403</v>
      </c>
      <c r="B403" s="100" t="s">
        <v>249</v>
      </c>
      <c r="C403" s="100" t="s">
        <v>123</v>
      </c>
      <c r="D403" s="102" t="s">
        <v>55</v>
      </c>
      <c r="E403" s="128">
        <v>1</v>
      </c>
      <c r="F403" s="128">
        <v>1</v>
      </c>
      <c r="G403" s="128">
        <v>1</v>
      </c>
      <c r="H403" s="128">
        <v>1</v>
      </c>
      <c r="I403" s="128"/>
      <c r="J403" s="128"/>
      <c r="K403" s="128"/>
      <c r="L403" s="128"/>
      <c r="M403" s="128"/>
      <c r="N403" s="128"/>
      <c r="O403" s="128"/>
      <c r="P403" s="133"/>
      <c r="Q403" s="133"/>
      <c r="R403" s="133"/>
      <c r="S403" s="128">
        <f t="shared" si="12"/>
        <v>4</v>
      </c>
      <c r="T403" s="101">
        <v>9.1</v>
      </c>
      <c r="U403" s="101">
        <v>19.899999999999999</v>
      </c>
      <c r="V403" s="129">
        <f t="shared" si="13"/>
        <v>36.4</v>
      </c>
    </row>
    <row r="404" spans="1:22" ht="15" hidden="1" customHeight="1" x14ac:dyDescent="0.25">
      <c r="A404" s="100">
        <v>760405</v>
      </c>
      <c r="B404" s="100" t="s">
        <v>129</v>
      </c>
      <c r="C404" s="100" t="s">
        <v>371</v>
      </c>
      <c r="D404" s="102" t="s">
        <v>55</v>
      </c>
      <c r="E404" s="130"/>
      <c r="F404" s="130"/>
      <c r="G404" s="130"/>
      <c r="H404" s="130"/>
      <c r="I404" s="130"/>
      <c r="J404" s="100"/>
      <c r="K404" s="100"/>
      <c r="L404" s="100"/>
      <c r="M404" s="100"/>
      <c r="N404" s="100"/>
      <c r="O404" s="127"/>
      <c r="P404" s="127"/>
      <c r="Q404" s="131"/>
      <c r="R404" s="131"/>
      <c r="S404" s="128">
        <f t="shared" si="12"/>
        <v>0</v>
      </c>
      <c r="T404" s="101">
        <v>8.1999999999999993</v>
      </c>
      <c r="U404" s="101">
        <v>17.899999999999999</v>
      </c>
      <c r="V404" s="129">
        <f t="shared" si="13"/>
        <v>0</v>
      </c>
    </row>
    <row r="405" spans="1:22" ht="15" hidden="1" customHeight="1" x14ac:dyDescent="0.25">
      <c r="A405" s="100">
        <v>760405</v>
      </c>
      <c r="B405" s="100" t="s">
        <v>250</v>
      </c>
      <c r="C405" s="100" t="s">
        <v>371</v>
      </c>
      <c r="D405" s="102" t="s">
        <v>56</v>
      </c>
      <c r="E405" s="100"/>
      <c r="F405" s="100"/>
      <c r="G405" s="100"/>
      <c r="H405" s="100"/>
      <c r="I405" s="130"/>
      <c r="J405" s="130"/>
      <c r="K405" s="130"/>
      <c r="L405" s="130"/>
      <c r="M405" s="130"/>
      <c r="N405" s="130"/>
      <c r="O405" s="131"/>
      <c r="P405" s="131"/>
      <c r="Q405" s="131"/>
      <c r="R405" s="131"/>
      <c r="S405" s="128">
        <f t="shared" si="12"/>
        <v>0</v>
      </c>
      <c r="T405" s="101">
        <v>8.1999999999999993</v>
      </c>
      <c r="U405" s="101">
        <v>17.899999999999999</v>
      </c>
      <c r="V405" s="129">
        <f t="shared" si="13"/>
        <v>0</v>
      </c>
    </row>
    <row r="406" spans="1:22" ht="15" hidden="1" customHeight="1" x14ac:dyDescent="0.25">
      <c r="A406" s="100">
        <v>760405</v>
      </c>
      <c r="B406" s="100" t="s">
        <v>144</v>
      </c>
      <c r="C406" s="100" t="s">
        <v>373</v>
      </c>
      <c r="D406" s="102" t="s">
        <v>55</v>
      </c>
      <c r="E406" s="130"/>
      <c r="F406" s="130"/>
      <c r="G406" s="130"/>
      <c r="H406" s="130"/>
      <c r="I406" s="130"/>
      <c r="J406" s="100"/>
      <c r="K406" s="100"/>
      <c r="L406" s="100"/>
      <c r="M406" s="100"/>
      <c r="N406" s="100"/>
      <c r="O406" s="127"/>
      <c r="P406" s="127"/>
      <c r="Q406" s="131"/>
      <c r="R406" s="131"/>
      <c r="S406" s="128">
        <f t="shared" si="12"/>
        <v>0</v>
      </c>
      <c r="T406" s="101">
        <v>8.1999999999999993</v>
      </c>
      <c r="U406" s="101">
        <v>17.899999999999999</v>
      </c>
      <c r="V406" s="129">
        <f t="shared" si="13"/>
        <v>0</v>
      </c>
    </row>
    <row r="407" spans="1:22" ht="15" hidden="1" customHeight="1" x14ac:dyDescent="0.25">
      <c r="A407" s="100">
        <v>760405</v>
      </c>
      <c r="B407" s="100" t="s">
        <v>124</v>
      </c>
      <c r="C407" s="100" t="s">
        <v>373</v>
      </c>
      <c r="D407" s="102" t="s">
        <v>56</v>
      </c>
      <c r="E407" s="100"/>
      <c r="F407" s="100"/>
      <c r="G407" s="100"/>
      <c r="H407" s="100"/>
      <c r="I407" s="130"/>
      <c r="J407" s="130"/>
      <c r="K407" s="130"/>
      <c r="L407" s="130"/>
      <c r="M407" s="130"/>
      <c r="N407" s="130"/>
      <c r="O407" s="131"/>
      <c r="P407" s="131"/>
      <c r="Q407" s="131"/>
      <c r="R407" s="131"/>
      <c r="S407" s="128">
        <f t="shared" si="12"/>
        <v>0</v>
      </c>
      <c r="T407" s="101">
        <v>8.1999999999999993</v>
      </c>
      <c r="U407" s="101">
        <v>17.899999999999999</v>
      </c>
      <c r="V407" s="129">
        <f t="shared" si="13"/>
        <v>0</v>
      </c>
    </row>
    <row r="408" spans="1:22" ht="15" hidden="1" customHeight="1" x14ac:dyDescent="0.25">
      <c r="A408" s="100">
        <v>760405</v>
      </c>
      <c r="B408" s="100" t="s">
        <v>547</v>
      </c>
      <c r="C408" s="100" t="s">
        <v>376</v>
      </c>
      <c r="D408" s="102" t="s">
        <v>55</v>
      </c>
      <c r="E408" s="130"/>
      <c r="F408" s="130"/>
      <c r="G408" s="130"/>
      <c r="H408" s="130"/>
      <c r="I408" s="130"/>
      <c r="J408" s="100"/>
      <c r="K408" s="100"/>
      <c r="L408" s="100"/>
      <c r="M408" s="100"/>
      <c r="N408" s="100"/>
      <c r="O408" s="127"/>
      <c r="P408" s="127"/>
      <c r="Q408" s="131"/>
      <c r="R408" s="131"/>
      <c r="S408" s="128">
        <f t="shared" si="12"/>
        <v>0</v>
      </c>
      <c r="T408" s="101">
        <v>8.1999999999999993</v>
      </c>
      <c r="U408" s="101">
        <v>17.899999999999999</v>
      </c>
      <c r="V408" s="129">
        <f t="shared" si="13"/>
        <v>0</v>
      </c>
    </row>
    <row r="409" spans="1:22" ht="15" hidden="1" customHeight="1" x14ac:dyDescent="0.25">
      <c r="A409" s="100">
        <v>760405</v>
      </c>
      <c r="B409" s="100" t="s">
        <v>548</v>
      </c>
      <c r="C409" s="100" t="s">
        <v>376</v>
      </c>
      <c r="D409" s="102" t="s">
        <v>56</v>
      </c>
      <c r="E409" s="100"/>
      <c r="F409" s="100"/>
      <c r="G409" s="100"/>
      <c r="H409" s="100"/>
      <c r="I409" s="130"/>
      <c r="J409" s="130"/>
      <c r="K409" s="130"/>
      <c r="L409" s="130"/>
      <c r="M409" s="130"/>
      <c r="N409" s="130"/>
      <c r="O409" s="131"/>
      <c r="P409" s="131"/>
      <c r="Q409" s="131"/>
      <c r="R409" s="131"/>
      <c r="S409" s="128">
        <f t="shared" si="12"/>
        <v>0</v>
      </c>
      <c r="T409" s="101">
        <v>8.1999999999999993</v>
      </c>
      <c r="U409" s="101">
        <v>17.899999999999999</v>
      </c>
      <c r="V409" s="129">
        <f t="shared" si="13"/>
        <v>0</v>
      </c>
    </row>
    <row r="410" spans="1:22" ht="15" hidden="1" customHeight="1" x14ac:dyDescent="0.25">
      <c r="A410" s="100">
        <v>760405</v>
      </c>
      <c r="B410" s="100" t="s">
        <v>549</v>
      </c>
      <c r="C410" s="100" t="s">
        <v>100</v>
      </c>
      <c r="D410" s="102" t="s">
        <v>55</v>
      </c>
      <c r="E410" s="130"/>
      <c r="F410" s="130"/>
      <c r="G410" s="130"/>
      <c r="H410" s="130"/>
      <c r="I410" s="130"/>
      <c r="J410" s="100"/>
      <c r="K410" s="100"/>
      <c r="L410" s="100"/>
      <c r="M410" s="100"/>
      <c r="N410" s="100"/>
      <c r="O410" s="127"/>
      <c r="P410" s="127"/>
      <c r="Q410" s="131"/>
      <c r="R410" s="131"/>
      <c r="S410" s="128">
        <f t="shared" si="12"/>
        <v>0</v>
      </c>
      <c r="T410" s="101">
        <v>8.1999999999999993</v>
      </c>
      <c r="U410" s="101">
        <v>17.899999999999999</v>
      </c>
      <c r="V410" s="129">
        <f t="shared" si="13"/>
        <v>0</v>
      </c>
    </row>
    <row r="411" spans="1:22" ht="15" hidden="1" customHeight="1" x14ac:dyDescent="0.25">
      <c r="A411" s="100">
        <v>760405</v>
      </c>
      <c r="B411" s="100" t="s">
        <v>550</v>
      </c>
      <c r="C411" s="100" t="s">
        <v>100</v>
      </c>
      <c r="D411" s="102" t="s">
        <v>56</v>
      </c>
      <c r="E411" s="100"/>
      <c r="F411" s="100"/>
      <c r="G411" s="100"/>
      <c r="H411" s="100"/>
      <c r="I411" s="130"/>
      <c r="J411" s="130"/>
      <c r="K411" s="130"/>
      <c r="L411" s="130"/>
      <c r="M411" s="130"/>
      <c r="N411" s="130"/>
      <c r="O411" s="131"/>
      <c r="P411" s="131"/>
      <c r="Q411" s="131"/>
      <c r="R411" s="131"/>
      <c r="S411" s="128">
        <f t="shared" si="12"/>
        <v>0</v>
      </c>
      <c r="T411" s="101">
        <v>8.1999999999999993</v>
      </c>
      <c r="U411" s="101">
        <v>17.899999999999999</v>
      </c>
      <c r="V411" s="129">
        <f t="shared" si="13"/>
        <v>0</v>
      </c>
    </row>
    <row r="412" spans="1:22" ht="15" hidden="1" customHeight="1" x14ac:dyDescent="0.25">
      <c r="A412" s="100">
        <v>760405</v>
      </c>
      <c r="B412" s="100" t="s">
        <v>551</v>
      </c>
      <c r="C412" s="100" t="s">
        <v>175</v>
      </c>
      <c r="D412" s="102" t="s">
        <v>55</v>
      </c>
      <c r="E412" s="130"/>
      <c r="F412" s="130"/>
      <c r="G412" s="130"/>
      <c r="H412" s="130"/>
      <c r="I412" s="130"/>
      <c r="J412" s="100"/>
      <c r="K412" s="100"/>
      <c r="L412" s="100"/>
      <c r="M412" s="100"/>
      <c r="N412" s="100"/>
      <c r="O412" s="127"/>
      <c r="P412" s="127"/>
      <c r="Q412" s="131"/>
      <c r="R412" s="131"/>
      <c r="S412" s="128">
        <f t="shared" si="12"/>
        <v>0</v>
      </c>
      <c r="T412" s="101">
        <v>8.1999999999999993</v>
      </c>
      <c r="U412" s="101">
        <v>17.899999999999999</v>
      </c>
      <c r="V412" s="129">
        <f t="shared" si="13"/>
        <v>0</v>
      </c>
    </row>
    <row r="413" spans="1:22" ht="15" hidden="1" customHeight="1" x14ac:dyDescent="0.25">
      <c r="A413" s="100">
        <v>760405</v>
      </c>
      <c r="B413" s="100" t="s">
        <v>552</v>
      </c>
      <c r="C413" s="100" t="s">
        <v>175</v>
      </c>
      <c r="D413" s="102" t="s">
        <v>56</v>
      </c>
      <c r="E413" s="100"/>
      <c r="F413" s="100"/>
      <c r="G413" s="100"/>
      <c r="H413" s="100"/>
      <c r="I413" s="130"/>
      <c r="J413" s="130"/>
      <c r="K413" s="130"/>
      <c r="L413" s="130"/>
      <c r="M413" s="130"/>
      <c r="N413" s="130"/>
      <c r="O413" s="131"/>
      <c r="P413" s="131"/>
      <c r="Q413" s="131"/>
      <c r="R413" s="131"/>
      <c r="S413" s="128">
        <f t="shared" si="12"/>
        <v>0</v>
      </c>
      <c r="T413" s="101">
        <v>8.1999999999999993</v>
      </c>
      <c r="U413" s="101">
        <v>17.899999999999999</v>
      </c>
      <c r="V413" s="129">
        <f t="shared" si="13"/>
        <v>0</v>
      </c>
    </row>
    <row r="414" spans="1:22" ht="15" hidden="1" customHeight="1" x14ac:dyDescent="0.25">
      <c r="A414" s="100">
        <v>760406</v>
      </c>
      <c r="B414" s="100" t="s">
        <v>251</v>
      </c>
      <c r="C414" s="100" t="s">
        <v>371</v>
      </c>
      <c r="D414" s="102" t="s">
        <v>56</v>
      </c>
      <c r="E414" s="130"/>
      <c r="F414" s="130"/>
      <c r="G414" s="130"/>
      <c r="H414" s="130"/>
      <c r="I414" s="100"/>
      <c r="J414" s="100"/>
      <c r="K414" s="100"/>
      <c r="L414" s="100"/>
      <c r="M414" s="100"/>
      <c r="N414" s="130"/>
      <c r="O414" s="131"/>
      <c r="P414" s="131"/>
      <c r="Q414" s="131"/>
      <c r="R414" s="131"/>
      <c r="S414" s="128">
        <f t="shared" si="12"/>
        <v>0</v>
      </c>
      <c r="T414" s="101">
        <v>9.1</v>
      </c>
      <c r="U414" s="101">
        <v>19.899999999999999</v>
      </c>
      <c r="V414" s="129">
        <f t="shared" si="13"/>
        <v>0</v>
      </c>
    </row>
    <row r="415" spans="1:22" ht="15" hidden="1" customHeight="1" x14ac:dyDescent="0.25">
      <c r="A415" s="100">
        <v>760406</v>
      </c>
      <c r="B415" s="100" t="s">
        <v>142</v>
      </c>
      <c r="C415" s="100" t="s">
        <v>373</v>
      </c>
      <c r="D415" s="102" t="s">
        <v>56</v>
      </c>
      <c r="E415" s="130"/>
      <c r="F415" s="130"/>
      <c r="G415" s="130"/>
      <c r="H415" s="130"/>
      <c r="I415" s="100"/>
      <c r="J415" s="100"/>
      <c r="K415" s="100"/>
      <c r="L415" s="100"/>
      <c r="M415" s="100"/>
      <c r="N415" s="130"/>
      <c r="O415" s="131"/>
      <c r="P415" s="131"/>
      <c r="Q415" s="131"/>
      <c r="R415" s="131"/>
      <c r="S415" s="128">
        <f t="shared" si="12"/>
        <v>0</v>
      </c>
      <c r="T415" s="101">
        <v>9.1</v>
      </c>
      <c r="U415" s="101">
        <v>19.899999999999999</v>
      </c>
      <c r="V415" s="129">
        <f t="shared" si="13"/>
        <v>0</v>
      </c>
    </row>
    <row r="416" spans="1:22" ht="15" hidden="1" customHeight="1" x14ac:dyDescent="0.25">
      <c r="A416" s="100">
        <v>760406</v>
      </c>
      <c r="B416" s="100" t="s">
        <v>553</v>
      </c>
      <c r="C416" s="100" t="s">
        <v>376</v>
      </c>
      <c r="D416" s="102" t="s">
        <v>56</v>
      </c>
      <c r="E416" s="130"/>
      <c r="F416" s="130"/>
      <c r="G416" s="130"/>
      <c r="H416" s="130"/>
      <c r="I416" s="100"/>
      <c r="J416" s="100"/>
      <c r="K416" s="100"/>
      <c r="L416" s="100"/>
      <c r="M416" s="100"/>
      <c r="N416" s="130"/>
      <c r="O416" s="131"/>
      <c r="P416" s="131"/>
      <c r="Q416" s="131"/>
      <c r="R416" s="131"/>
      <c r="S416" s="128">
        <f t="shared" si="12"/>
        <v>0</v>
      </c>
      <c r="T416" s="101">
        <v>9.1</v>
      </c>
      <c r="U416" s="101">
        <v>19.899999999999999</v>
      </c>
      <c r="V416" s="129">
        <f t="shared" si="13"/>
        <v>0</v>
      </c>
    </row>
    <row r="417" spans="1:22" ht="15" hidden="1" customHeight="1" x14ac:dyDescent="0.25">
      <c r="A417" s="100">
        <v>760406</v>
      </c>
      <c r="B417" s="100" t="s">
        <v>146</v>
      </c>
      <c r="C417" s="100" t="s">
        <v>100</v>
      </c>
      <c r="D417" s="102" t="s">
        <v>56</v>
      </c>
      <c r="E417" s="130"/>
      <c r="F417" s="130"/>
      <c r="G417" s="130"/>
      <c r="H417" s="130"/>
      <c r="I417" s="100"/>
      <c r="J417" s="100"/>
      <c r="K417" s="100"/>
      <c r="L417" s="100"/>
      <c r="M417" s="100"/>
      <c r="N417" s="130"/>
      <c r="O417" s="131"/>
      <c r="P417" s="131"/>
      <c r="Q417" s="131"/>
      <c r="R417" s="131"/>
      <c r="S417" s="128">
        <f t="shared" si="12"/>
        <v>0</v>
      </c>
      <c r="T417" s="101">
        <v>9.1</v>
      </c>
      <c r="U417" s="101">
        <v>19.899999999999999</v>
      </c>
      <c r="V417" s="129">
        <f t="shared" si="13"/>
        <v>0</v>
      </c>
    </row>
    <row r="418" spans="1:22" ht="15" hidden="1" customHeight="1" x14ac:dyDescent="0.25">
      <c r="A418" s="100">
        <v>760406</v>
      </c>
      <c r="B418" s="100" t="s">
        <v>103</v>
      </c>
      <c r="C418" s="100" t="s">
        <v>175</v>
      </c>
      <c r="D418" s="102" t="s">
        <v>56</v>
      </c>
      <c r="E418" s="130"/>
      <c r="F418" s="130"/>
      <c r="G418" s="130"/>
      <c r="H418" s="130"/>
      <c r="I418" s="100"/>
      <c r="J418" s="100"/>
      <c r="K418" s="100"/>
      <c r="L418" s="100"/>
      <c r="M418" s="100"/>
      <c r="N418" s="130"/>
      <c r="O418" s="131"/>
      <c r="P418" s="131"/>
      <c r="Q418" s="131"/>
      <c r="R418" s="131"/>
      <c r="S418" s="128">
        <f t="shared" si="12"/>
        <v>0</v>
      </c>
      <c r="T418" s="101">
        <v>9.1</v>
      </c>
      <c r="U418" s="101">
        <v>19.899999999999999</v>
      </c>
      <c r="V418" s="129">
        <f t="shared" si="13"/>
        <v>0</v>
      </c>
    </row>
    <row r="419" spans="1:22" ht="15" hidden="1" customHeight="1" x14ac:dyDescent="0.25">
      <c r="A419" s="100">
        <v>760408</v>
      </c>
      <c r="B419" s="100" t="s">
        <v>176</v>
      </c>
      <c r="C419" s="100" t="s">
        <v>442</v>
      </c>
      <c r="D419" s="102" t="s">
        <v>55</v>
      </c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27"/>
      <c r="P419" s="131"/>
      <c r="Q419" s="131"/>
      <c r="R419" s="131"/>
      <c r="S419" s="128">
        <f t="shared" si="12"/>
        <v>0</v>
      </c>
      <c r="T419" s="101">
        <v>20.9</v>
      </c>
      <c r="U419" s="101">
        <v>45.9</v>
      </c>
      <c r="V419" s="129">
        <f t="shared" si="13"/>
        <v>0</v>
      </c>
    </row>
    <row r="420" spans="1:22" ht="15" hidden="1" customHeight="1" x14ac:dyDescent="0.25">
      <c r="A420" s="100">
        <v>760408</v>
      </c>
      <c r="B420" s="100" t="s">
        <v>197</v>
      </c>
      <c r="C420" s="100" t="s">
        <v>252</v>
      </c>
      <c r="D420" s="102" t="s">
        <v>55</v>
      </c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27"/>
      <c r="P420" s="131"/>
      <c r="Q420" s="131"/>
      <c r="R420" s="131"/>
      <c r="S420" s="128">
        <f t="shared" si="12"/>
        <v>0</v>
      </c>
      <c r="T420" s="101">
        <v>20.9</v>
      </c>
      <c r="U420" s="101">
        <v>45.9</v>
      </c>
      <c r="V420" s="129">
        <f t="shared" si="13"/>
        <v>0</v>
      </c>
    </row>
    <row r="421" spans="1:22" ht="15" hidden="1" customHeight="1" x14ac:dyDescent="0.25">
      <c r="A421" s="100">
        <v>760408</v>
      </c>
      <c r="B421" s="100" t="s">
        <v>254</v>
      </c>
      <c r="C421" s="100" t="s">
        <v>554</v>
      </c>
      <c r="D421" s="102" t="s">
        <v>55</v>
      </c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27"/>
      <c r="P421" s="131"/>
      <c r="Q421" s="131"/>
      <c r="R421" s="131"/>
      <c r="S421" s="128">
        <f t="shared" si="12"/>
        <v>0</v>
      </c>
      <c r="T421" s="101">
        <v>20.9</v>
      </c>
      <c r="U421" s="101">
        <v>45.9</v>
      </c>
      <c r="V421" s="129">
        <f t="shared" si="13"/>
        <v>0</v>
      </c>
    </row>
    <row r="422" spans="1:22" ht="15" hidden="1" customHeight="1" x14ac:dyDescent="0.25">
      <c r="A422" s="100">
        <v>760408</v>
      </c>
      <c r="B422" s="100" t="s">
        <v>255</v>
      </c>
      <c r="C422" s="100" t="s">
        <v>185</v>
      </c>
      <c r="D422" s="102" t="s">
        <v>55</v>
      </c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27"/>
      <c r="P422" s="131"/>
      <c r="Q422" s="131"/>
      <c r="R422" s="131"/>
      <c r="S422" s="128">
        <f t="shared" si="12"/>
        <v>0</v>
      </c>
      <c r="T422" s="101">
        <v>20.9</v>
      </c>
      <c r="U422" s="101">
        <v>45.9</v>
      </c>
      <c r="V422" s="129">
        <f t="shared" si="13"/>
        <v>0</v>
      </c>
    </row>
    <row r="423" spans="1:22" ht="15" hidden="1" customHeight="1" x14ac:dyDescent="0.25">
      <c r="A423" s="100">
        <v>760408</v>
      </c>
      <c r="B423" s="100" t="s">
        <v>555</v>
      </c>
      <c r="C423" s="100" t="s">
        <v>190</v>
      </c>
      <c r="D423" s="102" t="s">
        <v>55</v>
      </c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27"/>
      <c r="P423" s="131"/>
      <c r="Q423" s="131"/>
      <c r="R423" s="131"/>
      <c r="S423" s="128">
        <f t="shared" si="12"/>
        <v>0</v>
      </c>
      <c r="T423" s="101">
        <v>20.9</v>
      </c>
      <c r="U423" s="101">
        <v>45.9</v>
      </c>
      <c r="V423" s="129">
        <f t="shared" si="13"/>
        <v>0</v>
      </c>
    </row>
    <row r="424" spans="1:22" ht="15" hidden="1" customHeight="1" x14ac:dyDescent="0.25">
      <c r="A424" s="100">
        <v>760411</v>
      </c>
      <c r="B424" s="100" t="s">
        <v>253</v>
      </c>
      <c r="C424" s="100" t="s">
        <v>430</v>
      </c>
      <c r="D424" s="102" t="s">
        <v>55</v>
      </c>
      <c r="E424" s="130"/>
      <c r="F424" s="130"/>
      <c r="G424" s="130"/>
      <c r="H424" s="130"/>
      <c r="I424" s="100"/>
      <c r="J424" s="100"/>
      <c r="K424" s="100"/>
      <c r="L424" s="100"/>
      <c r="M424" s="100"/>
      <c r="N424" s="100"/>
      <c r="O424" s="127"/>
      <c r="P424" s="127"/>
      <c r="Q424" s="131"/>
      <c r="R424" s="131"/>
      <c r="S424" s="128">
        <f t="shared" si="12"/>
        <v>0</v>
      </c>
      <c r="T424" s="101">
        <v>22.7</v>
      </c>
      <c r="U424" s="101">
        <v>49.9</v>
      </c>
      <c r="V424" s="129">
        <f t="shared" si="13"/>
        <v>0</v>
      </c>
    </row>
    <row r="425" spans="1:22" ht="15" hidden="1" customHeight="1" x14ac:dyDescent="0.25">
      <c r="A425" s="100">
        <v>760411</v>
      </c>
      <c r="B425" s="100" t="s">
        <v>556</v>
      </c>
      <c r="C425" s="100" t="s">
        <v>430</v>
      </c>
      <c r="D425" s="102" t="s">
        <v>56</v>
      </c>
      <c r="E425" s="100"/>
      <c r="F425" s="100"/>
      <c r="G425" s="100"/>
      <c r="H425" s="100"/>
      <c r="I425" s="130"/>
      <c r="J425" s="130"/>
      <c r="K425" s="130"/>
      <c r="L425" s="130"/>
      <c r="M425" s="130"/>
      <c r="N425" s="130"/>
      <c r="O425" s="131"/>
      <c r="P425" s="131"/>
      <c r="Q425" s="131"/>
      <c r="R425" s="131"/>
      <c r="S425" s="128">
        <f t="shared" si="12"/>
        <v>0</v>
      </c>
      <c r="T425" s="101">
        <v>22.7</v>
      </c>
      <c r="U425" s="101">
        <v>49.9</v>
      </c>
      <c r="V425" s="129">
        <f t="shared" si="13"/>
        <v>0</v>
      </c>
    </row>
    <row r="426" spans="1:22" ht="15" hidden="1" customHeight="1" x14ac:dyDescent="0.25">
      <c r="A426" s="100">
        <v>760411</v>
      </c>
      <c r="B426" s="100" t="s">
        <v>186</v>
      </c>
      <c r="C426" s="100" t="s">
        <v>185</v>
      </c>
      <c r="D426" s="102" t="s">
        <v>55</v>
      </c>
      <c r="E426" s="130"/>
      <c r="F426" s="130"/>
      <c r="G426" s="130"/>
      <c r="H426" s="130"/>
      <c r="I426" s="100"/>
      <c r="J426" s="100"/>
      <c r="K426" s="100"/>
      <c r="L426" s="100"/>
      <c r="M426" s="100"/>
      <c r="N426" s="100"/>
      <c r="O426" s="127"/>
      <c r="P426" s="127"/>
      <c r="Q426" s="131"/>
      <c r="R426" s="131"/>
      <c r="S426" s="128">
        <f t="shared" si="12"/>
        <v>0</v>
      </c>
      <c r="T426" s="101">
        <v>22.7</v>
      </c>
      <c r="U426" s="101">
        <v>49.9</v>
      </c>
      <c r="V426" s="129">
        <f t="shared" si="13"/>
        <v>0</v>
      </c>
    </row>
    <row r="427" spans="1:22" ht="15" hidden="1" customHeight="1" x14ac:dyDescent="0.25">
      <c r="A427" s="100">
        <v>760411</v>
      </c>
      <c r="B427" s="100" t="s">
        <v>557</v>
      </c>
      <c r="C427" s="100" t="s">
        <v>185</v>
      </c>
      <c r="D427" s="102" t="s">
        <v>56</v>
      </c>
      <c r="E427" s="100"/>
      <c r="F427" s="100"/>
      <c r="G427" s="100"/>
      <c r="H427" s="100"/>
      <c r="I427" s="130"/>
      <c r="J427" s="130"/>
      <c r="K427" s="130"/>
      <c r="L427" s="130"/>
      <c r="M427" s="130"/>
      <c r="N427" s="130"/>
      <c r="O427" s="131"/>
      <c r="P427" s="131"/>
      <c r="Q427" s="131"/>
      <c r="R427" s="131"/>
      <c r="S427" s="128">
        <f t="shared" si="12"/>
        <v>0</v>
      </c>
      <c r="T427" s="101">
        <v>22.7</v>
      </c>
      <c r="U427" s="101">
        <v>49.9</v>
      </c>
      <c r="V427" s="129">
        <f t="shared" si="13"/>
        <v>0</v>
      </c>
    </row>
    <row r="428" spans="1:22" ht="15" hidden="1" customHeight="1" x14ac:dyDescent="0.25">
      <c r="A428" s="100">
        <v>760411</v>
      </c>
      <c r="B428" s="100" t="s">
        <v>558</v>
      </c>
      <c r="C428" s="100" t="s">
        <v>201</v>
      </c>
      <c r="D428" s="102" t="s">
        <v>55</v>
      </c>
      <c r="E428" s="130"/>
      <c r="F428" s="130"/>
      <c r="G428" s="130"/>
      <c r="H428" s="130"/>
      <c r="I428" s="100"/>
      <c r="J428" s="100"/>
      <c r="K428" s="100"/>
      <c r="L428" s="100"/>
      <c r="M428" s="100"/>
      <c r="N428" s="100"/>
      <c r="O428" s="127"/>
      <c r="P428" s="127"/>
      <c r="Q428" s="131"/>
      <c r="R428" s="131"/>
      <c r="S428" s="128">
        <f t="shared" si="12"/>
        <v>0</v>
      </c>
      <c r="T428" s="101">
        <v>22.7</v>
      </c>
      <c r="U428" s="101">
        <v>49.9</v>
      </c>
      <c r="V428" s="129">
        <f t="shared" si="13"/>
        <v>0</v>
      </c>
    </row>
    <row r="429" spans="1:22" ht="15" hidden="1" customHeight="1" x14ac:dyDescent="0.25">
      <c r="A429" s="100">
        <v>760411</v>
      </c>
      <c r="B429" s="100" t="s">
        <v>559</v>
      </c>
      <c r="C429" s="100" t="s">
        <v>201</v>
      </c>
      <c r="D429" s="102" t="s">
        <v>56</v>
      </c>
      <c r="E429" s="100"/>
      <c r="F429" s="100"/>
      <c r="G429" s="100"/>
      <c r="H429" s="100"/>
      <c r="I429" s="130"/>
      <c r="J429" s="130"/>
      <c r="K429" s="130"/>
      <c r="L429" s="130"/>
      <c r="M429" s="130"/>
      <c r="N429" s="130"/>
      <c r="O429" s="131"/>
      <c r="P429" s="131"/>
      <c r="Q429" s="131"/>
      <c r="R429" s="131"/>
      <c r="S429" s="128">
        <f t="shared" si="12"/>
        <v>0</v>
      </c>
      <c r="T429" s="101">
        <v>22.7</v>
      </c>
      <c r="U429" s="101">
        <v>49.9</v>
      </c>
      <c r="V429" s="129">
        <f t="shared" si="13"/>
        <v>0</v>
      </c>
    </row>
    <row r="430" spans="1:22" ht="15" hidden="1" customHeight="1" x14ac:dyDescent="0.25">
      <c r="A430" s="100">
        <v>760411</v>
      </c>
      <c r="B430" s="100" t="s">
        <v>560</v>
      </c>
      <c r="C430" s="100" t="s">
        <v>190</v>
      </c>
      <c r="D430" s="102" t="s">
        <v>55</v>
      </c>
      <c r="E430" s="130"/>
      <c r="F430" s="130"/>
      <c r="G430" s="130"/>
      <c r="H430" s="130"/>
      <c r="I430" s="100"/>
      <c r="J430" s="100"/>
      <c r="K430" s="100"/>
      <c r="L430" s="100"/>
      <c r="M430" s="100"/>
      <c r="N430" s="100"/>
      <c r="O430" s="127"/>
      <c r="P430" s="127"/>
      <c r="Q430" s="131"/>
      <c r="R430" s="131"/>
      <c r="S430" s="128">
        <f t="shared" si="12"/>
        <v>0</v>
      </c>
      <c r="T430" s="101">
        <v>22.7</v>
      </c>
      <c r="U430" s="101">
        <v>49.9</v>
      </c>
      <c r="V430" s="129">
        <f t="shared" si="13"/>
        <v>0</v>
      </c>
    </row>
    <row r="431" spans="1:22" ht="15" hidden="1" customHeight="1" x14ac:dyDescent="0.25">
      <c r="A431" s="100">
        <v>760411</v>
      </c>
      <c r="B431" s="100" t="s">
        <v>561</v>
      </c>
      <c r="C431" s="100" t="s">
        <v>190</v>
      </c>
      <c r="D431" s="102" t="s">
        <v>56</v>
      </c>
      <c r="E431" s="100"/>
      <c r="F431" s="100"/>
      <c r="G431" s="100"/>
      <c r="H431" s="100"/>
      <c r="I431" s="130"/>
      <c r="J431" s="130"/>
      <c r="K431" s="130"/>
      <c r="L431" s="130"/>
      <c r="M431" s="130"/>
      <c r="N431" s="130"/>
      <c r="O431" s="131"/>
      <c r="P431" s="131"/>
      <c r="Q431" s="131"/>
      <c r="R431" s="131"/>
      <c r="S431" s="128">
        <f t="shared" si="12"/>
        <v>0</v>
      </c>
      <c r="T431" s="101">
        <v>22.7</v>
      </c>
      <c r="U431" s="101">
        <v>49.9</v>
      </c>
      <c r="V431" s="129">
        <f t="shared" si="13"/>
        <v>0</v>
      </c>
    </row>
    <row r="432" spans="1:22" ht="15" hidden="1" customHeight="1" x14ac:dyDescent="0.25">
      <c r="A432" s="100">
        <v>760414</v>
      </c>
      <c r="B432" s="100" t="s">
        <v>256</v>
      </c>
      <c r="C432" s="100" t="s">
        <v>562</v>
      </c>
      <c r="D432" s="102" t="s">
        <v>55</v>
      </c>
      <c r="E432" s="130"/>
      <c r="F432" s="130"/>
      <c r="G432" s="130"/>
      <c r="H432" s="130"/>
      <c r="I432" s="100"/>
      <c r="J432" s="100"/>
      <c r="K432" s="100"/>
      <c r="L432" s="100"/>
      <c r="M432" s="100"/>
      <c r="N432" s="100"/>
      <c r="O432" s="127"/>
      <c r="P432" s="127"/>
      <c r="Q432" s="131"/>
      <c r="R432" s="131"/>
      <c r="S432" s="128">
        <f t="shared" si="12"/>
        <v>0</v>
      </c>
      <c r="T432" s="101">
        <v>22.7</v>
      </c>
      <c r="U432" s="101">
        <v>49.9</v>
      </c>
      <c r="V432" s="129">
        <f t="shared" si="13"/>
        <v>0</v>
      </c>
    </row>
    <row r="433" spans="1:22" ht="15" hidden="1" customHeight="1" x14ac:dyDescent="0.25">
      <c r="A433" s="100">
        <v>760414</v>
      </c>
      <c r="B433" s="100" t="s">
        <v>563</v>
      </c>
      <c r="C433" s="100" t="s">
        <v>562</v>
      </c>
      <c r="D433" s="102" t="s">
        <v>56</v>
      </c>
      <c r="E433" s="100"/>
      <c r="F433" s="100"/>
      <c r="G433" s="100"/>
      <c r="H433" s="100"/>
      <c r="I433" s="130"/>
      <c r="J433" s="130"/>
      <c r="K433" s="130"/>
      <c r="L433" s="130"/>
      <c r="M433" s="130"/>
      <c r="N433" s="130"/>
      <c r="O433" s="131"/>
      <c r="P433" s="131"/>
      <c r="Q433" s="131"/>
      <c r="R433" s="131"/>
      <c r="S433" s="128">
        <f t="shared" si="12"/>
        <v>0</v>
      </c>
      <c r="T433" s="101">
        <v>22.7</v>
      </c>
      <c r="U433" s="101">
        <v>49.9</v>
      </c>
      <c r="V433" s="129">
        <f t="shared" si="13"/>
        <v>0</v>
      </c>
    </row>
    <row r="434" spans="1:22" ht="15" hidden="1" customHeight="1" x14ac:dyDescent="0.25">
      <c r="A434" s="100">
        <v>760414</v>
      </c>
      <c r="B434" s="100" t="s">
        <v>258</v>
      </c>
      <c r="C434" s="100" t="s">
        <v>185</v>
      </c>
      <c r="D434" s="102" t="s">
        <v>55</v>
      </c>
      <c r="E434" s="130"/>
      <c r="F434" s="130"/>
      <c r="G434" s="130"/>
      <c r="H434" s="130"/>
      <c r="I434" s="100"/>
      <c r="J434" s="100"/>
      <c r="K434" s="100"/>
      <c r="L434" s="100"/>
      <c r="M434" s="100"/>
      <c r="N434" s="100"/>
      <c r="O434" s="127"/>
      <c r="P434" s="127"/>
      <c r="Q434" s="131"/>
      <c r="R434" s="131"/>
      <c r="S434" s="128">
        <f t="shared" si="12"/>
        <v>0</v>
      </c>
      <c r="T434" s="101">
        <v>22.7</v>
      </c>
      <c r="U434" s="101">
        <v>49.9</v>
      </c>
      <c r="V434" s="129">
        <f t="shared" si="13"/>
        <v>0</v>
      </c>
    </row>
    <row r="435" spans="1:22" ht="15" hidden="1" customHeight="1" x14ac:dyDescent="0.25">
      <c r="A435" s="100">
        <v>760414</v>
      </c>
      <c r="B435" s="100" t="s">
        <v>564</v>
      </c>
      <c r="C435" s="100" t="s">
        <v>185</v>
      </c>
      <c r="D435" s="102" t="s">
        <v>56</v>
      </c>
      <c r="E435" s="100"/>
      <c r="F435" s="100"/>
      <c r="G435" s="100"/>
      <c r="H435" s="100"/>
      <c r="I435" s="130"/>
      <c r="J435" s="130"/>
      <c r="K435" s="130"/>
      <c r="L435" s="130"/>
      <c r="M435" s="130"/>
      <c r="N435" s="130"/>
      <c r="O435" s="131"/>
      <c r="P435" s="131"/>
      <c r="Q435" s="131"/>
      <c r="R435" s="131"/>
      <c r="S435" s="128">
        <f t="shared" si="12"/>
        <v>0</v>
      </c>
      <c r="T435" s="101">
        <v>22.7</v>
      </c>
      <c r="U435" s="101">
        <v>49.9</v>
      </c>
      <c r="V435" s="129">
        <f t="shared" si="13"/>
        <v>0</v>
      </c>
    </row>
    <row r="436" spans="1:22" ht="15" hidden="1" customHeight="1" x14ac:dyDescent="0.25">
      <c r="A436" s="100">
        <v>760414</v>
      </c>
      <c r="B436" s="100" t="s">
        <v>565</v>
      </c>
      <c r="C436" s="100" t="s">
        <v>455</v>
      </c>
      <c r="D436" s="102" t="s">
        <v>55</v>
      </c>
      <c r="E436" s="130"/>
      <c r="F436" s="130"/>
      <c r="G436" s="130"/>
      <c r="H436" s="130"/>
      <c r="I436" s="100"/>
      <c r="J436" s="100"/>
      <c r="K436" s="100"/>
      <c r="L436" s="100"/>
      <c r="M436" s="100"/>
      <c r="N436" s="100"/>
      <c r="O436" s="127"/>
      <c r="P436" s="127"/>
      <c r="Q436" s="131"/>
      <c r="R436" s="131"/>
      <c r="S436" s="128">
        <f t="shared" si="12"/>
        <v>0</v>
      </c>
      <c r="T436" s="101">
        <v>22.7</v>
      </c>
      <c r="U436" s="101">
        <v>49.9</v>
      </c>
      <c r="V436" s="129">
        <f t="shared" si="13"/>
        <v>0</v>
      </c>
    </row>
    <row r="437" spans="1:22" ht="15" hidden="1" customHeight="1" x14ac:dyDescent="0.25">
      <c r="A437" s="100">
        <v>760414</v>
      </c>
      <c r="B437" s="100" t="s">
        <v>566</v>
      </c>
      <c r="C437" s="100" t="s">
        <v>455</v>
      </c>
      <c r="D437" s="102" t="s">
        <v>56</v>
      </c>
      <c r="E437" s="100"/>
      <c r="F437" s="100"/>
      <c r="G437" s="100"/>
      <c r="H437" s="100"/>
      <c r="I437" s="130"/>
      <c r="J437" s="130"/>
      <c r="K437" s="130"/>
      <c r="L437" s="130"/>
      <c r="M437" s="130"/>
      <c r="N437" s="130"/>
      <c r="O437" s="131"/>
      <c r="P437" s="131"/>
      <c r="Q437" s="131"/>
      <c r="R437" s="131"/>
      <c r="S437" s="128">
        <f t="shared" si="12"/>
        <v>0</v>
      </c>
      <c r="T437" s="101">
        <v>22.7</v>
      </c>
      <c r="U437" s="101">
        <v>49.9</v>
      </c>
      <c r="V437" s="129">
        <f t="shared" si="13"/>
        <v>0</v>
      </c>
    </row>
    <row r="438" spans="1:22" ht="15" hidden="1" customHeight="1" x14ac:dyDescent="0.25">
      <c r="A438" s="100">
        <v>760414</v>
      </c>
      <c r="B438" s="100" t="s">
        <v>567</v>
      </c>
      <c r="C438" s="100" t="s">
        <v>85</v>
      </c>
      <c r="D438" s="102" t="s">
        <v>55</v>
      </c>
      <c r="E438" s="130"/>
      <c r="F438" s="130"/>
      <c r="G438" s="130"/>
      <c r="H438" s="130"/>
      <c r="I438" s="100"/>
      <c r="J438" s="100"/>
      <c r="K438" s="100"/>
      <c r="L438" s="100"/>
      <c r="M438" s="100"/>
      <c r="N438" s="100"/>
      <c r="O438" s="127"/>
      <c r="P438" s="127"/>
      <c r="Q438" s="131"/>
      <c r="R438" s="131"/>
      <c r="S438" s="128">
        <f t="shared" si="12"/>
        <v>0</v>
      </c>
      <c r="T438" s="101">
        <v>22.7</v>
      </c>
      <c r="U438" s="101">
        <v>49.9</v>
      </c>
      <c r="V438" s="129">
        <f t="shared" si="13"/>
        <v>0</v>
      </c>
    </row>
    <row r="439" spans="1:22" ht="15" hidden="1" customHeight="1" x14ac:dyDescent="0.25">
      <c r="A439" s="100">
        <v>760414</v>
      </c>
      <c r="B439" s="100" t="s">
        <v>568</v>
      </c>
      <c r="C439" s="100" t="s">
        <v>85</v>
      </c>
      <c r="D439" s="102" t="s">
        <v>56</v>
      </c>
      <c r="E439" s="100"/>
      <c r="F439" s="100"/>
      <c r="G439" s="100"/>
      <c r="H439" s="100"/>
      <c r="I439" s="130"/>
      <c r="J439" s="130"/>
      <c r="K439" s="130"/>
      <c r="L439" s="130"/>
      <c r="M439" s="130"/>
      <c r="N439" s="130"/>
      <c r="O439" s="131"/>
      <c r="P439" s="131"/>
      <c r="Q439" s="131"/>
      <c r="R439" s="131"/>
      <c r="S439" s="128">
        <f t="shared" si="12"/>
        <v>0</v>
      </c>
      <c r="T439" s="101">
        <v>22.7</v>
      </c>
      <c r="U439" s="101">
        <v>49.9</v>
      </c>
      <c r="V439" s="129">
        <f t="shared" si="13"/>
        <v>0</v>
      </c>
    </row>
    <row r="440" spans="1:22" ht="15" hidden="1" customHeight="1" x14ac:dyDescent="0.25">
      <c r="A440" s="100">
        <v>760416</v>
      </c>
      <c r="B440" s="100" t="s">
        <v>257</v>
      </c>
      <c r="C440" s="100" t="s">
        <v>185</v>
      </c>
      <c r="D440" s="102" t="s">
        <v>55</v>
      </c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27"/>
      <c r="P440" s="127"/>
      <c r="Q440" s="131"/>
      <c r="R440" s="131"/>
      <c r="S440" s="128">
        <f t="shared" si="12"/>
        <v>0</v>
      </c>
      <c r="T440" s="101">
        <v>20.9</v>
      </c>
      <c r="U440" s="101">
        <v>45.9</v>
      </c>
      <c r="V440" s="129">
        <f t="shared" si="13"/>
        <v>0</v>
      </c>
    </row>
    <row r="441" spans="1:22" ht="15" hidden="1" customHeight="1" x14ac:dyDescent="0.25">
      <c r="A441" s="100">
        <v>760416</v>
      </c>
      <c r="B441" s="100" t="s">
        <v>569</v>
      </c>
      <c r="C441" s="100" t="s">
        <v>185</v>
      </c>
      <c r="D441" s="102" t="s">
        <v>56</v>
      </c>
      <c r="E441" s="100"/>
      <c r="F441" s="100"/>
      <c r="G441" s="100"/>
      <c r="H441" s="100"/>
      <c r="I441" s="100"/>
      <c r="J441" s="100"/>
      <c r="K441" s="100"/>
      <c r="L441" s="130"/>
      <c r="M441" s="130"/>
      <c r="N441" s="130"/>
      <c r="O441" s="131"/>
      <c r="P441" s="131"/>
      <c r="Q441" s="131"/>
      <c r="R441" s="131"/>
      <c r="S441" s="128">
        <f t="shared" si="12"/>
        <v>0</v>
      </c>
      <c r="T441" s="101">
        <v>20.9</v>
      </c>
      <c r="U441" s="101">
        <v>45.9</v>
      </c>
      <c r="V441" s="129">
        <f t="shared" si="13"/>
        <v>0</v>
      </c>
    </row>
    <row r="442" spans="1:22" ht="15" hidden="1" customHeight="1" x14ac:dyDescent="0.25">
      <c r="A442" s="100">
        <v>760416</v>
      </c>
      <c r="B442" s="100" t="s">
        <v>570</v>
      </c>
      <c r="C442" s="100" t="s">
        <v>190</v>
      </c>
      <c r="D442" s="102" t="s">
        <v>55</v>
      </c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27"/>
      <c r="P442" s="127"/>
      <c r="Q442" s="131"/>
      <c r="R442" s="131"/>
      <c r="S442" s="128">
        <f t="shared" si="12"/>
        <v>0</v>
      </c>
      <c r="T442" s="101">
        <v>20.9</v>
      </c>
      <c r="U442" s="101">
        <v>45.9</v>
      </c>
      <c r="V442" s="129">
        <f t="shared" si="13"/>
        <v>0</v>
      </c>
    </row>
    <row r="443" spans="1:22" ht="15" hidden="1" customHeight="1" x14ac:dyDescent="0.25">
      <c r="A443" s="100">
        <v>760416</v>
      </c>
      <c r="B443" s="100" t="s">
        <v>571</v>
      </c>
      <c r="C443" s="100" t="s">
        <v>190</v>
      </c>
      <c r="D443" s="102" t="s">
        <v>56</v>
      </c>
      <c r="E443" s="100"/>
      <c r="F443" s="100"/>
      <c r="G443" s="100"/>
      <c r="H443" s="100"/>
      <c r="I443" s="100"/>
      <c r="J443" s="100"/>
      <c r="K443" s="100"/>
      <c r="L443" s="130"/>
      <c r="M443" s="130"/>
      <c r="N443" s="130"/>
      <c r="O443" s="131"/>
      <c r="P443" s="131"/>
      <c r="Q443" s="131"/>
      <c r="R443" s="131"/>
      <c r="S443" s="128">
        <f t="shared" si="12"/>
        <v>0</v>
      </c>
      <c r="T443" s="101">
        <v>20.9</v>
      </c>
      <c r="U443" s="101">
        <v>45.9</v>
      </c>
      <c r="V443" s="129">
        <f t="shared" si="13"/>
        <v>0</v>
      </c>
    </row>
    <row r="444" spans="1:22" ht="15" hidden="1" customHeight="1" x14ac:dyDescent="0.25">
      <c r="A444" s="100">
        <v>760417</v>
      </c>
      <c r="B444" s="100" t="s">
        <v>191</v>
      </c>
      <c r="C444" s="100" t="s">
        <v>345</v>
      </c>
      <c r="D444" s="102" t="s">
        <v>55</v>
      </c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27"/>
      <c r="P444" s="127"/>
      <c r="Q444" s="131"/>
      <c r="R444" s="131"/>
      <c r="S444" s="128">
        <f t="shared" si="12"/>
        <v>0</v>
      </c>
      <c r="T444" s="101">
        <v>22.7</v>
      </c>
      <c r="U444" s="101">
        <v>49.9</v>
      </c>
      <c r="V444" s="129">
        <f t="shared" si="13"/>
        <v>0</v>
      </c>
    </row>
    <row r="445" spans="1:22" ht="15" hidden="1" customHeight="1" x14ac:dyDescent="0.25">
      <c r="A445" s="100">
        <v>760417</v>
      </c>
      <c r="B445" s="100" t="s">
        <v>259</v>
      </c>
      <c r="C445" s="100" t="s">
        <v>345</v>
      </c>
      <c r="D445" s="102" t="s">
        <v>56</v>
      </c>
      <c r="E445" s="100"/>
      <c r="F445" s="100"/>
      <c r="G445" s="100"/>
      <c r="H445" s="100"/>
      <c r="I445" s="130"/>
      <c r="J445" s="130"/>
      <c r="K445" s="130"/>
      <c r="L445" s="130"/>
      <c r="M445" s="130"/>
      <c r="N445" s="130"/>
      <c r="O445" s="131"/>
      <c r="P445" s="131"/>
      <c r="Q445" s="131"/>
      <c r="R445" s="131"/>
      <c r="S445" s="128">
        <f t="shared" si="12"/>
        <v>0</v>
      </c>
      <c r="T445" s="101">
        <v>22.7</v>
      </c>
      <c r="U445" s="101">
        <v>49.9</v>
      </c>
      <c r="V445" s="129">
        <f t="shared" si="13"/>
        <v>0</v>
      </c>
    </row>
    <row r="446" spans="1:22" ht="15" hidden="1" customHeight="1" x14ac:dyDescent="0.25">
      <c r="A446" s="100">
        <v>760417</v>
      </c>
      <c r="B446" s="100" t="s">
        <v>125</v>
      </c>
      <c r="C446" s="100" t="s">
        <v>201</v>
      </c>
      <c r="D446" s="102" t="s">
        <v>55</v>
      </c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27"/>
      <c r="P446" s="127"/>
      <c r="Q446" s="131"/>
      <c r="R446" s="131"/>
      <c r="S446" s="128">
        <f t="shared" si="12"/>
        <v>0</v>
      </c>
      <c r="T446" s="101">
        <v>22.7</v>
      </c>
      <c r="U446" s="101">
        <v>49.9</v>
      </c>
      <c r="V446" s="129">
        <f t="shared" si="13"/>
        <v>0</v>
      </c>
    </row>
    <row r="447" spans="1:22" ht="15" hidden="1" customHeight="1" x14ac:dyDescent="0.25">
      <c r="A447" s="100">
        <v>760417</v>
      </c>
      <c r="B447" s="100" t="s">
        <v>572</v>
      </c>
      <c r="C447" s="100" t="s">
        <v>201</v>
      </c>
      <c r="D447" s="102" t="s">
        <v>56</v>
      </c>
      <c r="E447" s="100"/>
      <c r="F447" s="100"/>
      <c r="G447" s="100"/>
      <c r="H447" s="100"/>
      <c r="I447" s="130"/>
      <c r="J447" s="130"/>
      <c r="K447" s="130"/>
      <c r="L447" s="130"/>
      <c r="M447" s="130"/>
      <c r="N447" s="130"/>
      <c r="O447" s="131"/>
      <c r="P447" s="131"/>
      <c r="Q447" s="131"/>
      <c r="R447" s="131"/>
      <c r="S447" s="128">
        <f t="shared" si="12"/>
        <v>0</v>
      </c>
      <c r="T447" s="101">
        <v>22.7</v>
      </c>
      <c r="U447" s="101">
        <v>49.9</v>
      </c>
      <c r="V447" s="129">
        <f t="shared" si="13"/>
        <v>0</v>
      </c>
    </row>
    <row r="448" spans="1:22" ht="15" hidden="1" customHeight="1" x14ac:dyDescent="0.25">
      <c r="A448" s="100">
        <v>760417</v>
      </c>
      <c r="B448" s="100" t="s">
        <v>202</v>
      </c>
      <c r="C448" s="100" t="s">
        <v>455</v>
      </c>
      <c r="D448" s="102" t="s">
        <v>55</v>
      </c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27"/>
      <c r="P448" s="127"/>
      <c r="Q448" s="131"/>
      <c r="R448" s="131"/>
      <c r="S448" s="128">
        <f t="shared" si="12"/>
        <v>0</v>
      </c>
      <c r="T448" s="101">
        <v>22.7</v>
      </c>
      <c r="U448" s="101">
        <v>49.9</v>
      </c>
      <c r="V448" s="129">
        <f t="shared" si="13"/>
        <v>0</v>
      </c>
    </row>
    <row r="449" spans="1:22" ht="15" hidden="1" customHeight="1" x14ac:dyDescent="0.25">
      <c r="A449" s="100">
        <v>760417</v>
      </c>
      <c r="B449" s="100" t="s">
        <v>573</v>
      </c>
      <c r="C449" s="100" t="s">
        <v>455</v>
      </c>
      <c r="D449" s="102" t="s">
        <v>56</v>
      </c>
      <c r="E449" s="100"/>
      <c r="F449" s="100"/>
      <c r="G449" s="100"/>
      <c r="H449" s="100"/>
      <c r="I449" s="130"/>
      <c r="J449" s="130"/>
      <c r="K449" s="130"/>
      <c r="L449" s="130"/>
      <c r="M449" s="130"/>
      <c r="N449" s="130"/>
      <c r="O449" s="131"/>
      <c r="P449" s="131"/>
      <c r="Q449" s="131"/>
      <c r="R449" s="131"/>
      <c r="S449" s="128">
        <f t="shared" si="12"/>
        <v>0</v>
      </c>
      <c r="T449" s="101">
        <v>22.7</v>
      </c>
      <c r="U449" s="101">
        <v>49.9</v>
      </c>
      <c r="V449" s="129">
        <f t="shared" si="13"/>
        <v>0</v>
      </c>
    </row>
    <row r="450" spans="1:22" ht="15" hidden="1" customHeight="1" x14ac:dyDescent="0.25">
      <c r="A450" s="100">
        <v>760417</v>
      </c>
      <c r="B450" s="100" t="s">
        <v>203</v>
      </c>
      <c r="C450" s="100" t="s">
        <v>85</v>
      </c>
      <c r="D450" s="102" t="s">
        <v>55</v>
      </c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27"/>
      <c r="P450" s="127"/>
      <c r="Q450" s="131"/>
      <c r="R450" s="131"/>
      <c r="S450" s="128">
        <f t="shared" si="12"/>
        <v>0</v>
      </c>
      <c r="T450" s="101">
        <v>22.7</v>
      </c>
      <c r="U450" s="101">
        <v>49.9</v>
      </c>
      <c r="V450" s="129">
        <f t="shared" si="13"/>
        <v>0</v>
      </c>
    </row>
    <row r="451" spans="1:22" ht="15" hidden="1" customHeight="1" x14ac:dyDescent="0.25">
      <c r="A451" s="100">
        <v>760417</v>
      </c>
      <c r="B451" s="100" t="s">
        <v>574</v>
      </c>
      <c r="C451" s="100" t="s">
        <v>85</v>
      </c>
      <c r="D451" s="102" t="s">
        <v>56</v>
      </c>
      <c r="E451" s="100"/>
      <c r="F451" s="100"/>
      <c r="G451" s="100"/>
      <c r="H451" s="100"/>
      <c r="I451" s="130"/>
      <c r="J451" s="130"/>
      <c r="K451" s="130"/>
      <c r="L451" s="130"/>
      <c r="M451" s="130"/>
      <c r="N451" s="130"/>
      <c r="O451" s="131"/>
      <c r="P451" s="131"/>
      <c r="Q451" s="131"/>
      <c r="R451" s="131"/>
      <c r="S451" s="128">
        <f t="shared" si="12"/>
        <v>0</v>
      </c>
      <c r="T451" s="101">
        <v>22.7</v>
      </c>
      <c r="U451" s="101">
        <v>49.9</v>
      </c>
      <c r="V451" s="129">
        <f t="shared" si="13"/>
        <v>0</v>
      </c>
    </row>
    <row r="452" spans="1:22" ht="15" hidden="1" customHeight="1" x14ac:dyDescent="0.25">
      <c r="A452" s="100">
        <v>760419</v>
      </c>
      <c r="B452" s="100" t="s">
        <v>204</v>
      </c>
      <c r="C452" s="100" t="s">
        <v>451</v>
      </c>
      <c r="D452" s="102" t="s">
        <v>55</v>
      </c>
      <c r="E452" s="130"/>
      <c r="F452" s="130"/>
      <c r="G452" s="130"/>
      <c r="H452" s="130"/>
      <c r="I452" s="130"/>
      <c r="J452" s="130"/>
      <c r="K452" s="130"/>
      <c r="L452" s="130"/>
      <c r="M452" s="100"/>
      <c r="N452" s="100"/>
      <c r="O452" s="127"/>
      <c r="P452" s="127"/>
      <c r="Q452" s="131"/>
      <c r="R452" s="131"/>
      <c r="S452" s="128">
        <f t="shared" si="12"/>
        <v>0</v>
      </c>
      <c r="T452" s="101">
        <v>22.7</v>
      </c>
      <c r="U452" s="101">
        <v>49.9</v>
      </c>
      <c r="V452" s="129">
        <f t="shared" si="13"/>
        <v>0</v>
      </c>
    </row>
    <row r="453" spans="1:22" ht="15" hidden="1" customHeight="1" x14ac:dyDescent="0.25">
      <c r="A453" s="100">
        <v>760419</v>
      </c>
      <c r="B453" s="100" t="s">
        <v>260</v>
      </c>
      <c r="C453" s="100" t="s">
        <v>451</v>
      </c>
      <c r="D453" s="102" t="s">
        <v>56</v>
      </c>
      <c r="E453" s="100"/>
      <c r="F453" s="100"/>
      <c r="G453" s="100"/>
      <c r="H453" s="100"/>
      <c r="I453" s="100"/>
      <c r="J453" s="100"/>
      <c r="K453" s="100"/>
      <c r="L453" s="100"/>
      <c r="M453" s="100"/>
      <c r="N453" s="130"/>
      <c r="O453" s="131"/>
      <c r="P453" s="131"/>
      <c r="Q453" s="131"/>
      <c r="R453" s="131"/>
      <c r="S453" s="128">
        <f t="shared" si="12"/>
        <v>0</v>
      </c>
      <c r="T453" s="101">
        <v>22.7</v>
      </c>
      <c r="U453" s="101">
        <v>49.9</v>
      </c>
      <c r="V453" s="129">
        <f t="shared" si="13"/>
        <v>0</v>
      </c>
    </row>
    <row r="454" spans="1:22" ht="15" hidden="1" customHeight="1" x14ac:dyDescent="0.25">
      <c r="A454" s="100">
        <v>760419</v>
      </c>
      <c r="B454" s="100" t="s">
        <v>200</v>
      </c>
      <c r="C454" s="100" t="s">
        <v>408</v>
      </c>
      <c r="D454" s="102" t="s">
        <v>55</v>
      </c>
      <c r="E454" s="130"/>
      <c r="F454" s="130"/>
      <c r="G454" s="130"/>
      <c r="H454" s="130"/>
      <c r="I454" s="130"/>
      <c r="J454" s="130"/>
      <c r="K454" s="130"/>
      <c r="L454" s="130"/>
      <c r="M454" s="100"/>
      <c r="N454" s="100"/>
      <c r="O454" s="127"/>
      <c r="P454" s="127"/>
      <c r="Q454" s="131"/>
      <c r="R454" s="131"/>
      <c r="S454" s="128">
        <f t="shared" si="12"/>
        <v>0</v>
      </c>
      <c r="T454" s="101">
        <v>22.7</v>
      </c>
      <c r="U454" s="101">
        <v>49.9</v>
      </c>
      <c r="V454" s="129">
        <f t="shared" si="13"/>
        <v>0</v>
      </c>
    </row>
    <row r="455" spans="1:22" ht="15" hidden="1" customHeight="1" x14ac:dyDescent="0.25">
      <c r="A455" s="100">
        <v>760419</v>
      </c>
      <c r="B455" s="100" t="s">
        <v>575</v>
      </c>
      <c r="C455" s="100" t="s">
        <v>408</v>
      </c>
      <c r="D455" s="102" t="s">
        <v>56</v>
      </c>
      <c r="E455" s="100"/>
      <c r="F455" s="100"/>
      <c r="G455" s="100"/>
      <c r="H455" s="100"/>
      <c r="I455" s="100"/>
      <c r="J455" s="100"/>
      <c r="K455" s="100"/>
      <c r="L455" s="100"/>
      <c r="M455" s="100"/>
      <c r="N455" s="130"/>
      <c r="O455" s="131"/>
      <c r="P455" s="131"/>
      <c r="Q455" s="131"/>
      <c r="R455" s="131"/>
      <c r="S455" s="128">
        <f t="shared" si="12"/>
        <v>0</v>
      </c>
      <c r="T455" s="101">
        <v>22.7</v>
      </c>
      <c r="U455" s="101">
        <v>49.9</v>
      </c>
      <c r="V455" s="129">
        <f t="shared" si="13"/>
        <v>0</v>
      </c>
    </row>
    <row r="456" spans="1:22" ht="15" hidden="1" customHeight="1" x14ac:dyDescent="0.25">
      <c r="A456" s="100">
        <v>760419</v>
      </c>
      <c r="B456" s="100" t="s">
        <v>174</v>
      </c>
      <c r="C456" s="100" t="s">
        <v>373</v>
      </c>
      <c r="D456" s="102" t="s">
        <v>55</v>
      </c>
      <c r="E456" s="130"/>
      <c r="F456" s="130"/>
      <c r="G456" s="130"/>
      <c r="H456" s="130"/>
      <c r="I456" s="130"/>
      <c r="J456" s="130"/>
      <c r="K456" s="130"/>
      <c r="L456" s="130"/>
      <c r="M456" s="100"/>
      <c r="N456" s="100"/>
      <c r="O456" s="127"/>
      <c r="P456" s="127"/>
      <c r="Q456" s="131"/>
      <c r="R456" s="131"/>
      <c r="S456" s="128">
        <f t="shared" si="12"/>
        <v>0</v>
      </c>
      <c r="T456" s="101">
        <v>22.7</v>
      </c>
      <c r="U456" s="101">
        <v>49.9</v>
      </c>
      <c r="V456" s="129">
        <f t="shared" si="13"/>
        <v>0</v>
      </c>
    </row>
    <row r="457" spans="1:22" ht="15" hidden="1" customHeight="1" x14ac:dyDescent="0.25">
      <c r="A457" s="100">
        <v>760419</v>
      </c>
      <c r="B457" s="100" t="s">
        <v>576</v>
      </c>
      <c r="C457" s="100" t="s">
        <v>373</v>
      </c>
      <c r="D457" s="102" t="s">
        <v>56</v>
      </c>
      <c r="E457" s="100"/>
      <c r="F457" s="100"/>
      <c r="G457" s="100"/>
      <c r="H457" s="100"/>
      <c r="I457" s="100"/>
      <c r="J457" s="100"/>
      <c r="K457" s="100"/>
      <c r="L457" s="100"/>
      <c r="M457" s="100"/>
      <c r="N457" s="130"/>
      <c r="O457" s="131"/>
      <c r="P457" s="131"/>
      <c r="Q457" s="131"/>
      <c r="R457" s="131"/>
      <c r="S457" s="128">
        <f t="shared" si="12"/>
        <v>0</v>
      </c>
      <c r="T457" s="101">
        <v>22.7</v>
      </c>
      <c r="U457" s="101">
        <v>49.9</v>
      </c>
      <c r="V457" s="129">
        <f t="shared" si="13"/>
        <v>0</v>
      </c>
    </row>
    <row r="458" spans="1:22" ht="15" hidden="1" customHeight="1" x14ac:dyDescent="0.25">
      <c r="A458" s="100">
        <v>760419</v>
      </c>
      <c r="B458" s="100" t="s">
        <v>143</v>
      </c>
      <c r="C458" s="100" t="s">
        <v>185</v>
      </c>
      <c r="D458" s="102" t="s">
        <v>55</v>
      </c>
      <c r="E458" s="130"/>
      <c r="F458" s="130"/>
      <c r="G458" s="130"/>
      <c r="H458" s="130"/>
      <c r="I458" s="130"/>
      <c r="J458" s="130"/>
      <c r="K458" s="130"/>
      <c r="L458" s="130"/>
      <c r="M458" s="100"/>
      <c r="N458" s="100"/>
      <c r="O458" s="127"/>
      <c r="P458" s="127"/>
      <c r="Q458" s="131"/>
      <c r="R458" s="131"/>
      <c r="S458" s="128">
        <f t="shared" si="12"/>
        <v>0</v>
      </c>
      <c r="T458" s="101">
        <v>22.7</v>
      </c>
      <c r="U458" s="101">
        <v>49.9</v>
      </c>
      <c r="V458" s="129">
        <f t="shared" si="13"/>
        <v>0</v>
      </c>
    </row>
    <row r="459" spans="1:22" ht="15" hidden="1" customHeight="1" x14ac:dyDescent="0.25">
      <c r="A459" s="100">
        <v>760419</v>
      </c>
      <c r="B459" s="100" t="s">
        <v>577</v>
      </c>
      <c r="C459" s="100" t="s">
        <v>185</v>
      </c>
      <c r="D459" s="102" t="s">
        <v>56</v>
      </c>
      <c r="E459" s="100"/>
      <c r="F459" s="100"/>
      <c r="G459" s="100"/>
      <c r="H459" s="100"/>
      <c r="I459" s="100"/>
      <c r="J459" s="100"/>
      <c r="K459" s="100"/>
      <c r="L459" s="100"/>
      <c r="M459" s="100"/>
      <c r="N459" s="130"/>
      <c r="O459" s="131"/>
      <c r="P459" s="131"/>
      <c r="Q459" s="131"/>
      <c r="R459" s="131"/>
      <c r="S459" s="128">
        <f t="shared" si="12"/>
        <v>0</v>
      </c>
      <c r="T459" s="101">
        <v>22.7</v>
      </c>
      <c r="U459" s="101">
        <v>49.9</v>
      </c>
      <c r="V459" s="129">
        <f t="shared" si="13"/>
        <v>0</v>
      </c>
    </row>
    <row r="463" spans="1:22" x14ac:dyDescent="0.2">
      <c r="B463" s="62" t="s">
        <v>187</v>
      </c>
      <c r="C463" s="113" t="s">
        <v>261</v>
      </c>
    </row>
    <row r="464" spans="1:22" x14ac:dyDescent="0.2">
      <c r="B464" s="62" t="s">
        <v>262</v>
      </c>
      <c r="C464" s="113" t="s">
        <v>263</v>
      </c>
    </row>
    <row r="465" spans="2:3" x14ac:dyDescent="0.2">
      <c r="B465" s="62" t="s">
        <v>264</v>
      </c>
      <c r="C465" s="113" t="s">
        <v>265</v>
      </c>
    </row>
    <row r="466" spans="2:3" x14ac:dyDescent="0.2">
      <c r="B466" s="62" t="s">
        <v>266</v>
      </c>
      <c r="C466" s="113" t="s">
        <v>267</v>
      </c>
    </row>
  </sheetData>
  <autoFilter ref="A17:AG459" xr:uid="{00000000-0009-0000-0000-000000000000}">
    <filterColumn colId="18">
      <filters>
        <filter val="4"/>
        <filter val="5"/>
        <filter val="7"/>
        <filter val="8"/>
      </filters>
    </filterColumn>
    <sortState xmlns:xlrd2="http://schemas.microsoft.com/office/spreadsheetml/2017/richdata2" ref="A18:AG459">
      <sortCondition ref="A17:A459"/>
    </sortState>
  </autoFilter>
  <mergeCells count="6">
    <mergeCell ref="U2:W3"/>
    <mergeCell ref="T7:U7"/>
    <mergeCell ref="K13:L13"/>
    <mergeCell ref="M13:N13"/>
    <mergeCell ref="O13:P13"/>
    <mergeCell ref="Q13:R13"/>
  </mergeCells>
  <phoneticPr fontId="20" type="noConversion"/>
  <printOptions horizontalCentered="1"/>
  <pageMargins left="0.19685039370078741" right="0.19685039370078741" top="0.59055118110236227" bottom="0.59055118110236227" header="0.31496062992125984" footer="0.15748031496062992"/>
  <pageSetup paperSize="9" scale="28" orientation="landscape" r:id="rId1"/>
  <headerFooter differentFirst="1" scaleWithDoc="0" alignWithMargins="0">
    <oddHeader>&amp;R&amp;"Calibri,Standard"Seite&amp;P/&amp;N</oddHeader>
    <oddFooter>&amp;C&amp;"-,Standard"&amp;9Peakmile AG, Gebäude G, Mühlegasse 18, 6340 Baar           
Tel. Office + 41 41 760 19 02, Fax Office + 41 41 760 19 03, info@peakmile.com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685"/>
  <sheetViews>
    <sheetView showZeros="0" workbookViewId="0">
      <selection sqref="A1 A1:XFD1"/>
    </sheetView>
  </sheetViews>
  <sheetFormatPr defaultColWidth="12.140625" defaultRowHeight="12.75" outlineLevelCol="1" x14ac:dyDescent="0.2"/>
  <cols>
    <col min="1" max="1" width="10.42578125" style="61" customWidth="1"/>
    <col min="2" max="2" width="29.42578125" style="62" customWidth="1" outlineLevel="1"/>
    <col min="3" max="3" width="18.5703125" style="8" customWidth="1" outlineLevel="1"/>
    <col min="4" max="4" width="12.42578125" style="8" customWidth="1" outlineLevel="1"/>
    <col min="5" max="11" width="6.5703125" style="4" customWidth="1" outlineLevel="1"/>
    <col min="12" max="12" width="6.5703125" style="4" customWidth="1"/>
    <col min="13" max="18" width="6.5703125" style="7" customWidth="1"/>
    <col min="19" max="19" width="9.5703125" style="6" customWidth="1"/>
    <col min="20" max="20" width="8.42578125" style="50" customWidth="1"/>
    <col min="21" max="21" width="13.5703125" style="50" customWidth="1"/>
    <col min="22" max="22" width="12.140625" style="6" customWidth="1"/>
    <col min="23" max="23" width="15.42578125" style="43" customWidth="1"/>
    <col min="24" max="24" width="14.42578125" style="4" customWidth="1"/>
    <col min="25" max="25" width="9.140625" style="4" customWidth="1"/>
    <col min="26" max="26" width="10" style="4" customWidth="1"/>
    <col min="27" max="27" width="10.42578125" style="4" customWidth="1"/>
    <col min="28" max="28" width="10.140625" style="4" customWidth="1"/>
    <col min="29" max="29" width="12.140625" style="4" customWidth="1"/>
    <col min="30" max="16384" width="12.140625" style="4"/>
  </cols>
  <sheetData>
    <row r="1" spans="1:24" x14ac:dyDescent="0.2">
      <c r="A1" s="144" t="s">
        <v>268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</row>
    <row r="2" spans="1:24" s="11" customFormat="1" ht="21" customHeight="1" x14ac:dyDescent="0.35">
      <c r="B2" s="15"/>
      <c r="C2" s="13"/>
      <c r="D2" s="13"/>
      <c r="E2" s="38"/>
      <c r="F2" s="13"/>
      <c r="G2" s="13"/>
      <c r="H2" s="13"/>
      <c r="I2" s="13"/>
      <c r="J2" s="13"/>
      <c r="K2" s="13"/>
      <c r="L2" s="13"/>
      <c r="M2" s="19"/>
      <c r="N2" s="19"/>
      <c r="O2" s="19"/>
      <c r="P2" s="19"/>
      <c r="Q2" s="19"/>
      <c r="R2" s="19"/>
      <c r="S2" s="24"/>
      <c r="T2" s="48"/>
      <c r="U2" s="48"/>
      <c r="V2" s="24"/>
      <c r="W2" s="39"/>
    </row>
    <row r="3" spans="1:24" s="12" customFormat="1" ht="20.25" customHeight="1" x14ac:dyDescent="0.35">
      <c r="A3" s="86" t="s">
        <v>269</v>
      </c>
      <c r="B3" s="15"/>
      <c r="C3" s="16"/>
      <c r="D3" s="96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35"/>
      <c r="T3" s="49"/>
      <c r="U3" s="49"/>
      <c r="V3" s="46"/>
      <c r="W3" s="40"/>
    </row>
    <row r="4" spans="1:24" s="3" customFormat="1" ht="16.5" customHeight="1" x14ac:dyDescent="0.25">
      <c r="A4" s="59"/>
      <c r="B4" s="34"/>
      <c r="C4" s="29"/>
      <c r="D4" s="73" t="str">
        <f>'Orderformular Color Kids'!D10</f>
        <v>Mittens/Acc</v>
      </c>
      <c r="E4" s="116" t="s">
        <v>17</v>
      </c>
      <c r="F4" s="116" t="s">
        <v>18</v>
      </c>
      <c r="G4" s="116" t="s">
        <v>19</v>
      </c>
      <c r="H4" s="116" t="s">
        <v>20</v>
      </c>
      <c r="I4" s="116" t="s">
        <v>21</v>
      </c>
      <c r="J4" s="116" t="s">
        <v>22</v>
      </c>
      <c r="K4" s="116" t="s">
        <v>23</v>
      </c>
      <c r="L4" s="116" t="s">
        <v>24</v>
      </c>
      <c r="M4" s="137" t="s">
        <v>25</v>
      </c>
      <c r="N4" s="36"/>
      <c r="O4" s="36"/>
      <c r="P4" s="36"/>
      <c r="Q4" s="36"/>
      <c r="R4" s="36"/>
      <c r="T4" s="45"/>
      <c r="U4" s="42"/>
      <c r="X4" s="72"/>
    </row>
    <row r="5" spans="1:24" s="3" customFormat="1" ht="16.5" customHeight="1" x14ac:dyDescent="0.25">
      <c r="A5" s="74" t="s">
        <v>270</v>
      </c>
      <c r="B5" s="29" t="str">
        <f>'Orderformular Color Kids'!B4</f>
        <v>Muster Fashion AG</v>
      </c>
      <c r="C5" s="29"/>
      <c r="D5" s="73" t="str">
        <f>'Orderformular Color Kids'!D11</f>
        <v>Hats/Necks</v>
      </c>
      <c r="E5" s="114" t="s">
        <v>27</v>
      </c>
      <c r="F5" s="76">
        <v>48</v>
      </c>
      <c r="G5" s="76">
        <v>50</v>
      </c>
      <c r="H5" s="94">
        <v>52</v>
      </c>
      <c r="I5" s="76">
        <v>54</v>
      </c>
      <c r="J5" s="76">
        <v>56</v>
      </c>
      <c r="K5" s="115" t="s">
        <v>28</v>
      </c>
      <c r="L5" s="115" t="s">
        <v>29</v>
      </c>
      <c r="M5" s="115" t="s">
        <v>30</v>
      </c>
      <c r="N5" s="36"/>
      <c r="O5" s="36"/>
      <c r="P5" s="36"/>
      <c r="Q5" s="36"/>
      <c r="R5" s="36"/>
      <c r="T5" s="45"/>
      <c r="U5" s="42"/>
    </row>
    <row r="6" spans="1:24" s="3" customFormat="1" ht="16.5" customHeight="1" x14ac:dyDescent="0.25">
      <c r="A6" s="126" t="str">
        <f>'Orderformular Color Kids'!D6</f>
        <v>Bexio AU:</v>
      </c>
      <c r="B6" s="29">
        <f>'Orderformular Color Kids'!E6</f>
        <v>0</v>
      </c>
      <c r="C6" s="29"/>
      <c r="D6" s="68" t="str">
        <f>'Orderformular Color Kids'!D12</f>
        <v>Shoes</v>
      </c>
      <c r="E6" s="76" t="s">
        <v>33</v>
      </c>
      <c r="F6" s="76" t="s">
        <v>34</v>
      </c>
      <c r="G6" s="76" t="s">
        <v>35</v>
      </c>
      <c r="H6" s="76" t="s">
        <v>36</v>
      </c>
      <c r="I6" s="76" t="s">
        <v>37</v>
      </c>
      <c r="J6" s="76" t="s">
        <v>38</v>
      </c>
      <c r="K6" s="76" t="s">
        <v>39</v>
      </c>
      <c r="L6" s="76" t="s">
        <v>40</v>
      </c>
      <c r="M6" s="76" t="s">
        <v>41</v>
      </c>
      <c r="N6" s="76" t="s">
        <v>42</v>
      </c>
      <c r="O6" s="36">
        <f>'Orderformular Color Kids'!O12</f>
        <v>0</v>
      </c>
      <c r="P6" s="36"/>
      <c r="Q6" s="36"/>
      <c r="R6" s="36"/>
      <c r="T6" s="45"/>
      <c r="U6" s="42"/>
    </row>
    <row r="7" spans="1:24" s="3" customFormat="1" ht="16.5" customHeight="1" x14ac:dyDescent="0.25">
      <c r="A7" s="59"/>
      <c r="B7" s="34"/>
      <c r="C7" s="29"/>
      <c r="D7" s="68" t="str">
        <f>'Orderformular Color Kids'!D13</f>
        <v>Socks/UWear</v>
      </c>
      <c r="E7" s="76" t="s">
        <v>45</v>
      </c>
      <c r="F7" s="76" t="s">
        <v>46</v>
      </c>
      <c r="G7" s="76" t="s">
        <v>47</v>
      </c>
      <c r="H7" s="76" t="s">
        <v>48</v>
      </c>
      <c r="I7" s="76" t="s">
        <v>49</v>
      </c>
      <c r="J7" s="76"/>
      <c r="K7" s="142" t="s">
        <v>50</v>
      </c>
      <c r="L7" s="143"/>
      <c r="M7" s="142" t="s">
        <v>51</v>
      </c>
      <c r="N7" s="143"/>
      <c r="O7" s="142" t="s">
        <v>52</v>
      </c>
      <c r="P7" s="143"/>
      <c r="Q7" s="142" t="s">
        <v>53</v>
      </c>
      <c r="R7" s="143"/>
      <c r="T7" s="45"/>
      <c r="U7" s="42"/>
    </row>
    <row r="8" spans="1:24" s="3" customFormat="1" ht="16.5" customHeight="1" x14ac:dyDescent="0.25">
      <c r="A8" s="59"/>
      <c r="B8" s="34"/>
      <c r="C8" s="29"/>
      <c r="D8" s="68" t="str">
        <f>'Orderformular Color Kids'!D14</f>
        <v>Shoes 20-31</v>
      </c>
      <c r="E8" s="36">
        <f>'Orderformular Color Kids'!E14</f>
        <v>20</v>
      </c>
      <c r="F8" s="36">
        <f>'Orderformular Color Kids'!F14</f>
        <v>21</v>
      </c>
      <c r="G8" s="36">
        <f>'Orderformular Color Kids'!G14</f>
        <v>22</v>
      </c>
      <c r="H8" s="36">
        <f>'Orderformular Color Kids'!H14</f>
        <v>23</v>
      </c>
      <c r="I8" s="36">
        <f>'Orderformular Color Kids'!I14</f>
        <v>24</v>
      </c>
      <c r="J8" s="36">
        <f>'Orderformular Color Kids'!J14</f>
        <v>25</v>
      </c>
      <c r="K8" s="36">
        <f>'Orderformular Color Kids'!K14</f>
        <v>26</v>
      </c>
      <c r="L8" s="36">
        <f>'Orderformular Color Kids'!L14</f>
        <v>27</v>
      </c>
      <c r="M8" s="36">
        <f>'Orderformular Color Kids'!M14</f>
        <v>28</v>
      </c>
      <c r="N8" s="36">
        <v>29</v>
      </c>
      <c r="O8" s="36">
        <f>'Orderformular Color Kids'!O14</f>
        <v>30</v>
      </c>
      <c r="P8" s="36">
        <v>31</v>
      </c>
      <c r="Q8" s="36">
        <f>'Orderformular Color Kids'!Q14</f>
        <v>0</v>
      </c>
      <c r="R8" s="36">
        <f>'Orderformular Color Kids'!R14</f>
        <v>0</v>
      </c>
      <c r="T8" s="45"/>
      <c r="U8" s="42"/>
    </row>
    <row r="9" spans="1:24" s="1" customFormat="1" ht="18" customHeight="1" x14ac:dyDescent="0.2">
      <c r="A9" s="60"/>
      <c r="B9" s="62"/>
      <c r="C9" s="21"/>
      <c r="D9" s="68" t="str">
        <f>'Orderformular Color Kids'!D15</f>
        <v>Shoes 32-42</v>
      </c>
      <c r="E9" s="76">
        <f>'Orderformular Color Kids'!E15</f>
        <v>32</v>
      </c>
      <c r="F9" s="76">
        <f>'Orderformular Color Kids'!F15</f>
        <v>33</v>
      </c>
      <c r="G9" s="76">
        <f>'Orderformular Color Kids'!G15</f>
        <v>34</v>
      </c>
      <c r="H9" s="76">
        <f>'Orderformular Color Kids'!H15</f>
        <v>35</v>
      </c>
      <c r="I9" s="76">
        <f>'Orderformular Color Kids'!I15</f>
        <v>36</v>
      </c>
      <c r="J9" s="76">
        <f>'Orderformular Color Kids'!J15</f>
        <v>37</v>
      </c>
      <c r="K9" s="76">
        <f>'Orderformular Color Kids'!K15</f>
        <v>38</v>
      </c>
      <c r="L9" s="76">
        <f>'Orderformular Color Kids'!L15</f>
        <v>39</v>
      </c>
      <c r="M9" s="76">
        <f>'Orderformular Color Kids'!M15</f>
        <v>40</v>
      </c>
      <c r="N9" s="76">
        <v>41</v>
      </c>
      <c r="O9" s="76">
        <f>'Orderformular Color Kids'!O15</f>
        <v>42</v>
      </c>
      <c r="P9" s="76"/>
      <c r="Q9" s="76"/>
      <c r="R9" s="76"/>
      <c r="S9" s="14"/>
      <c r="T9" s="51"/>
      <c r="U9" s="44"/>
    </row>
    <row r="10" spans="1:24" s="1" customFormat="1" ht="18" customHeight="1" x14ac:dyDescent="0.2">
      <c r="A10" s="60"/>
      <c r="B10" s="62"/>
      <c r="C10" s="21"/>
      <c r="D10" s="68" t="str">
        <f>'Orderformular Color Kids'!D16</f>
        <v>Mini</v>
      </c>
      <c r="E10" s="76">
        <f>'Orderformular Color Kids'!E16</f>
        <v>62</v>
      </c>
      <c r="F10" s="76">
        <f>'Orderformular Color Kids'!F16</f>
        <v>68</v>
      </c>
      <c r="G10" s="76">
        <f>'Orderformular Color Kids'!G16</f>
        <v>74</v>
      </c>
      <c r="H10" s="76">
        <f>'Orderformular Color Kids'!H16</f>
        <v>80</v>
      </c>
      <c r="I10" s="76">
        <f>'Orderformular Color Kids'!I16</f>
        <v>86</v>
      </c>
      <c r="J10" s="76">
        <f>'Orderformular Color Kids'!J16</f>
        <v>92</v>
      </c>
      <c r="K10" s="76">
        <f>'Orderformular Color Kids'!K16</f>
        <v>98</v>
      </c>
      <c r="L10" s="76">
        <f>'Orderformular Color Kids'!L16</f>
        <v>104</v>
      </c>
      <c r="M10" s="76">
        <v>110</v>
      </c>
      <c r="N10" s="76">
        <v>116</v>
      </c>
      <c r="O10" s="76"/>
      <c r="P10" s="76"/>
      <c r="Q10" s="76"/>
      <c r="R10" s="76"/>
      <c r="S10" s="14"/>
      <c r="T10" s="51"/>
      <c r="U10" s="44"/>
    </row>
    <row r="11" spans="1:24" s="1" customFormat="1" ht="19.5" customHeight="1" x14ac:dyDescent="0.2">
      <c r="A11" s="63" t="s">
        <v>59</v>
      </c>
      <c r="B11" s="64" t="s">
        <v>60</v>
      </c>
      <c r="C11" s="67" t="s">
        <v>61</v>
      </c>
      <c r="D11" s="68" t="str">
        <f>'Orderformular Color Kids'!D17</f>
        <v>Kids</v>
      </c>
      <c r="E11" s="36">
        <f>'Orderformular Color Kids'!E17</f>
        <v>92</v>
      </c>
      <c r="F11" s="36">
        <f>'Orderformular Color Kids'!F17</f>
        <v>98</v>
      </c>
      <c r="G11" s="36">
        <f>'Orderformular Color Kids'!G17</f>
        <v>104</v>
      </c>
      <c r="H11" s="36">
        <f>'Orderformular Color Kids'!H17</f>
        <v>110</v>
      </c>
      <c r="I11" s="36">
        <f>'Orderformular Color Kids'!I17</f>
        <v>116</v>
      </c>
      <c r="J11" s="36">
        <f>'Orderformular Color Kids'!J17</f>
        <v>122</v>
      </c>
      <c r="K11" s="36">
        <f>'Orderformular Color Kids'!K17</f>
        <v>128</v>
      </c>
      <c r="L11" s="36">
        <f>'Orderformular Color Kids'!L17</f>
        <v>134</v>
      </c>
      <c r="M11" s="36">
        <f>'Orderformular Color Kids'!M17</f>
        <v>140</v>
      </c>
      <c r="N11" s="36">
        <v>146</v>
      </c>
      <c r="O11" s="36">
        <f>'Orderformular Color Kids'!O17</f>
        <v>152</v>
      </c>
      <c r="P11" s="36">
        <v>158</v>
      </c>
      <c r="Q11" s="36">
        <f>'Orderformular Color Kids'!Q17</f>
        <v>164</v>
      </c>
      <c r="R11" s="36">
        <f>'Orderformular Color Kids'!R17</f>
        <v>176</v>
      </c>
      <c r="S11" s="69" t="s">
        <v>63</v>
      </c>
      <c r="T11" s="66" t="s">
        <v>271</v>
      </c>
      <c r="U11" s="44"/>
    </row>
    <row r="12" spans="1:24" customFormat="1" ht="15" customHeight="1" x14ac:dyDescent="0.25">
      <c r="A12" s="107">
        <f>'Orderformular Color Kids'!A18</f>
        <v>5437</v>
      </c>
      <c r="B12" s="108" t="str">
        <f>'Orderformular Color Kids'!B18</f>
        <v>Anonymized Item 18</v>
      </c>
      <c r="C12" s="108" t="str">
        <f>'Orderformular Color Kids'!C18</f>
        <v>Anonymized 161 Phantom</v>
      </c>
      <c r="D12" s="108" t="str">
        <f>'Orderformular Color Kids'!D18</f>
        <v>Mini</v>
      </c>
      <c r="E12" s="97">
        <f>'Orderformular Color Kids'!E18</f>
        <v>0</v>
      </c>
      <c r="F12" s="97">
        <f>'Orderformular Color Kids'!F18</f>
        <v>0</v>
      </c>
      <c r="G12" s="97">
        <f>'Orderformular Color Kids'!G18</f>
        <v>0</v>
      </c>
      <c r="H12" s="97">
        <f>'Orderformular Color Kids'!H18</f>
        <v>0</v>
      </c>
      <c r="I12" s="97">
        <f>'Orderformular Color Kids'!I18</f>
        <v>0</v>
      </c>
      <c r="J12" s="97">
        <f>'Orderformular Color Kids'!J18</f>
        <v>0</v>
      </c>
      <c r="K12" s="97">
        <f>'Orderformular Color Kids'!K18</f>
        <v>0</v>
      </c>
      <c r="L12" s="97">
        <f>'Orderformular Color Kids'!L18</f>
        <v>0</v>
      </c>
      <c r="M12" s="97">
        <f>'Orderformular Color Kids'!M18</f>
        <v>0</v>
      </c>
      <c r="N12" s="97">
        <f>'Orderformular Color Kids'!N18</f>
        <v>0</v>
      </c>
      <c r="O12" s="97">
        <f>'Orderformular Color Kids'!O18</f>
        <v>0</v>
      </c>
      <c r="P12" s="97">
        <f>'Orderformular Color Kids'!P18</f>
        <v>0</v>
      </c>
      <c r="Q12" s="97">
        <f>'Orderformular Color Kids'!Q18</f>
        <v>0</v>
      </c>
      <c r="R12" s="97">
        <f>'Orderformular Color Kids'!R18</f>
        <v>0</v>
      </c>
      <c r="S12" s="98">
        <f t="shared" ref="S12:S75" si="0">SUM(E12:R12)</f>
        <v>0</v>
      </c>
      <c r="T12" s="109">
        <f>'Orderformular Color Kids'!U18</f>
        <v>59.9</v>
      </c>
    </row>
    <row r="13" spans="1:24" ht="15" customHeight="1" x14ac:dyDescent="0.25">
      <c r="A13" s="110">
        <f>'Orderformular Color Kids'!A19</f>
        <v>5437</v>
      </c>
      <c r="B13" s="106" t="str">
        <f>'Orderformular Color Kids'!B19</f>
        <v>Anonymized Item 19</v>
      </c>
      <c r="C13" s="106" t="str">
        <f>'Orderformular Color Kids'!C19</f>
        <v>Anonymized 161 Phantom</v>
      </c>
      <c r="D13" s="108" t="str">
        <f>'Orderformular Color Kids'!D19</f>
        <v>Kids</v>
      </c>
      <c r="E13" s="97">
        <f>'Orderformular Color Kids'!E19</f>
        <v>0</v>
      </c>
      <c r="F13" s="97">
        <f>'Orderformular Color Kids'!F19</f>
        <v>0</v>
      </c>
      <c r="G13" s="97">
        <f>'Orderformular Color Kids'!G19</f>
        <v>0</v>
      </c>
      <c r="H13" s="97">
        <f>'Orderformular Color Kids'!H19</f>
        <v>0</v>
      </c>
      <c r="I13" s="97">
        <f>'Orderformular Color Kids'!I19</f>
        <v>0</v>
      </c>
      <c r="J13" s="97">
        <f>'Orderformular Color Kids'!J19</f>
        <v>0</v>
      </c>
      <c r="K13" s="97">
        <f>'Orderformular Color Kids'!K19</f>
        <v>0</v>
      </c>
      <c r="L13" s="97">
        <f>'Orderformular Color Kids'!L19</f>
        <v>0</v>
      </c>
      <c r="M13" s="97">
        <f>'Orderformular Color Kids'!M19</f>
        <v>0</v>
      </c>
      <c r="N13" s="97">
        <f>'Orderformular Color Kids'!N19</f>
        <v>0</v>
      </c>
      <c r="O13" s="97">
        <f>'Orderformular Color Kids'!O19</f>
        <v>0</v>
      </c>
      <c r="P13" s="97">
        <f>'Orderformular Color Kids'!P19</f>
        <v>0</v>
      </c>
      <c r="Q13" s="97">
        <f>'Orderformular Color Kids'!Q19</f>
        <v>0</v>
      </c>
      <c r="R13" s="97">
        <f>'Orderformular Color Kids'!R19</f>
        <v>0</v>
      </c>
      <c r="S13" s="98">
        <f t="shared" si="0"/>
        <v>0</v>
      </c>
      <c r="T13" s="109">
        <f>'Orderformular Color Kids'!U19</f>
        <v>59.9</v>
      </c>
    </row>
    <row r="14" spans="1:24" ht="15" customHeight="1" x14ac:dyDescent="0.25">
      <c r="A14" s="110">
        <f>'Orderformular Color Kids'!A20</f>
        <v>5437</v>
      </c>
      <c r="B14" s="106" t="str">
        <f>'Orderformular Color Kids'!B20</f>
        <v>Anonymized Item 20</v>
      </c>
      <c r="C14" s="106" t="str">
        <f>'Orderformular Color Kids'!C20</f>
        <v>Anonymized 772 Dress Blues</v>
      </c>
      <c r="D14" s="108" t="str">
        <f>'Orderformular Color Kids'!D20</f>
        <v>Mini</v>
      </c>
      <c r="E14" s="97">
        <f>'Orderformular Color Kids'!E20</f>
        <v>0</v>
      </c>
      <c r="F14" s="97">
        <f>'Orderformular Color Kids'!F20</f>
        <v>0</v>
      </c>
      <c r="G14" s="97">
        <f>'Orderformular Color Kids'!G20</f>
        <v>0</v>
      </c>
      <c r="H14" s="97">
        <f>'Orderformular Color Kids'!H20</f>
        <v>0</v>
      </c>
      <c r="I14" s="97">
        <f>'Orderformular Color Kids'!I20</f>
        <v>0</v>
      </c>
      <c r="J14" s="97">
        <f>'Orderformular Color Kids'!J20</f>
        <v>0</v>
      </c>
      <c r="K14" s="97">
        <f>'Orderformular Color Kids'!K20</f>
        <v>0</v>
      </c>
      <c r="L14" s="97">
        <f>'Orderformular Color Kids'!L20</f>
        <v>0</v>
      </c>
      <c r="M14" s="97">
        <f>'Orderformular Color Kids'!M20</f>
        <v>0</v>
      </c>
      <c r="N14" s="97">
        <f>'Orderformular Color Kids'!N20</f>
        <v>0</v>
      </c>
      <c r="O14" s="97">
        <f>'Orderformular Color Kids'!O20</f>
        <v>0</v>
      </c>
      <c r="P14" s="97">
        <f>'Orderformular Color Kids'!P20</f>
        <v>0</v>
      </c>
      <c r="Q14" s="97">
        <f>'Orderformular Color Kids'!Q20</f>
        <v>0</v>
      </c>
      <c r="R14" s="97">
        <f>'Orderformular Color Kids'!R20</f>
        <v>0</v>
      </c>
      <c r="S14" s="98">
        <f t="shared" si="0"/>
        <v>0</v>
      </c>
      <c r="T14" s="109">
        <f>'Orderformular Color Kids'!U20</f>
        <v>59.9</v>
      </c>
    </row>
    <row r="15" spans="1:24" ht="15" customHeight="1" x14ac:dyDescent="0.25">
      <c r="A15" s="110">
        <f>'Orderformular Color Kids'!A21</f>
        <v>5437</v>
      </c>
      <c r="B15" s="106" t="str">
        <f>'Orderformular Color Kids'!B21</f>
        <v>Anonymized Item 21</v>
      </c>
      <c r="C15" s="106" t="str">
        <f>'Orderformular Color Kids'!C21</f>
        <v>Anonymized 772 Dress Blues</v>
      </c>
      <c r="D15" s="108" t="str">
        <f>'Orderformular Color Kids'!D21</f>
        <v>Kids</v>
      </c>
      <c r="E15" s="97">
        <f>'Orderformular Color Kids'!E21</f>
        <v>0</v>
      </c>
      <c r="F15" s="97">
        <f>'Orderformular Color Kids'!F21</f>
        <v>0</v>
      </c>
      <c r="G15" s="97">
        <f>'Orderformular Color Kids'!G21</f>
        <v>0</v>
      </c>
      <c r="H15" s="97">
        <f>'Orderformular Color Kids'!H21</f>
        <v>0</v>
      </c>
      <c r="I15" s="97">
        <f>'Orderformular Color Kids'!I21</f>
        <v>0</v>
      </c>
      <c r="J15" s="97">
        <f>'Orderformular Color Kids'!J21</f>
        <v>0</v>
      </c>
      <c r="K15" s="97">
        <f>'Orderformular Color Kids'!K21</f>
        <v>0</v>
      </c>
      <c r="L15" s="97">
        <f>'Orderformular Color Kids'!L21</f>
        <v>0</v>
      </c>
      <c r="M15" s="97">
        <f>'Orderformular Color Kids'!M21</f>
        <v>0</v>
      </c>
      <c r="N15" s="97">
        <f>'Orderformular Color Kids'!N21</f>
        <v>0</v>
      </c>
      <c r="O15" s="97">
        <f>'Orderformular Color Kids'!O21</f>
        <v>0</v>
      </c>
      <c r="P15" s="97">
        <f>'Orderformular Color Kids'!P21</f>
        <v>0</v>
      </c>
      <c r="Q15" s="97">
        <f>'Orderformular Color Kids'!Q21</f>
        <v>0</v>
      </c>
      <c r="R15" s="97">
        <f>'Orderformular Color Kids'!R21</f>
        <v>0</v>
      </c>
      <c r="S15" s="98">
        <f t="shared" si="0"/>
        <v>0</v>
      </c>
      <c r="T15" s="109">
        <f>'Orderformular Color Kids'!U21</f>
        <v>59.9</v>
      </c>
    </row>
    <row r="16" spans="1:24" ht="15" customHeight="1" x14ac:dyDescent="0.25">
      <c r="A16" s="110">
        <f>'Orderformular Color Kids'!A22</f>
        <v>5438</v>
      </c>
      <c r="B16" s="106" t="str">
        <f>'Orderformular Color Kids'!B22</f>
        <v>Anonymized Item 22</v>
      </c>
      <c r="C16" s="106" t="str">
        <f>'Orderformular Color Kids'!C22</f>
        <v>Anonymized 161 Phantom</v>
      </c>
      <c r="D16" s="108" t="str">
        <f>'Orderformular Color Kids'!D22</f>
        <v>Mini</v>
      </c>
      <c r="E16" s="97">
        <f>'Orderformular Color Kids'!E22</f>
        <v>0</v>
      </c>
      <c r="F16" s="97">
        <f>'Orderformular Color Kids'!F22</f>
        <v>0</v>
      </c>
      <c r="G16" s="97">
        <f>'Orderformular Color Kids'!G22</f>
        <v>0</v>
      </c>
      <c r="H16" s="97">
        <f>'Orderformular Color Kids'!H22</f>
        <v>0</v>
      </c>
      <c r="I16" s="97">
        <f>'Orderformular Color Kids'!I22</f>
        <v>0</v>
      </c>
      <c r="J16" s="97">
        <f>'Orderformular Color Kids'!J22</f>
        <v>0</v>
      </c>
      <c r="K16" s="97">
        <f>'Orderformular Color Kids'!K22</f>
        <v>0</v>
      </c>
      <c r="L16" s="97">
        <f>'Orderformular Color Kids'!L22</f>
        <v>0</v>
      </c>
      <c r="M16" s="97">
        <f>'Orderformular Color Kids'!M22</f>
        <v>0</v>
      </c>
      <c r="N16" s="97">
        <f>'Orderformular Color Kids'!N22</f>
        <v>0</v>
      </c>
      <c r="O16" s="97">
        <f>'Orderformular Color Kids'!O22</f>
        <v>0</v>
      </c>
      <c r="P16" s="97">
        <f>'Orderformular Color Kids'!P22</f>
        <v>0</v>
      </c>
      <c r="Q16" s="97">
        <f>'Orderformular Color Kids'!Q22</f>
        <v>0</v>
      </c>
      <c r="R16" s="97">
        <f>'Orderformular Color Kids'!R22</f>
        <v>0</v>
      </c>
      <c r="S16" s="98">
        <f t="shared" si="0"/>
        <v>0</v>
      </c>
      <c r="T16" s="109">
        <f>'Orderformular Color Kids'!U22</f>
        <v>45.9</v>
      </c>
    </row>
    <row r="17" spans="1:20" ht="15" customHeight="1" x14ac:dyDescent="0.25">
      <c r="A17" s="110">
        <f>'Orderformular Color Kids'!A23</f>
        <v>5438</v>
      </c>
      <c r="B17" s="106" t="str">
        <f>'Orderformular Color Kids'!B23</f>
        <v>Anonymized Item 23</v>
      </c>
      <c r="C17" s="106" t="str">
        <f>'Orderformular Color Kids'!C23</f>
        <v>Anonymized 161 Phantom</v>
      </c>
      <c r="D17" s="108" t="str">
        <f>'Orderformular Color Kids'!D23</f>
        <v>Kids</v>
      </c>
      <c r="E17" s="97">
        <f>'Orderformular Color Kids'!E23</f>
        <v>0</v>
      </c>
      <c r="F17" s="97">
        <f>'Orderformular Color Kids'!F23</f>
        <v>0</v>
      </c>
      <c r="G17" s="97">
        <f>'Orderformular Color Kids'!G23</f>
        <v>0</v>
      </c>
      <c r="H17" s="97">
        <f>'Orderformular Color Kids'!H23</f>
        <v>0</v>
      </c>
      <c r="I17" s="97">
        <f>'Orderformular Color Kids'!I23</f>
        <v>0</v>
      </c>
      <c r="J17" s="97">
        <f>'Orderformular Color Kids'!J23</f>
        <v>0</v>
      </c>
      <c r="K17" s="97">
        <f>'Orderformular Color Kids'!K23</f>
        <v>0</v>
      </c>
      <c r="L17" s="97">
        <f>'Orderformular Color Kids'!L23</f>
        <v>0</v>
      </c>
      <c r="M17" s="97">
        <f>'Orderformular Color Kids'!M23</f>
        <v>0</v>
      </c>
      <c r="N17" s="97">
        <f>'Orderformular Color Kids'!N23</f>
        <v>0</v>
      </c>
      <c r="O17" s="97">
        <f>'Orderformular Color Kids'!O23</f>
        <v>0</v>
      </c>
      <c r="P17" s="97">
        <f>'Orderformular Color Kids'!P23</f>
        <v>0</v>
      </c>
      <c r="Q17" s="97">
        <f>'Orderformular Color Kids'!Q23</f>
        <v>0</v>
      </c>
      <c r="R17" s="97">
        <f>'Orderformular Color Kids'!R23</f>
        <v>0</v>
      </c>
      <c r="S17" s="98">
        <f t="shared" si="0"/>
        <v>0</v>
      </c>
      <c r="T17" s="109">
        <f>'Orderformular Color Kids'!U23</f>
        <v>45.9</v>
      </c>
    </row>
    <row r="18" spans="1:20" ht="15" customHeight="1" x14ac:dyDescent="0.25">
      <c r="A18" s="110">
        <f>'Orderformular Color Kids'!A24</f>
        <v>5438</v>
      </c>
      <c r="B18" s="106" t="str">
        <f>'Orderformular Color Kids'!B24</f>
        <v>Anonymized Item 24</v>
      </c>
      <c r="C18" s="106" t="str">
        <f>'Orderformular Color Kids'!C24</f>
        <v>Anonymized 563 Honeysuckle</v>
      </c>
      <c r="D18" s="108" t="str">
        <f>'Orderformular Color Kids'!D24</f>
        <v>Mini</v>
      </c>
      <c r="E18" s="97">
        <f>'Orderformular Color Kids'!E24</f>
        <v>0</v>
      </c>
      <c r="F18" s="97">
        <f>'Orderformular Color Kids'!F24</f>
        <v>0</v>
      </c>
      <c r="G18" s="97">
        <f>'Orderformular Color Kids'!G24</f>
        <v>0</v>
      </c>
      <c r="H18" s="97">
        <f>'Orderformular Color Kids'!H24</f>
        <v>0</v>
      </c>
      <c r="I18" s="97">
        <f>'Orderformular Color Kids'!I24</f>
        <v>0</v>
      </c>
      <c r="J18" s="97">
        <f>'Orderformular Color Kids'!J24</f>
        <v>0</v>
      </c>
      <c r="K18" s="97">
        <f>'Orderformular Color Kids'!K24</f>
        <v>0</v>
      </c>
      <c r="L18" s="97">
        <f>'Orderformular Color Kids'!L24</f>
        <v>0</v>
      </c>
      <c r="M18" s="97">
        <f>'Orderformular Color Kids'!M24</f>
        <v>0</v>
      </c>
      <c r="N18" s="97">
        <f>'Orderformular Color Kids'!N24</f>
        <v>0</v>
      </c>
      <c r="O18" s="97">
        <f>'Orderformular Color Kids'!O24</f>
        <v>0</v>
      </c>
      <c r="P18" s="97">
        <f>'Orderformular Color Kids'!P24</f>
        <v>0</v>
      </c>
      <c r="Q18" s="97">
        <f>'Orderformular Color Kids'!Q24</f>
        <v>0</v>
      </c>
      <c r="R18" s="97">
        <f>'Orderformular Color Kids'!R24</f>
        <v>0</v>
      </c>
      <c r="S18" s="98">
        <f t="shared" si="0"/>
        <v>0</v>
      </c>
      <c r="T18" s="109">
        <f>'Orderformular Color Kids'!U24</f>
        <v>45.9</v>
      </c>
    </row>
    <row r="19" spans="1:20" ht="15" customHeight="1" x14ac:dyDescent="0.25">
      <c r="A19" s="110">
        <f>'Orderformular Color Kids'!A25</f>
        <v>5438</v>
      </c>
      <c r="B19" s="106" t="str">
        <f>'Orderformular Color Kids'!B25</f>
        <v>Anonymized Item 25</v>
      </c>
      <c r="C19" s="106" t="str">
        <f>'Orderformular Color Kids'!C25</f>
        <v>Anonymized 563 Honeysuckle</v>
      </c>
      <c r="D19" s="108" t="str">
        <f>'Orderformular Color Kids'!D25</f>
        <v>Kids</v>
      </c>
      <c r="E19" s="97">
        <f>'Orderformular Color Kids'!E25</f>
        <v>0</v>
      </c>
      <c r="F19" s="97">
        <f>'Orderformular Color Kids'!F25</f>
        <v>0</v>
      </c>
      <c r="G19" s="97">
        <f>'Orderformular Color Kids'!G25</f>
        <v>0</v>
      </c>
      <c r="H19" s="97">
        <f>'Orderformular Color Kids'!H25</f>
        <v>0</v>
      </c>
      <c r="I19" s="97">
        <f>'Orderformular Color Kids'!I25</f>
        <v>0</v>
      </c>
      <c r="J19" s="97">
        <f>'Orderformular Color Kids'!J25</f>
        <v>0</v>
      </c>
      <c r="K19" s="97">
        <f>'Orderformular Color Kids'!K25</f>
        <v>0</v>
      </c>
      <c r="L19" s="97">
        <f>'Orderformular Color Kids'!L25</f>
        <v>0</v>
      </c>
      <c r="M19" s="97">
        <f>'Orderformular Color Kids'!M25</f>
        <v>0</v>
      </c>
      <c r="N19" s="97">
        <f>'Orderformular Color Kids'!N25</f>
        <v>0</v>
      </c>
      <c r="O19" s="97">
        <f>'Orderformular Color Kids'!O25</f>
        <v>0</v>
      </c>
      <c r="P19" s="97">
        <f>'Orderformular Color Kids'!P25</f>
        <v>0</v>
      </c>
      <c r="Q19" s="97">
        <f>'Orderformular Color Kids'!Q25</f>
        <v>0</v>
      </c>
      <c r="R19" s="97">
        <f>'Orderformular Color Kids'!R25</f>
        <v>0</v>
      </c>
      <c r="S19" s="98">
        <f t="shared" si="0"/>
        <v>0</v>
      </c>
      <c r="T19" s="109">
        <f>'Orderformular Color Kids'!U25</f>
        <v>45.9</v>
      </c>
    </row>
    <row r="20" spans="1:20" ht="15" customHeight="1" x14ac:dyDescent="0.25">
      <c r="A20" s="110">
        <f>'Orderformular Color Kids'!A26</f>
        <v>5438</v>
      </c>
      <c r="B20" s="106" t="str">
        <f>'Orderformular Color Kids'!B26</f>
        <v>Anonymized Item 26</v>
      </c>
      <c r="C20" s="106" t="str">
        <f>'Orderformular Color Kids'!C26</f>
        <v>Anonymized 772 Dress Blues</v>
      </c>
      <c r="D20" s="108" t="str">
        <f>'Orderformular Color Kids'!D26</f>
        <v>Mini</v>
      </c>
      <c r="E20" s="97">
        <f>'Orderformular Color Kids'!E26</f>
        <v>0</v>
      </c>
      <c r="F20" s="97">
        <f>'Orderformular Color Kids'!F26</f>
        <v>0</v>
      </c>
      <c r="G20" s="97">
        <f>'Orderformular Color Kids'!G26</f>
        <v>0</v>
      </c>
      <c r="H20" s="97">
        <f>'Orderformular Color Kids'!H26</f>
        <v>0</v>
      </c>
      <c r="I20" s="97">
        <f>'Orderformular Color Kids'!I26</f>
        <v>0</v>
      </c>
      <c r="J20" s="97">
        <f>'Orderformular Color Kids'!J26</f>
        <v>0</v>
      </c>
      <c r="K20" s="97">
        <f>'Orderformular Color Kids'!K26</f>
        <v>0</v>
      </c>
      <c r="L20" s="97">
        <f>'Orderformular Color Kids'!L26</f>
        <v>0</v>
      </c>
      <c r="M20" s="97">
        <f>'Orderformular Color Kids'!M26</f>
        <v>0</v>
      </c>
      <c r="N20" s="97">
        <f>'Orderformular Color Kids'!N26</f>
        <v>0</v>
      </c>
      <c r="O20" s="97">
        <f>'Orderformular Color Kids'!O26</f>
        <v>0</v>
      </c>
      <c r="P20" s="97">
        <f>'Orderformular Color Kids'!P26</f>
        <v>0</v>
      </c>
      <c r="Q20" s="97">
        <f>'Orderformular Color Kids'!Q26</f>
        <v>0</v>
      </c>
      <c r="R20" s="97">
        <f>'Orderformular Color Kids'!R26</f>
        <v>0</v>
      </c>
      <c r="S20" s="98">
        <f t="shared" si="0"/>
        <v>0</v>
      </c>
      <c r="T20" s="109">
        <f>'Orderformular Color Kids'!U26</f>
        <v>45.9</v>
      </c>
    </row>
    <row r="21" spans="1:20" ht="15" customHeight="1" x14ac:dyDescent="0.25">
      <c r="A21" s="110">
        <f>'Orderformular Color Kids'!A27</f>
        <v>5438</v>
      </c>
      <c r="B21" s="106" t="str">
        <f>'Orderformular Color Kids'!B27</f>
        <v>Anonymized Item 27</v>
      </c>
      <c r="C21" s="106" t="str">
        <f>'Orderformular Color Kids'!C27</f>
        <v>Anonymized 772 Dress Blues</v>
      </c>
      <c r="D21" s="108" t="str">
        <f>'Orderformular Color Kids'!D27</f>
        <v>Kids</v>
      </c>
      <c r="E21" s="97">
        <f>'Orderformular Color Kids'!E27</f>
        <v>0</v>
      </c>
      <c r="F21" s="97">
        <f>'Orderformular Color Kids'!F27</f>
        <v>0</v>
      </c>
      <c r="G21" s="97">
        <f>'Orderformular Color Kids'!G27</f>
        <v>0</v>
      </c>
      <c r="H21" s="97">
        <f>'Orderformular Color Kids'!H27</f>
        <v>0</v>
      </c>
      <c r="I21" s="97">
        <f>'Orderformular Color Kids'!I27</f>
        <v>0</v>
      </c>
      <c r="J21" s="97">
        <f>'Orderformular Color Kids'!J27</f>
        <v>0</v>
      </c>
      <c r="K21" s="97">
        <f>'Orderformular Color Kids'!K27</f>
        <v>0</v>
      </c>
      <c r="L21" s="97">
        <f>'Orderformular Color Kids'!L27</f>
        <v>0</v>
      </c>
      <c r="M21" s="97">
        <f>'Orderformular Color Kids'!M27</f>
        <v>0</v>
      </c>
      <c r="N21" s="97">
        <f>'Orderformular Color Kids'!N27</f>
        <v>0</v>
      </c>
      <c r="O21" s="97">
        <f>'Orderformular Color Kids'!O27</f>
        <v>0</v>
      </c>
      <c r="P21" s="97">
        <f>'Orderformular Color Kids'!P27</f>
        <v>0</v>
      </c>
      <c r="Q21" s="97">
        <f>'Orderformular Color Kids'!Q27</f>
        <v>0</v>
      </c>
      <c r="R21" s="97">
        <f>'Orderformular Color Kids'!R27</f>
        <v>0</v>
      </c>
      <c r="S21" s="98">
        <f t="shared" si="0"/>
        <v>0</v>
      </c>
      <c r="T21" s="109">
        <f>'Orderformular Color Kids'!U27</f>
        <v>45.9</v>
      </c>
    </row>
    <row r="22" spans="1:20" ht="15" customHeight="1" x14ac:dyDescent="0.25">
      <c r="A22" s="110">
        <f>'Orderformular Color Kids'!A28</f>
        <v>5583</v>
      </c>
      <c r="B22" s="106" t="str">
        <f>'Orderformular Color Kids'!B28</f>
        <v>Anonymized Item 28</v>
      </c>
      <c r="C22" s="106" t="str">
        <f>'Orderformular Color Kids'!C28</f>
        <v>Anonymized 663 Lavender Mist</v>
      </c>
      <c r="D22" s="108" t="str">
        <f>'Orderformular Color Kids'!D28</f>
        <v>Kids</v>
      </c>
      <c r="E22" s="97">
        <f>'Orderformular Color Kids'!E28</f>
        <v>0</v>
      </c>
      <c r="F22" s="97">
        <f>'Orderformular Color Kids'!F28</f>
        <v>0</v>
      </c>
      <c r="G22" s="97">
        <f>'Orderformular Color Kids'!G28</f>
        <v>0</v>
      </c>
      <c r="H22" s="97">
        <f>'Orderformular Color Kids'!H28</f>
        <v>0</v>
      </c>
      <c r="I22" s="97">
        <f>'Orderformular Color Kids'!I28</f>
        <v>0</v>
      </c>
      <c r="J22" s="97">
        <f>'Orderformular Color Kids'!J28</f>
        <v>0</v>
      </c>
      <c r="K22" s="97">
        <f>'Orderformular Color Kids'!K28</f>
        <v>0</v>
      </c>
      <c r="L22" s="97">
        <f>'Orderformular Color Kids'!L28</f>
        <v>0</v>
      </c>
      <c r="M22" s="97">
        <f>'Orderformular Color Kids'!M28</f>
        <v>0</v>
      </c>
      <c r="N22" s="97">
        <f>'Orderformular Color Kids'!N28</f>
        <v>0</v>
      </c>
      <c r="O22" s="97">
        <f>'Orderformular Color Kids'!O28</f>
        <v>0</v>
      </c>
      <c r="P22" s="97">
        <f>'Orderformular Color Kids'!P28</f>
        <v>0</v>
      </c>
      <c r="Q22" s="97">
        <f>'Orderformular Color Kids'!Q28</f>
        <v>0</v>
      </c>
      <c r="R22" s="97">
        <f>'Orderformular Color Kids'!R28</f>
        <v>0</v>
      </c>
      <c r="S22" s="98">
        <f t="shared" si="0"/>
        <v>0</v>
      </c>
      <c r="T22" s="109">
        <f>'Orderformular Color Kids'!U28</f>
        <v>29.9</v>
      </c>
    </row>
    <row r="23" spans="1:20" ht="15" customHeight="1" x14ac:dyDescent="0.25">
      <c r="A23" s="110">
        <f>'Orderformular Color Kids'!A29</f>
        <v>5583</v>
      </c>
      <c r="B23" s="106" t="str">
        <f>'Orderformular Color Kids'!B29</f>
        <v>Anonymized Item 29</v>
      </c>
      <c r="C23" s="106" t="str">
        <f>'Orderformular Color Kids'!C29</f>
        <v>Anonymized 772 Dress Blues</v>
      </c>
      <c r="D23" s="108" t="str">
        <f>'Orderformular Color Kids'!D29</f>
        <v>Kids</v>
      </c>
      <c r="E23" s="97">
        <f>'Orderformular Color Kids'!E29</f>
        <v>0</v>
      </c>
      <c r="F23" s="97">
        <f>'Orderformular Color Kids'!F29</f>
        <v>0</v>
      </c>
      <c r="G23" s="97">
        <f>'Orderformular Color Kids'!G29</f>
        <v>0</v>
      </c>
      <c r="H23" s="97">
        <f>'Orderformular Color Kids'!H29</f>
        <v>0</v>
      </c>
      <c r="I23" s="97">
        <f>'Orderformular Color Kids'!I29</f>
        <v>0</v>
      </c>
      <c r="J23" s="97">
        <f>'Orderformular Color Kids'!J29</f>
        <v>0</v>
      </c>
      <c r="K23" s="97">
        <f>'Orderformular Color Kids'!K29</f>
        <v>0</v>
      </c>
      <c r="L23" s="97">
        <f>'Orderformular Color Kids'!L29</f>
        <v>0</v>
      </c>
      <c r="M23" s="97">
        <f>'Orderformular Color Kids'!M29</f>
        <v>0</v>
      </c>
      <c r="N23" s="97">
        <f>'Orderformular Color Kids'!N29</f>
        <v>0</v>
      </c>
      <c r="O23" s="97">
        <f>'Orderformular Color Kids'!O29</f>
        <v>0</v>
      </c>
      <c r="P23" s="97">
        <f>'Orderformular Color Kids'!P29</f>
        <v>0</v>
      </c>
      <c r="Q23" s="97">
        <f>'Orderformular Color Kids'!Q29</f>
        <v>0</v>
      </c>
      <c r="R23" s="97">
        <f>'Orderformular Color Kids'!R29</f>
        <v>0</v>
      </c>
      <c r="S23" s="98">
        <f t="shared" si="0"/>
        <v>0</v>
      </c>
      <c r="T23" s="109">
        <f>'Orderformular Color Kids'!U29</f>
        <v>29.9</v>
      </c>
    </row>
    <row r="24" spans="1:20" ht="15" customHeight="1" x14ac:dyDescent="0.25">
      <c r="A24" s="110">
        <f>'Orderformular Color Kids'!A30</f>
        <v>5583</v>
      </c>
      <c r="B24" s="106" t="str">
        <f>'Orderformular Color Kids'!B30</f>
        <v>Anonymized Item 30</v>
      </c>
      <c r="C24" s="106" t="str">
        <f>'Orderformular Color Kids'!C30</f>
        <v>Anonymized 854 Coronet Blue</v>
      </c>
      <c r="D24" s="108" t="str">
        <f>'Orderformular Color Kids'!D30</f>
        <v>Kids</v>
      </c>
      <c r="E24" s="97">
        <f>'Orderformular Color Kids'!E30</f>
        <v>0</v>
      </c>
      <c r="F24" s="97">
        <f>'Orderformular Color Kids'!F30</f>
        <v>0</v>
      </c>
      <c r="G24" s="97">
        <f>'Orderformular Color Kids'!G30</f>
        <v>0</v>
      </c>
      <c r="H24" s="97">
        <f>'Orderformular Color Kids'!H30</f>
        <v>0</v>
      </c>
      <c r="I24" s="97">
        <f>'Orderformular Color Kids'!I30</f>
        <v>0</v>
      </c>
      <c r="J24" s="97">
        <f>'Orderformular Color Kids'!J30</f>
        <v>0</v>
      </c>
      <c r="K24" s="97">
        <f>'Orderformular Color Kids'!K30</f>
        <v>0</v>
      </c>
      <c r="L24" s="97">
        <f>'Orderformular Color Kids'!L30</f>
        <v>0</v>
      </c>
      <c r="M24" s="97">
        <f>'Orderformular Color Kids'!M30</f>
        <v>0</v>
      </c>
      <c r="N24" s="97">
        <f>'Orderformular Color Kids'!N30</f>
        <v>0</v>
      </c>
      <c r="O24" s="97">
        <f>'Orderformular Color Kids'!O30</f>
        <v>0</v>
      </c>
      <c r="P24" s="97">
        <f>'Orderformular Color Kids'!P30</f>
        <v>0</v>
      </c>
      <c r="Q24" s="97">
        <f>'Orderformular Color Kids'!Q30</f>
        <v>0</v>
      </c>
      <c r="R24" s="97">
        <f>'Orderformular Color Kids'!R30</f>
        <v>0</v>
      </c>
      <c r="S24" s="98">
        <f t="shared" si="0"/>
        <v>0</v>
      </c>
      <c r="T24" s="109">
        <f>'Orderformular Color Kids'!U30</f>
        <v>29.9</v>
      </c>
    </row>
    <row r="25" spans="1:20" ht="15" customHeight="1" x14ac:dyDescent="0.25">
      <c r="A25" s="110">
        <f>'Orderformular Color Kids'!A31</f>
        <v>5584</v>
      </c>
      <c r="B25" s="106" t="str">
        <f>'Orderformular Color Kids'!B31</f>
        <v>Anonymized Item 31</v>
      </c>
      <c r="C25" s="106" t="str">
        <f>'Orderformular Color Kids'!C31</f>
        <v>Anonymized 663 Lavender Mist</v>
      </c>
      <c r="D25" s="108" t="str">
        <f>'Orderformular Color Kids'!D31</f>
        <v>Kids</v>
      </c>
      <c r="E25" s="97">
        <f>'Orderformular Color Kids'!E31</f>
        <v>0</v>
      </c>
      <c r="F25" s="97">
        <f>'Orderformular Color Kids'!F31</f>
        <v>0</v>
      </c>
      <c r="G25" s="97">
        <f>'Orderformular Color Kids'!G31</f>
        <v>0</v>
      </c>
      <c r="H25" s="97">
        <f>'Orderformular Color Kids'!H31</f>
        <v>0</v>
      </c>
      <c r="I25" s="97">
        <f>'Orderformular Color Kids'!I31</f>
        <v>0</v>
      </c>
      <c r="J25" s="97">
        <f>'Orderformular Color Kids'!J31</f>
        <v>0</v>
      </c>
      <c r="K25" s="97">
        <f>'Orderformular Color Kids'!K31</f>
        <v>0</v>
      </c>
      <c r="L25" s="97">
        <f>'Orderformular Color Kids'!L31</f>
        <v>0</v>
      </c>
      <c r="M25" s="97">
        <f>'Orderformular Color Kids'!M31</f>
        <v>0</v>
      </c>
      <c r="N25" s="97">
        <f>'Orderformular Color Kids'!N31</f>
        <v>0</v>
      </c>
      <c r="O25" s="97">
        <f>'Orderformular Color Kids'!O31</f>
        <v>0</v>
      </c>
      <c r="P25" s="97">
        <f>'Orderformular Color Kids'!P31</f>
        <v>0</v>
      </c>
      <c r="Q25" s="97">
        <f>'Orderformular Color Kids'!Q31</f>
        <v>0</v>
      </c>
      <c r="R25" s="97">
        <f>'Orderformular Color Kids'!R31</f>
        <v>0</v>
      </c>
      <c r="S25" s="98">
        <f t="shared" si="0"/>
        <v>0</v>
      </c>
      <c r="T25" s="109">
        <f>'Orderformular Color Kids'!U31</f>
        <v>29.9</v>
      </c>
    </row>
    <row r="26" spans="1:20" ht="15" customHeight="1" x14ac:dyDescent="0.25">
      <c r="A26" s="110">
        <f>'Orderformular Color Kids'!A32</f>
        <v>5584</v>
      </c>
      <c r="B26" s="106" t="str">
        <f>'Orderformular Color Kids'!B32</f>
        <v>Anonymized Item 32</v>
      </c>
      <c r="C26" s="106" t="str">
        <f>'Orderformular Color Kids'!C32</f>
        <v>Anonymized 772 Dress Blues</v>
      </c>
      <c r="D26" s="108" t="str">
        <f>'Orderformular Color Kids'!D32</f>
        <v>Kids</v>
      </c>
      <c r="E26" s="97">
        <f>'Orderformular Color Kids'!E32</f>
        <v>0</v>
      </c>
      <c r="F26" s="97">
        <f>'Orderformular Color Kids'!F32</f>
        <v>0</v>
      </c>
      <c r="G26" s="97">
        <f>'Orderformular Color Kids'!G32</f>
        <v>0</v>
      </c>
      <c r="H26" s="97">
        <f>'Orderformular Color Kids'!H32</f>
        <v>0</v>
      </c>
      <c r="I26" s="97">
        <f>'Orderformular Color Kids'!I32</f>
        <v>0</v>
      </c>
      <c r="J26" s="97">
        <f>'Orderformular Color Kids'!J32</f>
        <v>0</v>
      </c>
      <c r="K26" s="97">
        <f>'Orderformular Color Kids'!K32</f>
        <v>0</v>
      </c>
      <c r="L26" s="97">
        <f>'Orderformular Color Kids'!L32</f>
        <v>0</v>
      </c>
      <c r="M26" s="97">
        <f>'Orderformular Color Kids'!M32</f>
        <v>0</v>
      </c>
      <c r="N26" s="97">
        <f>'Orderformular Color Kids'!N32</f>
        <v>0</v>
      </c>
      <c r="O26" s="97">
        <f>'Orderformular Color Kids'!O32</f>
        <v>0</v>
      </c>
      <c r="P26" s="97">
        <f>'Orderformular Color Kids'!P32</f>
        <v>0</v>
      </c>
      <c r="Q26" s="97">
        <f>'Orderformular Color Kids'!Q32</f>
        <v>0</v>
      </c>
      <c r="R26" s="97">
        <f>'Orderformular Color Kids'!R32</f>
        <v>0</v>
      </c>
      <c r="S26" s="98">
        <f t="shared" si="0"/>
        <v>0</v>
      </c>
      <c r="T26" s="109">
        <f>'Orderformular Color Kids'!U32</f>
        <v>29.9</v>
      </c>
    </row>
    <row r="27" spans="1:20" ht="15" customHeight="1" x14ac:dyDescent="0.25">
      <c r="A27" s="110">
        <f>'Orderformular Color Kids'!A33</f>
        <v>5586</v>
      </c>
      <c r="B27" s="106" t="str">
        <f>'Orderformular Color Kids'!B33</f>
        <v>Anonymized Item 33</v>
      </c>
      <c r="C27" s="106" t="str">
        <f>'Orderformular Color Kids'!C33</f>
        <v>Anonymized 772 Dress Blues</v>
      </c>
      <c r="D27" s="108" t="str">
        <f>'Orderformular Color Kids'!D33</f>
        <v>Hats</v>
      </c>
      <c r="E27" s="97">
        <f>'Orderformular Color Kids'!E33</f>
        <v>0</v>
      </c>
      <c r="F27" s="97">
        <f>'Orderformular Color Kids'!F33</f>
        <v>0</v>
      </c>
      <c r="G27" s="97">
        <f>'Orderformular Color Kids'!G33</f>
        <v>0</v>
      </c>
      <c r="H27" s="97">
        <f>'Orderformular Color Kids'!H33</f>
        <v>0</v>
      </c>
      <c r="I27" s="97">
        <f>'Orderformular Color Kids'!I33</f>
        <v>0</v>
      </c>
      <c r="J27" s="97">
        <f>'Orderformular Color Kids'!J33</f>
        <v>0</v>
      </c>
      <c r="K27" s="97">
        <f>'Orderformular Color Kids'!K33</f>
        <v>0</v>
      </c>
      <c r="L27" s="97">
        <f>'Orderformular Color Kids'!L33</f>
        <v>0</v>
      </c>
      <c r="M27" s="97">
        <f>'Orderformular Color Kids'!M33</f>
        <v>0</v>
      </c>
      <c r="N27" s="97">
        <f>'Orderformular Color Kids'!N33</f>
        <v>0</v>
      </c>
      <c r="O27" s="97">
        <f>'Orderformular Color Kids'!O33</f>
        <v>0</v>
      </c>
      <c r="P27" s="97">
        <f>'Orderformular Color Kids'!P33</f>
        <v>0</v>
      </c>
      <c r="Q27" s="97">
        <f>'Orderformular Color Kids'!Q33</f>
        <v>0</v>
      </c>
      <c r="R27" s="97">
        <f>'Orderformular Color Kids'!R33</f>
        <v>0</v>
      </c>
      <c r="S27" s="98">
        <f t="shared" si="0"/>
        <v>0</v>
      </c>
      <c r="T27" s="109">
        <f>'Orderformular Color Kids'!U33</f>
        <v>19.899999999999999</v>
      </c>
    </row>
    <row r="28" spans="1:20" ht="15" customHeight="1" x14ac:dyDescent="0.25">
      <c r="A28" s="110">
        <f>'Orderformular Color Kids'!A34</f>
        <v>5586</v>
      </c>
      <c r="B28" s="106" t="str">
        <f>'Orderformular Color Kids'!B34</f>
        <v>Anonymized Item 34</v>
      </c>
      <c r="C28" s="106" t="str">
        <f>'Orderformular Color Kids'!C34</f>
        <v>Anonymized 854 Coronet Blue</v>
      </c>
      <c r="D28" s="108" t="str">
        <f>'Orderformular Color Kids'!D34</f>
        <v>Hats</v>
      </c>
      <c r="E28" s="97">
        <f>'Orderformular Color Kids'!E34</f>
        <v>0</v>
      </c>
      <c r="F28" s="97">
        <f>'Orderformular Color Kids'!F34</f>
        <v>0</v>
      </c>
      <c r="G28" s="97">
        <f>'Orderformular Color Kids'!G34</f>
        <v>0</v>
      </c>
      <c r="H28" s="97">
        <f>'Orderformular Color Kids'!H34</f>
        <v>0</v>
      </c>
      <c r="I28" s="97">
        <f>'Orderformular Color Kids'!I34</f>
        <v>0</v>
      </c>
      <c r="J28" s="97">
        <f>'Orderformular Color Kids'!J34</f>
        <v>0</v>
      </c>
      <c r="K28" s="97">
        <f>'Orderformular Color Kids'!K34</f>
        <v>0</v>
      </c>
      <c r="L28" s="97">
        <f>'Orderformular Color Kids'!L34</f>
        <v>0</v>
      </c>
      <c r="M28" s="97">
        <f>'Orderformular Color Kids'!M34</f>
        <v>0</v>
      </c>
      <c r="N28" s="97">
        <f>'Orderformular Color Kids'!N34</f>
        <v>0</v>
      </c>
      <c r="O28" s="97">
        <f>'Orderformular Color Kids'!O34</f>
        <v>0</v>
      </c>
      <c r="P28" s="97">
        <f>'Orderformular Color Kids'!P34</f>
        <v>0</v>
      </c>
      <c r="Q28" s="97">
        <f>'Orderformular Color Kids'!Q34</f>
        <v>0</v>
      </c>
      <c r="R28" s="97">
        <f>'Orderformular Color Kids'!R34</f>
        <v>0</v>
      </c>
      <c r="S28" s="98">
        <f t="shared" si="0"/>
        <v>0</v>
      </c>
      <c r="T28" s="109">
        <f>'Orderformular Color Kids'!U34</f>
        <v>19.899999999999999</v>
      </c>
    </row>
    <row r="29" spans="1:20" ht="15" customHeight="1" x14ac:dyDescent="0.25">
      <c r="A29" s="110">
        <f>'Orderformular Color Kids'!A35</f>
        <v>5587</v>
      </c>
      <c r="B29" s="106" t="str">
        <f>'Orderformular Color Kids'!B35</f>
        <v>Anonymized Item 35</v>
      </c>
      <c r="C29" s="106" t="str">
        <f>'Orderformular Color Kids'!C35</f>
        <v>Anonymized 663 Lavender Mist</v>
      </c>
      <c r="D29" s="108" t="str">
        <f>'Orderformular Color Kids'!D35</f>
        <v>Hats</v>
      </c>
      <c r="E29" s="97">
        <f>'Orderformular Color Kids'!E35</f>
        <v>0</v>
      </c>
      <c r="F29" s="97">
        <f>'Orderformular Color Kids'!F35</f>
        <v>0</v>
      </c>
      <c r="G29" s="97">
        <f>'Orderformular Color Kids'!G35</f>
        <v>0</v>
      </c>
      <c r="H29" s="97">
        <f>'Orderformular Color Kids'!H35</f>
        <v>0</v>
      </c>
      <c r="I29" s="97">
        <f>'Orderformular Color Kids'!I35</f>
        <v>0</v>
      </c>
      <c r="J29" s="97">
        <f>'Orderformular Color Kids'!J35</f>
        <v>0</v>
      </c>
      <c r="K29" s="97">
        <f>'Orderformular Color Kids'!K35</f>
        <v>0</v>
      </c>
      <c r="L29" s="97">
        <f>'Orderformular Color Kids'!L35</f>
        <v>0</v>
      </c>
      <c r="M29" s="97">
        <f>'Orderformular Color Kids'!M35</f>
        <v>0</v>
      </c>
      <c r="N29" s="97">
        <f>'Orderformular Color Kids'!N35</f>
        <v>0</v>
      </c>
      <c r="O29" s="97">
        <f>'Orderformular Color Kids'!O35</f>
        <v>0</v>
      </c>
      <c r="P29" s="97">
        <f>'Orderformular Color Kids'!P35</f>
        <v>0</v>
      </c>
      <c r="Q29" s="97">
        <f>'Orderformular Color Kids'!Q35</f>
        <v>0</v>
      </c>
      <c r="R29" s="97">
        <f>'Orderformular Color Kids'!R35</f>
        <v>0</v>
      </c>
      <c r="S29" s="98">
        <f t="shared" si="0"/>
        <v>0</v>
      </c>
      <c r="T29" s="109">
        <f>'Orderformular Color Kids'!U35</f>
        <v>25.9</v>
      </c>
    </row>
    <row r="30" spans="1:20" ht="15" customHeight="1" x14ac:dyDescent="0.25">
      <c r="A30" s="110">
        <f>'Orderformular Color Kids'!A36</f>
        <v>5587</v>
      </c>
      <c r="B30" s="106" t="str">
        <f>'Orderformular Color Kids'!B36</f>
        <v>Anonymized Item 36</v>
      </c>
      <c r="C30" s="106" t="str">
        <f>'Orderformular Color Kids'!C36</f>
        <v>Anonymized 772 Dress Blues</v>
      </c>
      <c r="D30" s="108" t="str">
        <f>'Orderformular Color Kids'!D36</f>
        <v>Hats</v>
      </c>
      <c r="E30" s="97">
        <f>'Orderformular Color Kids'!E36</f>
        <v>0</v>
      </c>
      <c r="F30" s="97">
        <f>'Orderformular Color Kids'!F36</f>
        <v>0</v>
      </c>
      <c r="G30" s="97">
        <f>'Orderformular Color Kids'!G36</f>
        <v>0</v>
      </c>
      <c r="H30" s="97">
        <f>'Orderformular Color Kids'!H36</f>
        <v>0</v>
      </c>
      <c r="I30" s="97">
        <f>'Orderformular Color Kids'!I36</f>
        <v>0</v>
      </c>
      <c r="J30" s="97">
        <f>'Orderformular Color Kids'!J36</f>
        <v>0</v>
      </c>
      <c r="K30" s="97">
        <f>'Orderformular Color Kids'!K36</f>
        <v>0</v>
      </c>
      <c r="L30" s="97">
        <f>'Orderformular Color Kids'!L36</f>
        <v>0</v>
      </c>
      <c r="M30" s="97">
        <f>'Orderformular Color Kids'!M36</f>
        <v>0</v>
      </c>
      <c r="N30" s="97">
        <f>'Orderformular Color Kids'!N36</f>
        <v>0</v>
      </c>
      <c r="O30" s="97">
        <f>'Orderformular Color Kids'!O36</f>
        <v>0</v>
      </c>
      <c r="P30" s="97">
        <f>'Orderformular Color Kids'!P36</f>
        <v>0</v>
      </c>
      <c r="Q30" s="97">
        <f>'Orderformular Color Kids'!Q36</f>
        <v>0</v>
      </c>
      <c r="R30" s="97">
        <f>'Orderformular Color Kids'!R36</f>
        <v>0</v>
      </c>
      <c r="S30" s="98">
        <f t="shared" si="0"/>
        <v>0</v>
      </c>
      <c r="T30" s="109">
        <f>'Orderformular Color Kids'!U36</f>
        <v>25.9</v>
      </c>
    </row>
    <row r="31" spans="1:20" ht="15" customHeight="1" x14ac:dyDescent="0.25">
      <c r="A31" s="110">
        <f>'Orderformular Color Kids'!A37</f>
        <v>5587</v>
      </c>
      <c r="B31" s="106" t="str">
        <f>'Orderformular Color Kids'!B37</f>
        <v>Anonymized Item 37</v>
      </c>
      <c r="C31" s="106" t="str">
        <f>'Orderformular Color Kids'!C37</f>
        <v>Anonymized 854 Coronet Blue</v>
      </c>
      <c r="D31" s="108" t="str">
        <f>'Orderformular Color Kids'!D37</f>
        <v>Hats</v>
      </c>
      <c r="E31" s="97">
        <f>'Orderformular Color Kids'!E37</f>
        <v>0</v>
      </c>
      <c r="F31" s="97">
        <f>'Orderformular Color Kids'!F37</f>
        <v>0</v>
      </c>
      <c r="G31" s="97">
        <f>'Orderformular Color Kids'!G37</f>
        <v>0</v>
      </c>
      <c r="H31" s="97">
        <f>'Orderformular Color Kids'!H37</f>
        <v>0</v>
      </c>
      <c r="I31" s="97">
        <f>'Orderformular Color Kids'!I37</f>
        <v>0</v>
      </c>
      <c r="J31" s="97">
        <f>'Orderformular Color Kids'!J37</f>
        <v>0</v>
      </c>
      <c r="K31" s="97">
        <f>'Orderformular Color Kids'!K37</f>
        <v>0</v>
      </c>
      <c r="L31" s="97">
        <f>'Orderformular Color Kids'!L37</f>
        <v>0</v>
      </c>
      <c r="M31" s="97">
        <f>'Orderformular Color Kids'!M37</f>
        <v>0</v>
      </c>
      <c r="N31" s="97">
        <f>'Orderformular Color Kids'!N37</f>
        <v>0</v>
      </c>
      <c r="O31" s="97">
        <f>'Orderformular Color Kids'!O37</f>
        <v>0</v>
      </c>
      <c r="P31" s="97">
        <f>'Orderformular Color Kids'!P37</f>
        <v>0</v>
      </c>
      <c r="Q31" s="97">
        <f>'Orderformular Color Kids'!Q37</f>
        <v>0</v>
      </c>
      <c r="R31" s="97">
        <f>'Orderformular Color Kids'!R37</f>
        <v>0</v>
      </c>
      <c r="S31" s="98">
        <f t="shared" si="0"/>
        <v>0</v>
      </c>
      <c r="T31" s="109">
        <f>'Orderformular Color Kids'!U37</f>
        <v>25.9</v>
      </c>
    </row>
    <row r="32" spans="1:20" ht="15" customHeight="1" x14ac:dyDescent="0.25">
      <c r="A32" s="110">
        <f>'Orderformular Color Kids'!A38</f>
        <v>5817</v>
      </c>
      <c r="B32" s="106" t="str">
        <f>'Orderformular Color Kids'!B38</f>
        <v>Anonymized Item 38</v>
      </c>
      <c r="C32" s="106" t="str">
        <f>'Orderformular Color Kids'!C38</f>
        <v>Anonymized 161 Phantom</v>
      </c>
      <c r="D32" s="108" t="str">
        <f>'Orderformular Color Kids'!D38</f>
        <v>Kids</v>
      </c>
      <c r="E32" s="97">
        <f>'Orderformular Color Kids'!E38</f>
        <v>0</v>
      </c>
      <c r="F32" s="97">
        <f>'Orderformular Color Kids'!F38</f>
        <v>0</v>
      </c>
      <c r="G32" s="97">
        <f>'Orderformular Color Kids'!G38</f>
        <v>0</v>
      </c>
      <c r="H32" s="97">
        <f>'Orderformular Color Kids'!H38</f>
        <v>0</v>
      </c>
      <c r="I32" s="97">
        <f>'Orderformular Color Kids'!I38</f>
        <v>0</v>
      </c>
      <c r="J32" s="97">
        <f>'Orderformular Color Kids'!J38</f>
        <v>0</v>
      </c>
      <c r="K32" s="97">
        <f>'Orderformular Color Kids'!K38</f>
        <v>0</v>
      </c>
      <c r="L32" s="97">
        <f>'Orderformular Color Kids'!L38</f>
        <v>0</v>
      </c>
      <c r="M32" s="97">
        <f>'Orderformular Color Kids'!M38</f>
        <v>0</v>
      </c>
      <c r="N32" s="97">
        <f>'Orderformular Color Kids'!N38</f>
        <v>0</v>
      </c>
      <c r="O32" s="97">
        <f>'Orderformular Color Kids'!O38</f>
        <v>0</v>
      </c>
      <c r="P32" s="97">
        <f>'Orderformular Color Kids'!P38</f>
        <v>0</v>
      </c>
      <c r="Q32" s="97">
        <f>'Orderformular Color Kids'!Q38</f>
        <v>0</v>
      </c>
      <c r="R32" s="97">
        <f>'Orderformular Color Kids'!R38</f>
        <v>0</v>
      </c>
      <c r="S32" s="98">
        <f t="shared" si="0"/>
        <v>0</v>
      </c>
      <c r="T32" s="109">
        <f>'Orderformular Color Kids'!U38</f>
        <v>29.9</v>
      </c>
    </row>
    <row r="33" spans="1:20" ht="15" customHeight="1" x14ac:dyDescent="0.25">
      <c r="A33" s="110">
        <f>'Orderformular Color Kids'!A39</f>
        <v>5817</v>
      </c>
      <c r="B33" s="106" t="str">
        <f>'Orderformular Color Kids'!B39</f>
        <v>Anonymized Item 39</v>
      </c>
      <c r="C33" s="106" t="str">
        <f>'Orderformular Color Kids'!C39</f>
        <v>Anonymized 535 Festival Fuchsia</v>
      </c>
      <c r="D33" s="108" t="str">
        <f>'Orderformular Color Kids'!D39</f>
        <v>Kids</v>
      </c>
      <c r="E33" s="97">
        <f>'Orderformular Color Kids'!E39</f>
        <v>0</v>
      </c>
      <c r="F33" s="97">
        <f>'Orderformular Color Kids'!F39</f>
        <v>0</v>
      </c>
      <c r="G33" s="97">
        <f>'Orderformular Color Kids'!G39</f>
        <v>0</v>
      </c>
      <c r="H33" s="97">
        <f>'Orderformular Color Kids'!H39</f>
        <v>0</v>
      </c>
      <c r="I33" s="97">
        <f>'Orderformular Color Kids'!I39</f>
        <v>0</v>
      </c>
      <c r="J33" s="97">
        <f>'Orderformular Color Kids'!J39</f>
        <v>0</v>
      </c>
      <c r="K33" s="97">
        <f>'Orderformular Color Kids'!K39</f>
        <v>0</v>
      </c>
      <c r="L33" s="97">
        <f>'Orderformular Color Kids'!L39</f>
        <v>0</v>
      </c>
      <c r="M33" s="97">
        <f>'Orderformular Color Kids'!M39</f>
        <v>0</v>
      </c>
      <c r="N33" s="97">
        <f>'Orderformular Color Kids'!N39</f>
        <v>0</v>
      </c>
      <c r="O33" s="97">
        <f>'Orderformular Color Kids'!O39</f>
        <v>0</v>
      </c>
      <c r="P33" s="97">
        <f>'Orderformular Color Kids'!P39</f>
        <v>0</v>
      </c>
      <c r="Q33" s="97">
        <f>'Orderformular Color Kids'!Q39</f>
        <v>0</v>
      </c>
      <c r="R33" s="97">
        <f>'Orderformular Color Kids'!R39</f>
        <v>0</v>
      </c>
      <c r="S33" s="98">
        <f t="shared" si="0"/>
        <v>0</v>
      </c>
      <c r="T33" s="109">
        <f>'Orderformular Color Kids'!U39</f>
        <v>29.9</v>
      </c>
    </row>
    <row r="34" spans="1:20" ht="15" customHeight="1" x14ac:dyDescent="0.25">
      <c r="A34" s="110">
        <f>'Orderformular Color Kids'!A40</f>
        <v>5817</v>
      </c>
      <c r="B34" s="106" t="str">
        <f>'Orderformular Color Kids'!B40</f>
        <v>Anonymized Item 40</v>
      </c>
      <c r="C34" s="106" t="str">
        <f>'Orderformular Color Kids'!C40</f>
        <v>Anonymized 575 Ash Rose</v>
      </c>
      <c r="D34" s="108" t="str">
        <f>'Orderformular Color Kids'!D40</f>
        <v>Kids</v>
      </c>
      <c r="E34" s="97">
        <f>'Orderformular Color Kids'!E40</f>
        <v>0</v>
      </c>
      <c r="F34" s="97">
        <f>'Orderformular Color Kids'!F40</f>
        <v>0</v>
      </c>
      <c r="G34" s="97">
        <f>'Orderformular Color Kids'!G40</f>
        <v>0</v>
      </c>
      <c r="H34" s="97">
        <f>'Orderformular Color Kids'!H40</f>
        <v>0</v>
      </c>
      <c r="I34" s="97">
        <f>'Orderformular Color Kids'!I40</f>
        <v>0</v>
      </c>
      <c r="J34" s="97">
        <f>'Orderformular Color Kids'!J40</f>
        <v>0</v>
      </c>
      <c r="K34" s="97">
        <f>'Orderformular Color Kids'!K40</f>
        <v>0</v>
      </c>
      <c r="L34" s="97">
        <f>'Orderformular Color Kids'!L40</f>
        <v>0</v>
      </c>
      <c r="M34" s="97">
        <f>'Orderformular Color Kids'!M40</f>
        <v>0</v>
      </c>
      <c r="N34" s="97">
        <f>'Orderformular Color Kids'!N40</f>
        <v>0</v>
      </c>
      <c r="O34" s="97">
        <f>'Orderformular Color Kids'!O40</f>
        <v>0</v>
      </c>
      <c r="P34" s="97">
        <f>'Orderformular Color Kids'!P40</f>
        <v>0</v>
      </c>
      <c r="Q34" s="97">
        <f>'Orderformular Color Kids'!Q40</f>
        <v>0</v>
      </c>
      <c r="R34" s="97">
        <f>'Orderformular Color Kids'!R40</f>
        <v>0</v>
      </c>
      <c r="S34" s="98">
        <f t="shared" si="0"/>
        <v>0</v>
      </c>
      <c r="T34" s="109">
        <f>'Orderformular Color Kids'!U40</f>
        <v>29.9</v>
      </c>
    </row>
    <row r="35" spans="1:20" ht="15" customHeight="1" x14ac:dyDescent="0.25">
      <c r="A35" s="110">
        <f>'Orderformular Color Kids'!A41</f>
        <v>5817</v>
      </c>
      <c r="B35" s="106" t="str">
        <f>'Orderformular Color Kids'!B41</f>
        <v>Anonymized Item 41</v>
      </c>
      <c r="C35" s="106" t="str">
        <f>'Orderformular Color Kids'!C41</f>
        <v>Anonymized 870 Total Eclipse</v>
      </c>
      <c r="D35" s="108" t="str">
        <f>'Orderformular Color Kids'!D41</f>
        <v>Kids</v>
      </c>
      <c r="E35" s="97">
        <f>'Orderformular Color Kids'!E41</f>
        <v>0</v>
      </c>
      <c r="F35" s="97">
        <f>'Orderformular Color Kids'!F41</f>
        <v>0</v>
      </c>
      <c r="G35" s="97">
        <f>'Orderformular Color Kids'!G41</f>
        <v>0</v>
      </c>
      <c r="H35" s="97">
        <f>'Orderformular Color Kids'!H41</f>
        <v>0</v>
      </c>
      <c r="I35" s="97">
        <f>'Orderformular Color Kids'!I41</f>
        <v>0</v>
      </c>
      <c r="J35" s="97">
        <f>'Orderformular Color Kids'!J41</f>
        <v>0</v>
      </c>
      <c r="K35" s="97">
        <f>'Orderformular Color Kids'!K41</f>
        <v>0</v>
      </c>
      <c r="L35" s="97">
        <f>'Orderformular Color Kids'!L41</f>
        <v>0</v>
      </c>
      <c r="M35" s="97">
        <f>'Orderformular Color Kids'!M41</f>
        <v>0</v>
      </c>
      <c r="N35" s="97">
        <f>'Orderformular Color Kids'!N41</f>
        <v>0</v>
      </c>
      <c r="O35" s="97">
        <f>'Orderformular Color Kids'!O41</f>
        <v>0</v>
      </c>
      <c r="P35" s="97">
        <f>'Orderformular Color Kids'!P41</f>
        <v>0</v>
      </c>
      <c r="Q35" s="97">
        <f>'Orderformular Color Kids'!Q41</f>
        <v>0</v>
      </c>
      <c r="R35" s="97">
        <f>'Orderformular Color Kids'!R41</f>
        <v>0</v>
      </c>
      <c r="S35" s="98">
        <f t="shared" si="0"/>
        <v>0</v>
      </c>
      <c r="T35" s="109">
        <f>'Orderformular Color Kids'!U41</f>
        <v>29.9</v>
      </c>
    </row>
    <row r="36" spans="1:20" ht="15" customHeight="1" x14ac:dyDescent="0.25">
      <c r="A36" s="110">
        <f>'Orderformular Color Kids'!A42</f>
        <v>5853</v>
      </c>
      <c r="B36" s="106" t="str">
        <f>'Orderformular Color Kids'!B42</f>
        <v>Anonymized Item 42</v>
      </c>
      <c r="C36" s="106" t="str">
        <f>'Orderformular Color Kids'!C42</f>
        <v>Anonymized 870 Total Eclipse</v>
      </c>
      <c r="D36" s="108" t="str">
        <f>'Orderformular Color Kids'!D42</f>
        <v>Kids</v>
      </c>
      <c r="E36" s="97">
        <f>'Orderformular Color Kids'!E42</f>
        <v>0</v>
      </c>
      <c r="F36" s="97">
        <f>'Orderformular Color Kids'!F42</f>
        <v>0</v>
      </c>
      <c r="G36" s="97">
        <f>'Orderformular Color Kids'!G42</f>
        <v>0</v>
      </c>
      <c r="H36" s="97">
        <f>'Orderformular Color Kids'!H42</f>
        <v>0</v>
      </c>
      <c r="I36" s="97">
        <f>'Orderformular Color Kids'!I42</f>
        <v>0</v>
      </c>
      <c r="J36" s="97">
        <f>'Orderformular Color Kids'!J42</f>
        <v>0</v>
      </c>
      <c r="K36" s="97">
        <f>'Orderformular Color Kids'!K42</f>
        <v>0</v>
      </c>
      <c r="L36" s="97">
        <f>'Orderformular Color Kids'!L42</f>
        <v>0</v>
      </c>
      <c r="M36" s="97">
        <f>'Orderformular Color Kids'!M42</f>
        <v>0</v>
      </c>
      <c r="N36" s="97">
        <f>'Orderformular Color Kids'!N42</f>
        <v>0</v>
      </c>
      <c r="O36" s="97">
        <f>'Orderformular Color Kids'!O42</f>
        <v>0</v>
      </c>
      <c r="P36" s="97">
        <f>'Orderformular Color Kids'!P42</f>
        <v>0</v>
      </c>
      <c r="Q36" s="97">
        <f>'Orderformular Color Kids'!Q42</f>
        <v>0</v>
      </c>
      <c r="R36" s="97">
        <f>'Orderformular Color Kids'!R42</f>
        <v>0</v>
      </c>
      <c r="S36" s="98">
        <f t="shared" si="0"/>
        <v>0</v>
      </c>
      <c r="T36" s="109">
        <f>'Orderformular Color Kids'!U42</f>
        <v>49.9</v>
      </c>
    </row>
    <row r="37" spans="1:20" ht="15" customHeight="1" x14ac:dyDescent="0.25">
      <c r="A37" s="110">
        <f>'Orderformular Color Kids'!A43</f>
        <v>5968</v>
      </c>
      <c r="B37" s="106" t="str">
        <f>'Orderformular Color Kids'!B43</f>
        <v>Anonymized Item 43</v>
      </c>
      <c r="C37" s="106" t="str">
        <f>'Orderformular Color Kids'!C43</f>
        <v>Anonymized 1191 Black</v>
      </c>
      <c r="D37" s="108" t="str">
        <f>'Orderformular Color Kids'!D43</f>
        <v>Kids</v>
      </c>
      <c r="E37" s="97">
        <f>'Orderformular Color Kids'!E43</f>
        <v>0</v>
      </c>
      <c r="F37" s="97">
        <f>'Orderformular Color Kids'!F43</f>
        <v>0</v>
      </c>
      <c r="G37" s="97">
        <f>'Orderformular Color Kids'!G43</f>
        <v>0</v>
      </c>
      <c r="H37" s="97">
        <f>'Orderformular Color Kids'!H43</f>
        <v>0</v>
      </c>
      <c r="I37" s="97">
        <f>'Orderformular Color Kids'!I43</f>
        <v>0</v>
      </c>
      <c r="J37" s="97">
        <f>'Orderformular Color Kids'!J43</f>
        <v>0</v>
      </c>
      <c r="K37" s="97">
        <f>'Orderformular Color Kids'!K43</f>
        <v>0</v>
      </c>
      <c r="L37" s="97">
        <f>'Orderformular Color Kids'!L43</f>
        <v>0</v>
      </c>
      <c r="M37" s="97">
        <f>'Orderformular Color Kids'!M43</f>
        <v>0</v>
      </c>
      <c r="N37" s="97">
        <f>'Orderformular Color Kids'!N43</f>
        <v>0</v>
      </c>
      <c r="O37" s="97">
        <f>'Orderformular Color Kids'!O43</f>
        <v>0</v>
      </c>
      <c r="P37" s="97">
        <f>'Orderformular Color Kids'!P43</f>
        <v>0</v>
      </c>
      <c r="Q37" s="97">
        <f>'Orderformular Color Kids'!Q43</f>
        <v>0</v>
      </c>
      <c r="R37" s="97">
        <f>'Orderformular Color Kids'!R43</f>
        <v>0</v>
      </c>
      <c r="S37" s="98">
        <f t="shared" si="0"/>
        <v>0</v>
      </c>
      <c r="T37" s="109">
        <f>'Orderformular Color Kids'!U43</f>
        <v>69.900000000000006</v>
      </c>
    </row>
    <row r="38" spans="1:20" ht="15" customHeight="1" x14ac:dyDescent="0.25">
      <c r="A38" s="110">
        <f>'Orderformular Color Kids'!A44</f>
        <v>5968</v>
      </c>
      <c r="B38" s="106" t="str">
        <f>'Orderformular Color Kids'!B44</f>
        <v>Anonymized Item 44</v>
      </c>
      <c r="C38" s="106" t="str">
        <f>'Orderformular Color Kids'!C44</f>
        <v>Anonymized 5005 Foxglove</v>
      </c>
      <c r="D38" s="108" t="str">
        <f>'Orderformular Color Kids'!D44</f>
        <v>Kids</v>
      </c>
      <c r="E38" s="97">
        <f>'Orderformular Color Kids'!E44</f>
        <v>0</v>
      </c>
      <c r="F38" s="97">
        <f>'Orderformular Color Kids'!F44</f>
        <v>0</v>
      </c>
      <c r="G38" s="97">
        <f>'Orderformular Color Kids'!G44</f>
        <v>0</v>
      </c>
      <c r="H38" s="97">
        <f>'Orderformular Color Kids'!H44</f>
        <v>0</v>
      </c>
      <c r="I38" s="97">
        <f>'Orderformular Color Kids'!I44</f>
        <v>0</v>
      </c>
      <c r="J38" s="97">
        <f>'Orderformular Color Kids'!J44</f>
        <v>0</v>
      </c>
      <c r="K38" s="97">
        <f>'Orderformular Color Kids'!K44</f>
        <v>0</v>
      </c>
      <c r="L38" s="97">
        <f>'Orderformular Color Kids'!L44</f>
        <v>0</v>
      </c>
      <c r="M38" s="97">
        <f>'Orderformular Color Kids'!M44</f>
        <v>0</v>
      </c>
      <c r="N38" s="97">
        <f>'Orderformular Color Kids'!N44</f>
        <v>0</v>
      </c>
      <c r="O38" s="97">
        <f>'Orderformular Color Kids'!O44</f>
        <v>0</v>
      </c>
      <c r="P38" s="97">
        <f>'Orderformular Color Kids'!P44</f>
        <v>0</v>
      </c>
      <c r="Q38" s="97">
        <f>'Orderformular Color Kids'!Q44</f>
        <v>0</v>
      </c>
      <c r="R38" s="97">
        <f>'Orderformular Color Kids'!R44</f>
        <v>0</v>
      </c>
      <c r="S38" s="98">
        <f t="shared" si="0"/>
        <v>0</v>
      </c>
      <c r="T38" s="109">
        <f>'Orderformular Color Kids'!U44</f>
        <v>69.900000000000006</v>
      </c>
    </row>
    <row r="39" spans="1:20" ht="15" customHeight="1" x14ac:dyDescent="0.25">
      <c r="A39" s="110">
        <f>'Orderformular Color Kids'!A45</f>
        <v>5968</v>
      </c>
      <c r="B39" s="106" t="str">
        <f>'Orderformular Color Kids'!B45</f>
        <v>Anonymized Item 45</v>
      </c>
      <c r="C39" s="106" t="str">
        <f>'Orderformular Color Kids'!C45</f>
        <v>Anonymized 535 Festival Fuchsia</v>
      </c>
      <c r="D39" s="108" t="str">
        <f>'Orderformular Color Kids'!D45</f>
        <v>Kids</v>
      </c>
      <c r="E39" s="97">
        <f>'Orderformular Color Kids'!E45</f>
        <v>0</v>
      </c>
      <c r="F39" s="97">
        <f>'Orderformular Color Kids'!F45</f>
        <v>0</v>
      </c>
      <c r="G39" s="97">
        <f>'Orderformular Color Kids'!G45</f>
        <v>0</v>
      </c>
      <c r="H39" s="97">
        <f>'Orderformular Color Kids'!H45</f>
        <v>0</v>
      </c>
      <c r="I39" s="97">
        <f>'Orderformular Color Kids'!I45</f>
        <v>0</v>
      </c>
      <c r="J39" s="97">
        <f>'Orderformular Color Kids'!J45</f>
        <v>0</v>
      </c>
      <c r="K39" s="97">
        <f>'Orderformular Color Kids'!K45</f>
        <v>0</v>
      </c>
      <c r="L39" s="97">
        <f>'Orderformular Color Kids'!L45</f>
        <v>0</v>
      </c>
      <c r="M39" s="97">
        <f>'Orderformular Color Kids'!M45</f>
        <v>0</v>
      </c>
      <c r="N39" s="97">
        <f>'Orderformular Color Kids'!N45</f>
        <v>0</v>
      </c>
      <c r="O39" s="97">
        <f>'Orderformular Color Kids'!O45</f>
        <v>0</v>
      </c>
      <c r="P39" s="97">
        <f>'Orderformular Color Kids'!P45</f>
        <v>0</v>
      </c>
      <c r="Q39" s="97">
        <f>'Orderformular Color Kids'!Q45</f>
        <v>0</v>
      </c>
      <c r="R39" s="97">
        <f>'Orderformular Color Kids'!R45</f>
        <v>0</v>
      </c>
      <c r="S39" s="98">
        <f t="shared" si="0"/>
        <v>0</v>
      </c>
      <c r="T39" s="109">
        <f>'Orderformular Color Kids'!U45</f>
        <v>69.900000000000006</v>
      </c>
    </row>
    <row r="40" spans="1:20" ht="15" customHeight="1" x14ac:dyDescent="0.25">
      <c r="A40" s="110">
        <f>'Orderformular Color Kids'!A46</f>
        <v>5968</v>
      </c>
      <c r="B40" s="106" t="str">
        <f>'Orderformular Color Kids'!B46</f>
        <v>Anonymized Item 46</v>
      </c>
      <c r="C40" s="106" t="str">
        <f>'Orderformular Color Kids'!C46</f>
        <v>Anonymized 794 Ensign Blue</v>
      </c>
      <c r="D40" s="108" t="str">
        <f>'Orderformular Color Kids'!D46</f>
        <v>Kids</v>
      </c>
      <c r="E40" s="97">
        <f>'Orderformular Color Kids'!E46</f>
        <v>0</v>
      </c>
      <c r="F40" s="97">
        <f>'Orderformular Color Kids'!F46</f>
        <v>0</v>
      </c>
      <c r="G40" s="97">
        <f>'Orderformular Color Kids'!G46</f>
        <v>0</v>
      </c>
      <c r="H40" s="97">
        <f>'Orderformular Color Kids'!H46</f>
        <v>0</v>
      </c>
      <c r="I40" s="97">
        <f>'Orderformular Color Kids'!I46</f>
        <v>0</v>
      </c>
      <c r="J40" s="97">
        <f>'Orderformular Color Kids'!J46</f>
        <v>0</v>
      </c>
      <c r="K40" s="97">
        <f>'Orderformular Color Kids'!K46</f>
        <v>0</v>
      </c>
      <c r="L40" s="97">
        <f>'Orderformular Color Kids'!L46</f>
        <v>0</v>
      </c>
      <c r="M40" s="97">
        <f>'Orderformular Color Kids'!M46</f>
        <v>0</v>
      </c>
      <c r="N40" s="97">
        <f>'Orderformular Color Kids'!N46</f>
        <v>0</v>
      </c>
      <c r="O40" s="97">
        <f>'Orderformular Color Kids'!O46</f>
        <v>0</v>
      </c>
      <c r="P40" s="97">
        <f>'Orderformular Color Kids'!P46</f>
        <v>0</v>
      </c>
      <c r="Q40" s="97">
        <f>'Orderformular Color Kids'!Q46</f>
        <v>0</v>
      </c>
      <c r="R40" s="97">
        <f>'Orderformular Color Kids'!R46</f>
        <v>0</v>
      </c>
      <c r="S40" s="98">
        <f t="shared" si="0"/>
        <v>0</v>
      </c>
      <c r="T40" s="109">
        <f>'Orderformular Color Kids'!U46</f>
        <v>69.900000000000006</v>
      </c>
    </row>
    <row r="41" spans="1:20" ht="15" customHeight="1" x14ac:dyDescent="0.25">
      <c r="A41" s="110">
        <f>'Orderformular Color Kids'!A47</f>
        <v>5968</v>
      </c>
      <c r="B41" s="106" t="str">
        <f>'Orderformular Color Kids'!B47</f>
        <v>Anonymized Item 47</v>
      </c>
      <c r="C41" s="106" t="str">
        <f>'Orderformular Color Kids'!C47</f>
        <v>Anonymized 870 Total Eclipse</v>
      </c>
      <c r="D41" s="108" t="str">
        <f>'Orderformular Color Kids'!D47</f>
        <v>Kids</v>
      </c>
      <c r="E41" s="97">
        <f>'Orderformular Color Kids'!E47</f>
        <v>0</v>
      </c>
      <c r="F41" s="97">
        <f>'Orderformular Color Kids'!F47</f>
        <v>0</v>
      </c>
      <c r="G41" s="97">
        <f>'Orderformular Color Kids'!G47</f>
        <v>0</v>
      </c>
      <c r="H41" s="97">
        <f>'Orderformular Color Kids'!H47</f>
        <v>0</v>
      </c>
      <c r="I41" s="97">
        <f>'Orderformular Color Kids'!I47</f>
        <v>0</v>
      </c>
      <c r="J41" s="97">
        <f>'Orderformular Color Kids'!J47</f>
        <v>0</v>
      </c>
      <c r="K41" s="97">
        <f>'Orderformular Color Kids'!K47</f>
        <v>0</v>
      </c>
      <c r="L41" s="97">
        <f>'Orderformular Color Kids'!L47</f>
        <v>0</v>
      </c>
      <c r="M41" s="97">
        <f>'Orderformular Color Kids'!M47</f>
        <v>0</v>
      </c>
      <c r="N41" s="97">
        <f>'Orderformular Color Kids'!N47</f>
        <v>0</v>
      </c>
      <c r="O41" s="97">
        <f>'Orderformular Color Kids'!O47</f>
        <v>0</v>
      </c>
      <c r="P41" s="97">
        <f>'Orderformular Color Kids'!P47</f>
        <v>0</v>
      </c>
      <c r="Q41" s="97">
        <f>'Orderformular Color Kids'!Q47</f>
        <v>0</v>
      </c>
      <c r="R41" s="97">
        <f>'Orderformular Color Kids'!R47</f>
        <v>0</v>
      </c>
      <c r="S41" s="98">
        <f t="shared" si="0"/>
        <v>0</v>
      </c>
      <c r="T41" s="109">
        <f>'Orderformular Color Kids'!U47</f>
        <v>69.900000000000006</v>
      </c>
    </row>
    <row r="42" spans="1:20" ht="15" customHeight="1" x14ac:dyDescent="0.25">
      <c r="A42" s="110">
        <f>'Orderformular Color Kids'!A48</f>
        <v>5969</v>
      </c>
      <c r="B42" s="106" t="str">
        <f>'Orderformular Color Kids'!B48</f>
        <v>Anonymized Item 48</v>
      </c>
      <c r="C42" s="106" t="str">
        <f>'Orderformular Color Kids'!C48</f>
        <v>Anonymized 140 Black</v>
      </c>
      <c r="D42" s="108" t="str">
        <f>'Orderformular Color Kids'!D48</f>
        <v>Kids</v>
      </c>
      <c r="E42" s="97">
        <f>'Orderformular Color Kids'!E48</f>
        <v>0</v>
      </c>
      <c r="F42" s="97">
        <f>'Orderformular Color Kids'!F48</f>
        <v>0</v>
      </c>
      <c r="G42" s="97">
        <f>'Orderformular Color Kids'!G48</f>
        <v>0</v>
      </c>
      <c r="H42" s="97">
        <f>'Orderformular Color Kids'!H48</f>
        <v>0</v>
      </c>
      <c r="I42" s="97">
        <f>'Orderformular Color Kids'!I48</f>
        <v>0</v>
      </c>
      <c r="J42" s="97">
        <f>'Orderformular Color Kids'!J48</f>
        <v>0</v>
      </c>
      <c r="K42" s="97">
        <f>'Orderformular Color Kids'!K48</f>
        <v>0</v>
      </c>
      <c r="L42" s="97">
        <f>'Orderformular Color Kids'!L48</f>
        <v>0</v>
      </c>
      <c r="M42" s="97">
        <f>'Orderformular Color Kids'!M48</f>
        <v>0</v>
      </c>
      <c r="N42" s="97">
        <f>'Orderformular Color Kids'!N48</f>
        <v>0</v>
      </c>
      <c r="O42" s="97">
        <f>'Orderformular Color Kids'!O48</f>
        <v>0</v>
      </c>
      <c r="P42" s="97">
        <f>'Orderformular Color Kids'!P48</f>
        <v>0</v>
      </c>
      <c r="Q42" s="97">
        <f>'Orderformular Color Kids'!Q48</f>
        <v>0</v>
      </c>
      <c r="R42" s="97">
        <f>'Orderformular Color Kids'!R48</f>
        <v>0</v>
      </c>
      <c r="S42" s="98">
        <f t="shared" si="0"/>
        <v>0</v>
      </c>
      <c r="T42" s="109">
        <f>'Orderformular Color Kids'!U48</f>
        <v>49.9</v>
      </c>
    </row>
    <row r="43" spans="1:20" ht="15" customHeight="1" x14ac:dyDescent="0.25">
      <c r="A43" s="110">
        <f>'Orderformular Color Kids'!A49</f>
        <v>5969</v>
      </c>
      <c r="B43" s="106" t="str">
        <f>'Orderformular Color Kids'!B49</f>
        <v>Anonymized Item 49</v>
      </c>
      <c r="C43" s="106" t="str">
        <f>'Orderformular Color Kids'!C49</f>
        <v>Anonymized 535 Festival Fuchsia</v>
      </c>
      <c r="D43" s="108" t="str">
        <f>'Orderformular Color Kids'!D49</f>
        <v>Kids</v>
      </c>
      <c r="E43" s="97">
        <f>'Orderformular Color Kids'!E49</f>
        <v>0</v>
      </c>
      <c r="F43" s="97">
        <f>'Orderformular Color Kids'!F49</f>
        <v>0</v>
      </c>
      <c r="G43" s="97">
        <f>'Orderformular Color Kids'!G49</f>
        <v>0</v>
      </c>
      <c r="H43" s="97">
        <f>'Orderformular Color Kids'!H49</f>
        <v>0</v>
      </c>
      <c r="I43" s="97">
        <f>'Orderformular Color Kids'!I49</f>
        <v>0</v>
      </c>
      <c r="J43" s="97">
        <f>'Orderformular Color Kids'!J49</f>
        <v>0</v>
      </c>
      <c r="K43" s="97">
        <f>'Orderformular Color Kids'!K49</f>
        <v>0</v>
      </c>
      <c r="L43" s="97">
        <f>'Orderformular Color Kids'!L49</f>
        <v>0</v>
      </c>
      <c r="M43" s="97">
        <f>'Orderformular Color Kids'!M49</f>
        <v>0</v>
      </c>
      <c r="N43" s="97">
        <f>'Orderformular Color Kids'!N49</f>
        <v>0</v>
      </c>
      <c r="O43" s="97">
        <f>'Orderformular Color Kids'!O49</f>
        <v>0</v>
      </c>
      <c r="P43" s="97">
        <f>'Orderformular Color Kids'!P49</f>
        <v>0</v>
      </c>
      <c r="Q43" s="97">
        <f>'Orderformular Color Kids'!Q49</f>
        <v>0</v>
      </c>
      <c r="R43" s="97">
        <f>'Orderformular Color Kids'!R49</f>
        <v>0</v>
      </c>
      <c r="S43" s="98">
        <f t="shared" si="0"/>
        <v>0</v>
      </c>
      <c r="T43" s="109">
        <f>'Orderformular Color Kids'!U49</f>
        <v>49.9</v>
      </c>
    </row>
    <row r="44" spans="1:20" ht="15" customHeight="1" x14ac:dyDescent="0.25">
      <c r="A44" s="110">
        <f>'Orderformular Color Kids'!A50</f>
        <v>5969</v>
      </c>
      <c r="B44" s="106" t="str">
        <f>'Orderformular Color Kids'!B50</f>
        <v>Anonymized Item 50</v>
      </c>
      <c r="C44" s="106" t="str">
        <f>'Orderformular Color Kids'!C50</f>
        <v>Anonymized 870 Total Eclipse</v>
      </c>
      <c r="D44" s="108" t="str">
        <f>'Orderformular Color Kids'!D50</f>
        <v>Kids</v>
      </c>
      <c r="E44" s="97">
        <f>'Orderformular Color Kids'!E50</f>
        <v>0</v>
      </c>
      <c r="F44" s="97">
        <f>'Orderformular Color Kids'!F50</f>
        <v>0</v>
      </c>
      <c r="G44" s="97">
        <f>'Orderformular Color Kids'!G50</f>
        <v>0</v>
      </c>
      <c r="H44" s="97">
        <f>'Orderformular Color Kids'!H50</f>
        <v>0</v>
      </c>
      <c r="I44" s="97">
        <f>'Orderformular Color Kids'!I50</f>
        <v>0</v>
      </c>
      <c r="J44" s="97">
        <f>'Orderformular Color Kids'!J50</f>
        <v>0</v>
      </c>
      <c r="K44" s="97">
        <f>'Orderformular Color Kids'!K50</f>
        <v>0</v>
      </c>
      <c r="L44" s="97">
        <f>'Orderformular Color Kids'!L50</f>
        <v>0</v>
      </c>
      <c r="M44" s="97">
        <f>'Orderformular Color Kids'!M50</f>
        <v>0</v>
      </c>
      <c r="N44" s="97">
        <f>'Orderformular Color Kids'!N50</f>
        <v>0</v>
      </c>
      <c r="O44" s="97">
        <f>'Orderformular Color Kids'!O50</f>
        <v>0</v>
      </c>
      <c r="P44" s="97">
        <f>'Orderformular Color Kids'!P50</f>
        <v>0</v>
      </c>
      <c r="Q44" s="97">
        <f>'Orderformular Color Kids'!Q50</f>
        <v>0</v>
      </c>
      <c r="R44" s="97">
        <f>'Orderformular Color Kids'!R50</f>
        <v>0</v>
      </c>
      <c r="S44" s="98">
        <f t="shared" si="0"/>
        <v>0</v>
      </c>
      <c r="T44" s="109">
        <f>'Orderformular Color Kids'!U50</f>
        <v>49.9</v>
      </c>
    </row>
    <row r="45" spans="1:20" ht="15" customHeight="1" x14ac:dyDescent="0.25">
      <c r="A45" s="110">
        <f>'Orderformular Color Kids'!A51</f>
        <v>5970</v>
      </c>
      <c r="B45" s="106" t="str">
        <f>'Orderformular Color Kids'!B51</f>
        <v>Anonymized Item 51</v>
      </c>
      <c r="C45" s="106" t="str">
        <f>'Orderformular Color Kids'!C51</f>
        <v>Anonymized 535 Festival Fuchsia</v>
      </c>
      <c r="D45" s="108" t="str">
        <f>'Orderformular Color Kids'!D51</f>
        <v>Mini</v>
      </c>
      <c r="E45" s="97">
        <f>'Orderformular Color Kids'!E51</f>
        <v>0</v>
      </c>
      <c r="F45" s="97">
        <f>'Orderformular Color Kids'!F51</f>
        <v>0</v>
      </c>
      <c r="G45" s="97">
        <f>'Orderformular Color Kids'!G51</f>
        <v>0</v>
      </c>
      <c r="H45" s="97">
        <f>'Orderformular Color Kids'!H51</f>
        <v>0</v>
      </c>
      <c r="I45" s="97">
        <f>'Orderformular Color Kids'!I51</f>
        <v>0</v>
      </c>
      <c r="J45" s="97">
        <f>'Orderformular Color Kids'!J51</f>
        <v>0</v>
      </c>
      <c r="K45" s="97">
        <f>'Orderformular Color Kids'!K51</f>
        <v>0</v>
      </c>
      <c r="L45" s="97">
        <f>'Orderformular Color Kids'!L51</f>
        <v>0</v>
      </c>
      <c r="M45" s="97">
        <f>'Orderformular Color Kids'!M51</f>
        <v>0</v>
      </c>
      <c r="N45" s="97">
        <f>'Orderformular Color Kids'!N51</f>
        <v>0</v>
      </c>
      <c r="O45" s="97">
        <f>'Orderformular Color Kids'!O51</f>
        <v>0</v>
      </c>
      <c r="P45" s="97">
        <f>'Orderformular Color Kids'!P51</f>
        <v>0</v>
      </c>
      <c r="Q45" s="97">
        <f>'Orderformular Color Kids'!Q51</f>
        <v>0</v>
      </c>
      <c r="R45" s="97">
        <f>'Orderformular Color Kids'!R51</f>
        <v>0</v>
      </c>
      <c r="S45" s="98">
        <f t="shared" si="0"/>
        <v>0</v>
      </c>
      <c r="T45" s="109">
        <f>'Orderformular Color Kids'!U51</f>
        <v>69.900000000000006</v>
      </c>
    </row>
    <row r="46" spans="1:20" ht="15" customHeight="1" x14ac:dyDescent="0.25">
      <c r="A46" s="110">
        <f>'Orderformular Color Kids'!A52</f>
        <v>5970</v>
      </c>
      <c r="B46" s="106" t="str">
        <f>'Orderformular Color Kids'!B52</f>
        <v>Anonymized Item 52</v>
      </c>
      <c r="C46" s="106" t="str">
        <f>'Orderformular Color Kids'!C52</f>
        <v>Anonymized 535 Festival Fuchsia</v>
      </c>
      <c r="D46" s="108" t="str">
        <f>'Orderformular Color Kids'!D52</f>
        <v>Kids</v>
      </c>
      <c r="E46" s="97">
        <f>'Orderformular Color Kids'!E52</f>
        <v>0</v>
      </c>
      <c r="F46" s="97">
        <f>'Orderformular Color Kids'!F52</f>
        <v>0</v>
      </c>
      <c r="G46" s="97">
        <f>'Orderformular Color Kids'!G52</f>
        <v>0</v>
      </c>
      <c r="H46" s="97">
        <f>'Orderformular Color Kids'!H52</f>
        <v>0</v>
      </c>
      <c r="I46" s="97">
        <f>'Orderformular Color Kids'!I52</f>
        <v>0</v>
      </c>
      <c r="J46" s="97">
        <f>'Orderformular Color Kids'!J52</f>
        <v>0</v>
      </c>
      <c r="K46" s="97">
        <f>'Orderformular Color Kids'!K52</f>
        <v>0</v>
      </c>
      <c r="L46" s="97">
        <f>'Orderformular Color Kids'!L52</f>
        <v>0</v>
      </c>
      <c r="M46" s="97">
        <f>'Orderformular Color Kids'!M52</f>
        <v>0</v>
      </c>
      <c r="N46" s="97">
        <f>'Orderformular Color Kids'!N52</f>
        <v>0</v>
      </c>
      <c r="O46" s="97">
        <f>'Orderformular Color Kids'!O52</f>
        <v>0</v>
      </c>
      <c r="P46" s="97">
        <f>'Orderformular Color Kids'!P52</f>
        <v>0</v>
      </c>
      <c r="Q46" s="97">
        <f>'Orderformular Color Kids'!Q52</f>
        <v>0</v>
      </c>
      <c r="R46" s="97">
        <f>'Orderformular Color Kids'!R52</f>
        <v>0</v>
      </c>
      <c r="S46" s="98">
        <f t="shared" si="0"/>
        <v>0</v>
      </c>
      <c r="T46" s="109">
        <f>'Orderformular Color Kids'!U52</f>
        <v>69.900000000000006</v>
      </c>
    </row>
    <row r="47" spans="1:20" ht="15" customHeight="1" x14ac:dyDescent="0.25">
      <c r="A47" s="110">
        <f>'Orderformular Color Kids'!A53</f>
        <v>5970</v>
      </c>
      <c r="B47" s="106" t="str">
        <f>'Orderformular Color Kids'!B53</f>
        <v>Anonymized Item 53</v>
      </c>
      <c r="C47" s="106" t="str">
        <f>'Orderformular Color Kids'!C53</f>
        <v>Anonymized 870 Total Eclipse</v>
      </c>
      <c r="D47" s="108" t="str">
        <f>'Orderformular Color Kids'!D53</f>
        <v>Mini</v>
      </c>
      <c r="E47" s="97">
        <f>'Orderformular Color Kids'!E53</f>
        <v>0</v>
      </c>
      <c r="F47" s="97">
        <f>'Orderformular Color Kids'!F53</f>
        <v>0</v>
      </c>
      <c r="G47" s="97">
        <f>'Orderformular Color Kids'!G53</f>
        <v>0</v>
      </c>
      <c r="H47" s="97">
        <f>'Orderformular Color Kids'!H53</f>
        <v>0</v>
      </c>
      <c r="I47" s="97">
        <f>'Orderformular Color Kids'!I53</f>
        <v>0</v>
      </c>
      <c r="J47" s="97">
        <f>'Orderformular Color Kids'!J53</f>
        <v>0</v>
      </c>
      <c r="K47" s="97">
        <f>'Orderformular Color Kids'!K53</f>
        <v>0</v>
      </c>
      <c r="L47" s="97">
        <f>'Orderformular Color Kids'!L53</f>
        <v>0</v>
      </c>
      <c r="M47" s="97">
        <f>'Orderformular Color Kids'!M53</f>
        <v>0</v>
      </c>
      <c r="N47" s="97">
        <f>'Orderformular Color Kids'!N53</f>
        <v>0</v>
      </c>
      <c r="O47" s="97">
        <f>'Orderformular Color Kids'!O53</f>
        <v>0</v>
      </c>
      <c r="P47" s="97">
        <f>'Orderformular Color Kids'!P53</f>
        <v>0</v>
      </c>
      <c r="Q47" s="97">
        <f>'Orderformular Color Kids'!Q53</f>
        <v>0</v>
      </c>
      <c r="R47" s="97">
        <f>'Orderformular Color Kids'!R53</f>
        <v>0</v>
      </c>
      <c r="S47" s="98">
        <f t="shared" si="0"/>
        <v>0</v>
      </c>
      <c r="T47" s="109">
        <f>'Orderformular Color Kids'!U53</f>
        <v>69.900000000000006</v>
      </c>
    </row>
    <row r="48" spans="1:20" ht="15" customHeight="1" x14ac:dyDescent="0.25">
      <c r="A48" s="110">
        <f>'Orderformular Color Kids'!A54</f>
        <v>5970</v>
      </c>
      <c r="B48" s="106" t="str">
        <f>'Orderformular Color Kids'!B54</f>
        <v>Anonymized Item 54</v>
      </c>
      <c r="C48" s="106" t="str">
        <f>'Orderformular Color Kids'!C54</f>
        <v>Anonymized 870 Total Eclipse</v>
      </c>
      <c r="D48" s="108" t="str">
        <f>'Orderformular Color Kids'!D54</f>
        <v>Kids</v>
      </c>
      <c r="E48" s="97">
        <f>'Orderformular Color Kids'!E54</f>
        <v>0</v>
      </c>
      <c r="F48" s="97">
        <f>'Orderformular Color Kids'!F54</f>
        <v>0</v>
      </c>
      <c r="G48" s="97">
        <f>'Orderformular Color Kids'!G54</f>
        <v>0</v>
      </c>
      <c r="H48" s="97">
        <f>'Orderformular Color Kids'!H54</f>
        <v>0</v>
      </c>
      <c r="I48" s="97">
        <f>'Orderformular Color Kids'!I54</f>
        <v>0</v>
      </c>
      <c r="J48" s="97">
        <f>'Orderformular Color Kids'!J54</f>
        <v>0</v>
      </c>
      <c r="K48" s="97">
        <f>'Orderformular Color Kids'!K54</f>
        <v>0</v>
      </c>
      <c r="L48" s="97">
        <f>'Orderformular Color Kids'!L54</f>
        <v>0</v>
      </c>
      <c r="M48" s="97">
        <f>'Orderformular Color Kids'!M54</f>
        <v>0</v>
      </c>
      <c r="N48" s="97">
        <f>'Orderformular Color Kids'!N54</f>
        <v>0</v>
      </c>
      <c r="O48" s="97">
        <f>'Orderformular Color Kids'!O54</f>
        <v>0</v>
      </c>
      <c r="P48" s="97">
        <f>'Orderformular Color Kids'!P54</f>
        <v>0</v>
      </c>
      <c r="Q48" s="97">
        <f>'Orderformular Color Kids'!Q54</f>
        <v>0</v>
      </c>
      <c r="R48" s="97">
        <f>'Orderformular Color Kids'!R54</f>
        <v>0</v>
      </c>
      <c r="S48" s="98">
        <f t="shared" si="0"/>
        <v>0</v>
      </c>
      <c r="T48" s="109">
        <f>'Orderformular Color Kids'!U54</f>
        <v>69.900000000000006</v>
      </c>
    </row>
    <row r="49" spans="1:20" ht="15" customHeight="1" x14ac:dyDescent="0.25">
      <c r="A49" s="110">
        <f>'Orderformular Color Kids'!A55</f>
        <v>5971</v>
      </c>
      <c r="B49" s="106" t="str">
        <f>'Orderformular Color Kids'!B55</f>
        <v>Anonymized Item 55</v>
      </c>
      <c r="C49" s="106" t="str">
        <f>'Orderformular Color Kids'!C55</f>
        <v>Anonymized 161 Phantom</v>
      </c>
      <c r="D49" s="108" t="str">
        <f>'Orderformular Color Kids'!D55</f>
        <v>Kids</v>
      </c>
      <c r="E49" s="97">
        <f>'Orderformular Color Kids'!E55</f>
        <v>0</v>
      </c>
      <c r="F49" s="97">
        <f>'Orderformular Color Kids'!F55</f>
        <v>0</v>
      </c>
      <c r="G49" s="97">
        <f>'Orderformular Color Kids'!G55</f>
        <v>0</v>
      </c>
      <c r="H49" s="97">
        <f>'Orderformular Color Kids'!H55</f>
        <v>0</v>
      </c>
      <c r="I49" s="97">
        <f>'Orderformular Color Kids'!I55</f>
        <v>0</v>
      </c>
      <c r="J49" s="97">
        <f>'Orderformular Color Kids'!J55</f>
        <v>0</v>
      </c>
      <c r="K49" s="97">
        <f>'Orderformular Color Kids'!K55</f>
        <v>0</v>
      </c>
      <c r="L49" s="97">
        <f>'Orderformular Color Kids'!L55</f>
        <v>0</v>
      </c>
      <c r="M49" s="97">
        <f>'Orderformular Color Kids'!M55</f>
        <v>0</v>
      </c>
      <c r="N49" s="97">
        <f>'Orderformular Color Kids'!N55</f>
        <v>0</v>
      </c>
      <c r="O49" s="97">
        <f>'Orderformular Color Kids'!O55</f>
        <v>0</v>
      </c>
      <c r="P49" s="97">
        <f>'Orderformular Color Kids'!P55</f>
        <v>0</v>
      </c>
      <c r="Q49" s="97">
        <f>'Orderformular Color Kids'!Q55</f>
        <v>0</v>
      </c>
      <c r="R49" s="97">
        <f>'Orderformular Color Kids'!R55</f>
        <v>0</v>
      </c>
      <c r="S49" s="98">
        <f t="shared" si="0"/>
        <v>0</v>
      </c>
      <c r="T49" s="109">
        <f>'Orderformular Color Kids'!U55</f>
        <v>29.9</v>
      </c>
    </row>
    <row r="50" spans="1:20" ht="15" customHeight="1" x14ac:dyDescent="0.25">
      <c r="A50" s="110">
        <f>'Orderformular Color Kids'!A56</f>
        <v>6118</v>
      </c>
      <c r="B50" s="106" t="str">
        <f>'Orderformular Color Kids'!B56</f>
        <v>Anonymized Item 56</v>
      </c>
      <c r="C50" s="106" t="str">
        <f>'Orderformular Color Kids'!C56</f>
        <v>Anonymized 663 Lavender Mist</v>
      </c>
      <c r="D50" s="108" t="str">
        <f>'Orderformular Color Kids'!D56</f>
        <v>Mini</v>
      </c>
      <c r="E50" s="97">
        <f>'Orderformular Color Kids'!E56</f>
        <v>0</v>
      </c>
      <c r="F50" s="97">
        <f>'Orderformular Color Kids'!F56</f>
        <v>0</v>
      </c>
      <c r="G50" s="97">
        <f>'Orderformular Color Kids'!G56</f>
        <v>0</v>
      </c>
      <c r="H50" s="97">
        <f>'Orderformular Color Kids'!H56</f>
        <v>0</v>
      </c>
      <c r="I50" s="97">
        <f>'Orderformular Color Kids'!I56</f>
        <v>0</v>
      </c>
      <c r="J50" s="97">
        <f>'Orderformular Color Kids'!J56</f>
        <v>0</v>
      </c>
      <c r="K50" s="97">
        <f>'Orderformular Color Kids'!K56</f>
        <v>0</v>
      </c>
      <c r="L50" s="97">
        <f>'Orderformular Color Kids'!L56</f>
        <v>0</v>
      </c>
      <c r="M50" s="97">
        <f>'Orderformular Color Kids'!M56</f>
        <v>0</v>
      </c>
      <c r="N50" s="97">
        <f>'Orderformular Color Kids'!N56</f>
        <v>0</v>
      </c>
      <c r="O50" s="97">
        <f>'Orderformular Color Kids'!O56</f>
        <v>0</v>
      </c>
      <c r="P50" s="97">
        <f>'Orderformular Color Kids'!P56</f>
        <v>0</v>
      </c>
      <c r="Q50" s="97">
        <f>'Orderformular Color Kids'!Q56</f>
        <v>0</v>
      </c>
      <c r="R50" s="97">
        <f>'Orderformular Color Kids'!R56</f>
        <v>0</v>
      </c>
      <c r="S50" s="98">
        <f t="shared" si="0"/>
        <v>0</v>
      </c>
      <c r="T50" s="109">
        <f>'Orderformular Color Kids'!U56</f>
        <v>39.9</v>
      </c>
    </row>
    <row r="51" spans="1:20" ht="15" customHeight="1" x14ac:dyDescent="0.25">
      <c r="A51" s="110">
        <f>'Orderformular Color Kids'!A57</f>
        <v>6118</v>
      </c>
      <c r="B51" s="106" t="str">
        <f>'Orderformular Color Kids'!B57</f>
        <v>Anonymized Item 57</v>
      </c>
      <c r="C51" s="106" t="str">
        <f>'Orderformular Color Kids'!C57</f>
        <v>Anonymized 854 Coronet Blue</v>
      </c>
      <c r="D51" s="108" t="str">
        <f>'Orderformular Color Kids'!D57</f>
        <v>Mini</v>
      </c>
      <c r="E51" s="97">
        <f>'Orderformular Color Kids'!E57</f>
        <v>0</v>
      </c>
      <c r="F51" s="97">
        <f>'Orderformular Color Kids'!F57</f>
        <v>0</v>
      </c>
      <c r="G51" s="97">
        <f>'Orderformular Color Kids'!G57</f>
        <v>0</v>
      </c>
      <c r="H51" s="97">
        <f>'Orderformular Color Kids'!H57</f>
        <v>0</v>
      </c>
      <c r="I51" s="97">
        <f>'Orderformular Color Kids'!I57</f>
        <v>0</v>
      </c>
      <c r="J51" s="97">
        <f>'Orderformular Color Kids'!J57</f>
        <v>0</v>
      </c>
      <c r="K51" s="97">
        <f>'Orderformular Color Kids'!K57</f>
        <v>0</v>
      </c>
      <c r="L51" s="97">
        <f>'Orderformular Color Kids'!L57</f>
        <v>0</v>
      </c>
      <c r="M51" s="97">
        <f>'Orderformular Color Kids'!M57</f>
        <v>0</v>
      </c>
      <c r="N51" s="97">
        <f>'Orderformular Color Kids'!N57</f>
        <v>0</v>
      </c>
      <c r="O51" s="97">
        <f>'Orderformular Color Kids'!O57</f>
        <v>0</v>
      </c>
      <c r="P51" s="97">
        <f>'Orderformular Color Kids'!P57</f>
        <v>0</v>
      </c>
      <c r="Q51" s="97">
        <f>'Orderformular Color Kids'!Q57</f>
        <v>0</v>
      </c>
      <c r="R51" s="97">
        <f>'Orderformular Color Kids'!R57</f>
        <v>0</v>
      </c>
      <c r="S51" s="98">
        <f t="shared" si="0"/>
        <v>0</v>
      </c>
      <c r="T51" s="109">
        <f>'Orderformular Color Kids'!U57</f>
        <v>39.9</v>
      </c>
    </row>
    <row r="52" spans="1:20" ht="15" customHeight="1" x14ac:dyDescent="0.25">
      <c r="A52" s="110">
        <f>'Orderformular Color Kids'!A58</f>
        <v>6119</v>
      </c>
      <c r="B52" s="106" t="str">
        <f>'Orderformular Color Kids'!B58</f>
        <v>Anonymized Item 58</v>
      </c>
      <c r="C52" s="106" t="str">
        <f>'Orderformular Color Kids'!C58</f>
        <v>Anonymized 663 Lavender Mist</v>
      </c>
      <c r="D52" s="108" t="str">
        <f>'Orderformular Color Kids'!D58</f>
        <v>Mini</v>
      </c>
      <c r="E52" s="97">
        <f>'Orderformular Color Kids'!E58</f>
        <v>0</v>
      </c>
      <c r="F52" s="97">
        <f>'Orderformular Color Kids'!F58</f>
        <v>0</v>
      </c>
      <c r="G52" s="97">
        <f>'Orderformular Color Kids'!G58</f>
        <v>0</v>
      </c>
      <c r="H52" s="97">
        <f>'Orderformular Color Kids'!H58</f>
        <v>0</v>
      </c>
      <c r="I52" s="97">
        <f>'Orderformular Color Kids'!I58</f>
        <v>0</v>
      </c>
      <c r="J52" s="97">
        <f>'Orderformular Color Kids'!J58</f>
        <v>0</v>
      </c>
      <c r="K52" s="97">
        <f>'Orderformular Color Kids'!K58</f>
        <v>0</v>
      </c>
      <c r="L52" s="97">
        <f>'Orderformular Color Kids'!L58</f>
        <v>0</v>
      </c>
      <c r="M52" s="97">
        <f>'Orderformular Color Kids'!M58</f>
        <v>0</v>
      </c>
      <c r="N52" s="97">
        <f>'Orderformular Color Kids'!N58</f>
        <v>0</v>
      </c>
      <c r="O52" s="97">
        <f>'Orderformular Color Kids'!O58</f>
        <v>0</v>
      </c>
      <c r="P52" s="97">
        <f>'Orderformular Color Kids'!P58</f>
        <v>0</v>
      </c>
      <c r="Q52" s="97">
        <f>'Orderformular Color Kids'!Q58</f>
        <v>0</v>
      </c>
      <c r="R52" s="97">
        <f>'Orderformular Color Kids'!R58</f>
        <v>0</v>
      </c>
      <c r="S52" s="98">
        <f t="shared" si="0"/>
        <v>0</v>
      </c>
      <c r="T52" s="109">
        <f>'Orderformular Color Kids'!U58</f>
        <v>23.9</v>
      </c>
    </row>
    <row r="53" spans="1:20" ht="15" customHeight="1" x14ac:dyDescent="0.25">
      <c r="A53" s="110">
        <f>'Orderformular Color Kids'!A59</f>
        <v>6120</v>
      </c>
      <c r="B53" s="106" t="str">
        <f>'Orderformular Color Kids'!B59</f>
        <v>Anonymized Item 59</v>
      </c>
      <c r="C53" s="106" t="str">
        <f>'Orderformular Color Kids'!C59</f>
        <v>Anonymized 854 Coronet Blue</v>
      </c>
      <c r="D53" s="108" t="str">
        <f>'Orderformular Color Kids'!D59</f>
        <v>Mini</v>
      </c>
      <c r="E53" s="97">
        <f>'Orderformular Color Kids'!E59</f>
        <v>0</v>
      </c>
      <c r="F53" s="97">
        <f>'Orderformular Color Kids'!F59</f>
        <v>0</v>
      </c>
      <c r="G53" s="97">
        <f>'Orderformular Color Kids'!G59</f>
        <v>0</v>
      </c>
      <c r="H53" s="97">
        <f>'Orderformular Color Kids'!H59</f>
        <v>0</v>
      </c>
      <c r="I53" s="97">
        <f>'Orderformular Color Kids'!I59</f>
        <v>0</v>
      </c>
      <c r="J53" s="97">
        <f>'Orderformular Color Kids'!J59</f>
        <v>0</v>
      </c>
      <c r="K53" s="97">
        <f>'Orderformular Color Kids'!K59</f>
        <v>0</v>
      </c>
      <c r="L53" s="97">
        <f>'Orderformular Color Kids'!L59</f>
        <v>0</v>
      </c>
      <c r="M53" s="97">
        <f>'Orderformular Color Kids'!M59</f>
        <v>0</v>
      </c>
      <c r="N53" s="97">
        <f>'Orderformular Color Kids'!N59</f>
        <v>0</v>
      </c>
      <c r="O53" s="97">
        <f>'Orderformular Color Kids'!O59</f>
        <v>0</v>
      </c>
      <c r="P53" s="97">
        <f>'Orderformular Color Kids'!P59</f>
        <v>0</v>
      </c>
      <c r="Q53" s="97">
        <f>'Orderformular Color Kids'!Q59</f>
        <v>0</v>
      </c>
      <c r="R53" s="97">
        <f>'Orderformular Color Kids'!R59</f>
        <v>0</v>
      </c>
      <c r="S53" s="98">
        <f t="shared" si="0"/>
        <v>0</v>
      </c>
      <c r="T53" s="109">
        <f>'Orderformular Color Kids'!U59</f>
        <v>23.9</v>
      </c>
    </row>
    <row r="54" spans="1:20" ht="15" customHeight="1" x14ac:dyDescent="0.25">
      <c r="A54" s="110">
        <f>'Orderformular Color Kids'!A60</f>
        <v>6141</v>
      </c>
      <c r="B54" s="106" t="str">
        <f>'Orderformular Color Kids'!B60</f>
        <v>Anonymized Item 60</v>
      </c>
      <c r="C54" s="106" t="str">
        <f>'Orderformular Color Kids'!C60</f>
        <v>Anonymized 663 Lavender Mist</v>
      </c>
      <c r="D54" s="108" t="str">
        <f>'Orderformular Color Kids'!D60</f>
        <v>Kids</v>
      </c>
      <c r="E54" s="97">
        <f>'Orderformular Color Kids'!E60</f>
        <v>0</v>
      </c>
      <c r="F54" s="97">
        <f>'Orderformular Color Kids'!F60</f>
        <v>0</v>
      </c>
      <c r="G54" s="97">
        <f>'Orderformular Color Kids'!G60</f>
        <v>0</v>
      </c>
      <c r="H54" s="97">
        <f>'Orderformular Color Kids'!H60</f>
        <v>0</v>
      </c>
      <c r="I54" s="97">
        <f>'Orderformular Color Kids'!I60</f>
        <v>0</v>
      </c>
      <c r="J54" s="97">
        <f>'Orderformular Color Kids'!J60</f>
        <v>0</v>
      </c>
      <c r="K54" s="97">
        <f>'Orderformular Color Kids'!K60</f>
        <v>0</v>
      </c>
      <c r="L54" s="97">
        <f>'Orderformular Color Kids'!L60</f>
        <v>0</v>
      </c>
      <c r="M54" s="97">
        <f>'Orderformular Color Kids'!M60</f>
        <v>0</v>
      </c>
      <c r="N54" s="97">
        <f>'Orderformular Color Kids'!N60</f>
        <v>0</v>
      </c>
      <c r="O54" s="97">
        <f>'Orderformular Color Kids'!O60</f>
        <v>0</v>
      </c>
      <c r="P54" s="97">
        <f>'Orderformular Color Kids'!P60</f>
        <v>0</v>
      </c>
      <c r="Q54" s="97">
        <f>'Orderformular Color Kids'!Q60</f>
        <v>0</v>
      </c>
      <c r="R54" s="97">
        <f>'Orderformular Color Kids'!R60</f>
        <v>0</v>
      </c>
      <c r="S54" s="98">
        <f t="shared" si="0"/>
        <v>0</v>
      </c>
      <c r="T54" s="109">
        <f>'Orderformular Color Kids'!U60</f>
        <v>29.9</v>
      </c>
    </row>
    <row r="55" spans="1:20" ht="15" customHeight="1" x14ac:dyDescent="0.25">
      <c r="A55" s="110">
        <f>'Orderformular Color Kids'!A61</f>
        <v>6141</v>
      </c>
      <c r="B55" s="106" t="str">
        <f>'Orderformular Color Kids'!B61</f>
        <v>Anonymized Item 61</v>
      </c>
      <c r="C55" s="106" t="str">
        <f>'Orderformular Color Kids'!C61</f>
        <v>Anonymized 772 Dress Blues</v>
      </c>
      <c r="D55" s="108" t="str">
        <f>'Orderformular Color Kids'!D61</f>
        <v>Kids</v>
      </c>
      <c r="E55" s="97">
        <f>'Orderformular Color Kids'!E61</f>
        <v>0</v>
      </c>
      <c r="F55" s="97">
        <f>'Orderformular Color Kids'!F61</f>
        <v>0</v>
      </c>
      <c r="G55" s="97">
        <f>'Orderformular Color Kids'!G61</f>
        <v>0</v>
      </c>
      <c r="H55" s="97">
        <f>'Orderformular Color Kids'!H61</f>
        <v>0</v>
      </c>
      <c r="I55" s="97">
        <f>'Orderformular Color Kids'!I61</f>
        <v>0</v>
      </c>
      <c r="J55" s="97">
        <f>'Orderformular Color Kids'!J61</f>
        <v>0</v>
      </c>
      <c r="K55" s="97">
        <f>'Orderformular Color Kids'!K61</f>
        <v>0</v>
      </c>
      <c r="L55" s="97">
        <f>'Orderformular Color Kids'!L61</f>
        <v>0</v>
      </c>
      <c r="M55" s="97">
        <f>'Orderformular Color Kids'!M61</f>
        <v>0</v>
      </c>
      <c r="N55" s="97">
        <f>'Orderformular Color Kids'!N61</f>
        <v>0</v>
      </c>
      <c r="O55" s="97">
        <f>'Orderformular Color Kids'!O61</f>
        <v>0</v>
      </c>
      <c r="P55" s="97">
        <f>'Orderformular Color Kids'!P61</f>
        <v>0</v>
      </c>
      <c r="Q55" s="97">
        <f>'Orderformular Color Kids'!Q61</f>
        <v>0</v>
      </c>
      <c r="R55" s="97">
        <f>'Orderformular Color Kids'!R61</f>
        <v>0</v>
      </c>
      <c r="S55" s="98">
        <f t="shared" si="0"/>
        <v>0</v>
      </c>
      <c r="T55" s="109">
        <f>'Orderformular Color Kids'!U61</f>
        <v>29.9</v>
      </c>
    </row>
    <row r="56" spans="1:20" ht="15" customHeight="1" x14ac:dyDescent="0.25">
      <c r="A56" s="110">
        <f>'Orderformular Color Kids'!A62</f>
        <v>6141</v>
      </c>
      <c r="B56" s="106" t="str">
        <f>'Orderformular Color Kids'!B62</f>
        <v>Anonymized Item 62</v>
      </c>
      <c r="C56" s="106" t="str">
        <f>'Orderformular Color Kids'!C62</f>
        <v>Anonymized 854 Coronet Blue</v>
      </c>
      <c r="D56" s="108" t="str">
        <f>'Orderformular Color Kids'!D62</f>
        <v>Kids</v>
      </c>
      <c r="E56" s="97">
        <f>'Orderformular Color Kids'!E62</f>
        <v>0</v>
      </c>
      <c r="F56" s="97">
        <f>'Orderformular Color Kids'!F62</f>
        <v>0</v>
      </c>
      <c r="G56" s="97">
        <f>'Orderformular Color Kids'!G62</f>
        <v>0</v>
      </c>
      <c r="H56" s="97">
        <f>'Orderformular Color Kids'!H62</f>
        <v>0</v>
      </c>
      <c r="I56" s="97">
        <f>'Orderformular Color Kids'!I62</f>
        <v>0</v>
      </c>
      <c r="J56" s="97">
        <f>'Orderformular Color Kids'!J62</f>
        <v>0</v>
      </c>
      <c r="K56" s="97">
        <f>'Orderformular Color Kids'!K62</f>
        <v>0</v>
      </c>
      <c r="L56" s="97">
        <f>'Orderformular Color Kids'!L62</f>
        <v>0</v>
      </c>
      <c r="M56" s="97">
        <f>'Orderformular Color Kids'!M62</f>
        <v>0</v>
      </c>
      <c r="N56" s="97">
        <f>'Orderformular Color Kids'!N62</f>
        <v>0</v>
      </c>
      <c r="O56" s="97">
        <f>'Orderformular Color Kids'!O62</f>
        <v>0</v>
      </c>
      <c r="P56" s="97">
        <f>'Orderformular Color Kids'!P62</f>
        <v>0</v>
      </c>
      <c r="Q56" s="97">
        <f>'Orderformular Color Kids'!Q62</f>
        <v>0</v>
      </c>
      <c r="R56" s="97">
        <f>'Orderformular Color Kids'!R62</f>
        <v>0</v>
      </c>
      <c r="S56" s="98">
        <f t="shared" si="0"/>
        <v>0</v>
      </c>
      <c r="T56" s="109">
        <f>'Orderformular Color Kids'!U62</f>
        <v>29.9</v>
      </c>
    </row>
    <row r="57" spans="1:20" ht="15" customHeight="1" x14ac:dyDescent="0.25">
      <c r="A57" s="110">
        <f>'Orderformular Color Kids'!A63</f>
        <v>6145</v>
      </c>
      <c r="B57" s="106" t="str">
        <f>'Orderformular Color Kids'!B63</f>
        <v>Anonymized Item 63</v>
      </c>
      <c r="C57" s="106" t="str">
        <f>'Orderformular Color Kids'!C63</f>
        <v>Anonymized 663 Lavender Mist</v>
      </c>
      <c r="D57" s="108" t="str">
        <f>'Orderformular Color Kids'!D63</f>
        <v>Shoes</v>
      </c>
      <c r="E57" s="97">
        <f>'Orderformular Color Kids'!E63</f>
        <v>0</v>
      </c>
      <c r="F57" s="97">
        <f>'Orderformular Color Kids'!F63</f>
        <v>0</v>
      </c>
      <c r="G57" s="97">
        <f>'Orderformular Color Kids'!G63</f>
        <v>0</v>
      </c>
      <c r="H57" s="97">
        <f>'Orderformular Color Kids'!H63</f>
        <v>0</v>
      </c>
      <c r="I57" s="97">
        <f>'Orderformular Color Kids'!I63</f>
        <v>0</v>
      </c>
      <c r="J57" s="97">
        <f>'Orderformular Color Kids'!J63</f>
        <v>0</v>
      </c>
      <c r="K57" s="97">
        <f>'Orderformular Color Kids'!K63</f>
        <v>0</v>
      </c>
      <c r="L57" s="97">
        <f>'Orderformular Color Kids'!L63</f>
        <v>0</v>
      </c>
      <c r="M57" s="97">
        <f>'Orderformular Color Kids'!M63</f>
        <v>0</v>
      </c>
      <c r="N57" s="97">
        <f>'Orderformular Color Kids'!N63</f>
        <v>0</v>
      </c>
      <c r="O57" s="97">
        <f>'Orderformular Color Kids'!O63</f>
        <v>0</v>
      </c>
      <c r="P57" s="97">
        <f>'Orderformular Color Kids'!P63</f>
        <v>0</v>
      </c>
      <c r="Q57" s="97">
        <f>'Orderformular Color Kids'!Q63</f>
        <v>0</v>
      </c>
      <c r="R57" s="97">
        <f>'Orderformular Color Kids'!R63</f>
        <v>0</v>
      </c>
      <c r="S57" s="98">
        <f t="shared" si="0"/>
        <v>0</v>
      </c>
      <c r="T57" s="109">
        <f>'Orderformular Color Kids'!U63</f>
        <v>19.899999999999999</v>
      </c>
    </row>
    <row r="58" spans="1:20" ht="15" customHeight="1" x14ac:dyDescent="0.25">
      <c r="A58" s="110">
        <f>'Orderformular Color Kids'!A64</f>
        <v>6145</v>
      </c>
      <c r="B58" s="106" t="str">
        <f>'Orderformular Color Kids'!B64</f>
        <v>Anonymized Item 64</v>
      </c>
      <c r="C58" s="106" t="str">
        <f>'Orderformular Color Kids'!C64</f>
        <v>Anonymized 772 Dress Blues</v>
      </c>
      <c r="D58" s="108" t="str">
        <f>'Orderformular Color Kids'!D64</f>
        <v>Shoes</v>
      </c>
      <c r="E58" s="97">
        <f>'Orderformular Color Kids'!E64</f>
        <v>0</v>
      </c>
      <c r="F58" s="97">
        <f>'Orderformular Color Kids'!F64</f>
        <v>0</v>
      </c>
      <c r="G58" s="97">
        <f>'Orderformular Color Kids'!G64</f>
        <v>0</v>
      </c>
      <c r="H58" s="97">
        <f>'Orderformular Color Kids'!H64</f>
        <v>0</v>
      </c>
      <c r="I58" s="97">
        <f>'Orderformular Color Kids'!I64</f>
        <v>0</v>
      </c>
      <c r="J58" s="97">
        <f>'Orderformular Color Kids'!J64</f>
        <v>0</v>
      </c>
      <c r="K58" s="97">
        <f>'Orderformular Color Kids'!K64</f>
        <v>0</v>
      </c>
      <c r="L58" s="97">
        <f>'Orderformular Color Kids'!L64</f>
        <v>0</v>
      </c>
      <c r="M58" s="97">
        <f>'Orderformular Color Kids'!M64</f>
        <v>0</v>
      </c>
      <c r="N58" s="97">
        <f>'Orderformular Color Kids'!N64</f>
        <v>0</v>
      </c>
      <c r="O58" s="97">
        <f>'Orderformular Color Kids'!O64</f>
        <v>0</v>
      </c>
      <c r="P58" s="97">
        <f>'Orderformular Color Kids'!P64</f>
        <v>0</v>
      </c>
      <c r="Q58" s="97">
        <f>'Orderformular Color Kids'!Q64</f>
        <v>0</v>
      </c>
      <c r="R58" s="97">
        <f>'Orderformular Color Kids'!R64</f>
        <v>0</v>
      </c>
      <c r="S58" s="98">
        <f t="shared" si="0"/>
        <v>0</v>
      </c>
      <c r="T58" s="109">
        <f>'Orderformular Color Kids'!U64</f>
        <v>19.899999999999999</v>
      </c>
    </row>
    <row r="59" spans="1:20" ht="15" customHeight="1" x14ac:dyDescent="0.25">
      <c r="A59" s="110">
        <f>'Orderformular Color Kids'!A65</f>
        <v>6147</v>
      </c>
      <c r="B59" s="106" t="str">
        <f>'Orderformular Color Kids'!B65</f>
        <v>Anonymized Item 65</v>
      </c>
      <c r="C59" s="106" t="str">
        <f>'Orderformular Color Kids'!C65</f>
        <v>Anonymized 772 Dress Blues</v>
      </c>
      <c r="D59" s="108" t="str">
        <f>'Orderformular Color Kids'!D65</f>
        <v>Kids</v>
      </c>
      <c r="E59" s="97">
        <f>'Orderformular Color Kids'!E65</f>
        <v>0</v>
      </c>
      <c r="F59" s="97">
        <f>'Orderformular Color Kids'!F65</f>
        <v>0</v>
      </c>
      <c r="G59" s="97">
        <f>'Orderformular Color Kids'!G65</f>
        <v>0</v>
      </c>
      <c r="H59" s="97">
        <f>'Orderformular Color Kids'!H65</f>
        <v>0</v>
      </c>
      <c r="I59" s="97">
        <f>'Orderformular Color Kids'!I65</f>
        <v>0</v>
      </c>
      <c r="J59" s="97">
        <f>'Orderformular Color Kids'!J65</f>
        <v>0</v>
      </c>
      <c r="K59" s="97">
        <f>'Orderformular Color Kids'!K65</f>
        <v>0</v>
      </c>
      <c r="L59" s="97">
        <f>'Orderformular Color Kids'!L65</f>
        <v>0</v>
      </c>
      <c r="M59" s="97">
        <f>'Orderformular Color Kids'!M65</f>
        <v>0</v>
      </c>
      <c r="N59" s="97">
        <f>'Orderformular Color Kids'!N65</f>
        <v>0</v>
      </c>
      <c r="O59" s="97">
        <f>'Orderformular Color Kids'!O65</f>
        <v>0</v>
      </c>
      <c r="P59" s="97">
        <f>'Orderformular Color Kids'!P65</f>
        <v>0</v>
      </c>
      <c r="Q59" s="97">
        <f>'Orderformular Color Kids'!Q65</f>
        <v>0</v>
      </c>
      <c r="R59" s="97">
        <f>'Orderformular Color Kids'!R65</f>
        <v>0</v>
      </c>
      <c r="S59" s="98">
        <f t="shared" si="0"/>
        <v>0</v>
      </c>
      <c r="T59" s="109">
        <f>'Orderformular Color Kids'!U65</f>
        <v>23.9</v>
      </c>
    </row>
    <row r="60" spans="1:20" ht="15" customHeight="1" x14ac:dyDescent="0.25">
      <c r="A60" s="110">
        <f>'Orderformular Color Kids'!A66</f>
        <v>6343</v>
      </c>
      <c r="B60" s="106" t="str">
        <f>'Orderformular Color Kids'!B66</f>
        <v>Anonymized Item 66</v>
      </c>
      <c r="C60" s="106" t="str">
        <f>'Orderformular Color Kids'!C66</f>
        <v>Anonymized 140 Black</v>
      </c>
      <c r="D60" s="108" t="str">
        <f>'Orderformular Color Kids'!D66</f>
        <v>Kids</v>
      </c>
      <c r="E60" s="97">
        <f>'Orderformular Color Kids'!E66</f>
        <v>0</v>
      </c>
      <c r="F60" s="97">
        <f>'Orderformular Color Kids'!F66</f>
        <v>0</v>
      </c>
      <c r="G60" s="97">
        <f>'Orderformular Color Kids'!G66</f>
        <v>0</v>
      </c>
      <c r="H60" s="97">
        <f>'Orderformular Color Kids'!H66</f>
        <v>0</v>
      </c>
      <c r="I60" s="97">
        <f>'Orderformular Color Kids'!I66</f>
        <v>0</v>
      </c>
      <c r="J60" s="97">
        <f>'Orderformular Color Kids'!J66</f>
        <v>0</v>
      </c>
      <c r="K60" s="97">
        <f>'Orderformular Color Kids'!K66</f>
        <v>0</v>
      </c>
      <c r="L60" s="97">
        <f>'Orderformular Color Kids'!L66</f>
        <v>0</v>
      </c>
      <c r="M60" s="97">
        <f>'Orderformular Color Kids'!M66</f>
        <v>0</v>
      </c>
      <c r="N60" s="97">
        <f>'Orderformular Color Kids'!N66</f>
        <v>0</v>
      </c>
      <c r="O60" s="97">
        <f>'Orderformular Color Kids'!O66</f>
        <v>0</v>
      </c>
      <c r="P60" s="97">
        <f>'Orderformular Color Kids'!P66</f>
        <v>0</v>
      </c>
      <c r="Q60" s="97">
        <f>'Orderformular Color Kids'!Q66</f>
        <v>0</v>
      </c>
      <c r="R60" s="97">
        <f>'Orderformular Color Kids'!R66</f>
        <v>0</v>
      </c>
      <c r="S60" s="98">
        <f t="shared" si="0"/>
        <v>0</v>
      </c>
      <c r="T60" s="109">
        <f>'Orderformular Color Kids'!U66</f>
        <v>29.9</v>
      </c>
    </row>
    <row r="61" spans="1:20" ht="15" customHeight="1" x14ac:dyDescent="0.25">
      <c r="A61" s="110">
        <f>'Orderformular Color Kids'!A67</f>
        <v>6344</v>
      </c>
      <c r="B61" s="106" t="str">
        <f>'Orderformular Color Kids'!B67</f>
        <v>Anonymized Item 67</v>
      </c>
      <c r="C61" s="106" t="str">
        <f>'Orderformular Color Kids'!C67</f>
        <v>Anonymized 140 Black</v>
      </c>
      <c r="D61" s="108" t="str">
        <f>'Orderformular Color Kids'!D67</f>
        <v>Kids</v>
      </c>
      <c r="E61" s="97">
        <f>'Orderformular Color Kids'!E67</f>
        <v>0</v>
      </c>
      <c r="F61" s="97">
        <f>'Orderformular Color Kids'!F67</f>
        <v>0</v>
      </c>
      <c r="G61" s="97">
        <f>'Orderformular Color Kids'!G67</f>
        <v>0</v>
      </c>
      <c r="H61" s="97">
        <f>'Orderformular Color Kids'!H67</f>
        <v>0</v>
      </c>
      <c r="I61" s="97">
        <f>'Orderformular Color Kids'!I67</f>
        <v>0</v>
      </c>
      <c r="J61" s="97">
        <f>'Orderformular Color Kids'!J67</f>
        <v>0</v>
      </c>
      <c r="K61" s="97">
        <f>'Orderformular Color Kids'!K67</f>
        <v>0</v>
      </c>
      <c r="L61" s="97">
        <f>'Orderformular Color Kids'!L67</f>
        <v>0</v>
      </c>
      <c r="M61" s="97">
        <f>'Orderformular Color Kids'!M67</f>
        <v>0</v>
      </c>
      <c r="N61" s="97">
        <f>'Orderformular Color Kids'!N67</f>
        <v>0</v>
      </c>
      <c r="O61" s="97">
        <f>'Orderformular Color Kids'!O67</f>
        <v>0</v>
      </c>
      <c r="P61" s="97">
        <f>'Orderformular Color Kids'!P67</f>
        <v>0</v>
      </c>
      <c r="Q61" s="97">
        <f>'Orderformular Color Kids'!Q67</f>
        <v>0</v>
      </c>
      <c r="R61" s="97">
        <f>'Orderformular Color Kids'!R67</f>
        <v>0</v>
      </c>
      <c r="S61" s="98">
        <f t="shared" si="0"/>
        <v>0</v>
      </c>
      <c r="T61" s="109">
        <f>'Orderformular Color Kids'!U67</f>
        <v>29.9</v>
      </c>
    </row>
    <row r="62" spans="1:20" ht="15" customHeight="1" x14ac:dyDescent="0.25">
      <c r="A62" s="110">
        <f>'Orderformular Color Kids'!A68</f>
        <v>6520</v>
      </c>
      <c r="B62" s="106" t="str">
        <f>'Orderformular Color Kids'!B68</f>
        <v>Anonymized Item 68</v>
      </c>
      <c r="C62" s="106" t="str">
        <f>'Orderformular Color Kids'!C68</f>
        <v>Anonymized 1191 Black</v>
      </c>
      <c r="D62" s="108" t="str">
        <f>'Orderformular Color Kids'!D68</f>
        <v>Shoes</v>
      </c>
      <c r="E62" s="97">
        <f>'Orderformular Color Kids'!E68</f>
        <v>0</v>
      </c>
      <c r="F62" s="97">
        <f>'Orderformular Color Kids'!F68</f>
        <v>0</v>
      </c>
      <c r="G62" s="97">
        <f>'Orderformular Color Kids'!G68</f>
        <v>0</v>
      </c>
      <c r="H62" s="97">
        <f>'Orderformular Color Kids'!H68</f>
        <v>0</v>
      </c>
      <c r="I62" s="97">
        <f>'Orderformular Color Kids'!I68</f>
        <v>0</v>
      </c>
      <c r="J62" s="97">
        <f>'Orderformular Color Kids'!J68</f>
        <v>0</v>
      </c>
      <c r="K62" s="97">
        <f>'Orderformular Color Kids'!K68</f>
        <v>0</v>
      </c>
      <c r="L62" s="97">
        <f>'Orderformular Color Kids'!L68</f>
        <v>0</v>
      </c>
      <c r="M62" s="97">
        <f>'Orderformular Color Kids'!M68</f>
        <v>0</v>
      </c>
      <c r="N62" s="97">
        <f>'Orderformular Color Kids'!N68</f>
        <v>0</v>
      </c>
      <c r="O62" s="97">
        <f>'Orderformular Color Kids'!O68</f>
        <v>0</v>
      </c>
      <c r="P62" s="97">
        <f>'Orderformular Color Kids'!P68</f>
        <v>0</v>
      </c>
      <c r="Q62" s="97">
        <f>'Orderformular Color Kids'!Q68</f>
        <v>0</v>
      </c>
      <c r="R62" s="97">
        <f>'Orderformular Color Kids'!R68</f>
        <v>0</v>
      </c>
      <c r="S62" s="98">
        <f t="shared" si="0"/>
        <v>0</v>
      </c>
      <c r="T62" s="109">
        <f>'Orderformular Color Kids'!U68</f>
        <v>16.899999999999999</v>
      </c>
    </row>
    <row r="63" spans="1:20" ht="15" customHeight="1" x14ac:dyDescent="0.25">
      <c r="A63" s="110">
        <f>'Orderformular Color Kids'!A69</f>
        <v>6534</v>
      </c>
      <c r="B63" s="106" t="str">
        <f>'Orderformular Color Kids'!B69</f>
        <v>Anonymized Item 69</v>
      </c>
      <c r="C63" s="106" t="str">
        <f>'Orderformular Color Kids'!C69</f>
        <v>Anonymized 1191 Black</v>
      </c>
      <c r="D63" s="108" t="str">
        <f>'Orderformular Color Kids'!D69</f>
        <v>Kids</v>
      </c>
      <c r="E63" s="97">
        <f>'Orderformular Color Kids'!E69</f>
        <v>0</v>
      </c>
      <c r="F63" s="97">
        <f>'Orderformular Color Kids'!F69</f>
        <v>0</v>
      </c>
      <c r="G63" s="97">
        <f>'Orderformular Color Kids'!G69</f>
        <v>0</v>
      </c>
      <c r="H63" s="97">
        <f>'Orderformular Color Kids'!H69</f>
        <v>0</v>
      </c>
      <c r="I63" s="97">
        <f>'Orderformular Color Kids'!I69</f>
        <v>0</v>
      </c>
      <c r="J63" s="97">
        <f>'Orderformular Color Kids'!J69</f>
        <v>0</v>
      </c>
      <c r="K63" s="97">
        <f>'Orderformular Color Kids'!K69</f>
        <v>0</v>
      </c>
      <c r="L63" s="97">
        <f>'Orderformular Color Kids'!L69</f>
        <v>0</v>
      </c>
      <c r="M63" s="97">
        <f>'Orderformular Color Kids'!M69</f>
        <v>0</v>
      </c>
      <c r="N63" s="97">
        <f>'Orderformular Color Kids'!N69</f>
        <v>0</v>
      </c>
      <c r="O63" s="97">
        <f>'Orderformular Color Kids'!O69</f>
        <v>0</v>
      </c>
      <c r="P63" s="97">
        <f>'Orderformular Color Kids'!P69</f>
        <v>0</v>
      </c>
      <c r="Q63" s="97">
        <f>'Orderformular Color Kids'!Q69</f>
        <v>0</v>
      </c>
      <c r="R63" s="97">
        <f>'Orderformular Color Kids'!R69</f>
        <v>0</v>
      </c>
      <c r="S63" s="98">
        <f t="shared" si="0"/>
        <v>0</v>
      </c>
      <c r="T63" s="109">
        <f>'Orderformular Color Kids'!U69</f>
        <v>29.9</v>
      </c>
    </row>
    <row r="64" spans="1:20" ht="15" customHeight="1" x14ac:dyDescent="0.25">
      <c r="A64" s="110">
        <f>'Orderformular Color Kids'!A70</f>
        <v>6534</v>
      </c>
      <c r="B64" s="106" t="str">
        <f>'Orderformular Color Kids'!B70</f>
        <v>Anonymized Item 70</v>
      </c>
      <c r="C64" s="106" t="str">
        <f>'Orderformular Color Kids'!C70</f>
        <v>Anonymized 7721 Dress Blues</v>
      </c>
      <c r="D64" s="108" t="str">
        <f>'Orderformular Color Kids'!D70</f>
        <v>Kids</v>
      </c>
      <c r="E64" s="97">
        <f>'Orderformular Color Kids'!E70</f>
        <v>0</v>
      </c>
      <c r="F64" s="97">
        <f>'Orderformular Color Kids'!F70</f>
        <v>0</v>
      </c>
      <c r="G64" s="97">
        <f>'Orderformular Color Kids'!G70</f>
        <v>0</v>
      </c>
      <c r="H64" s="97">
        <f>'Orderformular Color Kids'!H70</f>
        <v>0</v>
      </c>
      <c r="I64" s="97">
        <f>'Orderformular Color Kids'!I70</f>
        <v>0</v>
      </c>
      <c r="J64" s="97">
        <f>'Orderformular Color Kids'!J70</f>
        <v>0</v>
      </c>
      <c r="K64" s="97">
        <f>'Orderformular Color Kids'!K70</f>
        <v>0</v>
      </c>
      <c r="L64" s="97">
        <f>'Orderformular Color Kids'!L70</f>
        <v>0</v>
      </c>
      <c r="M64" s="97">
        <f>'Orderformular Color Kids'!M70</f>
        <v>0</v>
      </c>
      <c r="N64" s="97">
        <f>'Orderformular Color Kids'!N70</f>
        <v>0</v>
      </c>
      <c r="O64" s="97">
        <f>'Orderformular Color Kids'!O70</f>
        <v>0</v>
      </c>
      <c r="P64" s="97">
        <f>'Orderformular Color Kids'!P70</f>
        <v>0</v>
      </c>
      <c r="Q64" s="97">
        <f>'Orderformular Color Kids'!Q70</f>
        <v>0</v>
      </c>
      <c r="R64" s="97">
        <f>'Orderformular Color Kids'!R70</f>
        <v>0</v>
      </c>
      <c r="S64" s="98">
        <f t="shared" si="0"/>
        <v>0</v>
      </c>
      <c r="T64" s="109">
        <f>'Orderformular Color Kids'!U70</f>
        <v>29.9</v>
      </c>
    </row>
    <row r="65" spans="1:20" ht="15" customHeight="1" x14ac:dyDescent="0.25">
      <c r="A65" s="110">
        <f>'Orderformular Color Kids'!A71</f>
        <v>6722</v>
      </c>
      <c r="B65" s="106" t="str">
        <f>'Orderformular Color Kids'!B71</f>
        <v>Anonymized Item 71</v>
      </c>
      <c r="C65" s="106" t="str">
        <f>'Orderformular Color Kids'!C71</f>
        <v>Anonymized 535 Festival Fuchsia</v>
      </c>
      <c r="D65" s="108" t="str">
        <f>'Orderformular Color Kids'!D71</f>
        <v>Kids</v>
      </c>
      <c r="E65" s="97">
        <f>'Orderformular Color Kids'!E71</f>
        <v>0</v>
      </c>
      <c r="F65" s="97">
        <f>'Orderformular Color Kids'!F71</f>
        <v>0</v>
      </c>
      <c r="G65" s="97">
        <f>'Orderformular Color Kids'!G71</f>
        <v>0</v>
      </c>
      <c r="H65" s="97">
        <f>'Orderformular Color Kids'!H71</f>
        <v>0</v>
      </c>
      <c r="I65" s="97">
        <f>'Orderformular Color Kids'!I71</f>
        <v>0</v>
      </c>
      <c r="J65" s="97">
        <f>'Orderformular Color Kids'!J71</f>
        <v>0</v>
      </c>
      <c r="K65" s="97">
        <f>'Orderformular Color Kids'!K71</f>
        <v>0</v>
      </c>
      <c r="L65" s="97">
        <f>'Orderformular Color Kids'!L71</f>
        <v>0</v>
      </c>
      <c r="M65" s="97">
        <f>'Orderformular Color Kids'!M71</f>
        <v>0</v>
      </c>
      <c r="N65" s="97">
        <f>'Orderformular Color Kids'!N71</f>
        <v>0</v>
      </c>
      <c r="O65" s="97">
        <f>'Orderformular Color Kids'!O71</f>
        <v>0</v>
      </c>
      <c r="P65" s="97">
        <f>'Orderformular Color Kids'!P71</f>
        <v>0</v>
      </c>
      <c r="Q65" s="97">
        <f>'Orderformular Color Kids'!Q71</f>
        <v>0</v>
      </c>
      <c r="R65" s="97">
        <f>'Orderformular Color Kids'!R71</f>
        <v>0</v>
      </c>
      <c r="S65" s="98">
        <f t="shared" si="0"/>
        <v>0</v>
      </c>
      <c r="T65" s="109">
        <f>'Orderformular Color Kids'!U71</f>
        <v>69.900000000000006</v>
      </c>
    </row>
    <row r="66" spans="1:20" ht="15" customHeight="1" x14ac:dyDescent="0.25">
      <c r="A66" s="110">
        <f>'Orderformular Color Kids'!A72</f>
        <v>6722</v>
      </c>
      <c r="B66" s="106" t="str">
        <f>'Orderformular Color Kids'!B72</f>
        <v>Anonymized Item 72</v>
      </c>
      <c r="C66" s="106" t="str">
        <f>'Orderformular Color Kids'!C72</f>
        <v>Anonymized 870 Total Eclipse</v>
      </c>
      <c r="D66" s="108" t="str">
        <f>'Orderformular Color Kids'!D72</f>
        <v>Kids</v>
      </c>
      <c r="E66" s="97">
        <f>'Orderformular Color Kids'!E72</f>
        <v>0</v>
      </c>
      <c r="F66" s="97">
        <f>'Orderformular Color Kids'!F72</f>
        <v>0</v>
      </c>
      <c r="G66" s="97">
        <f>'Orderformular Color Kids'!G72</f>
        <v>0</v>
      </c>
      <c r="H66" s="97">
        <f>'Orderformular Color Kids'!H72</f>
        <v>0</v>
      </c>
      <c r="I66" s="97">
        <f>'Orderformular Color Kids'!I72</f>
        <v>0</v>
      </c>
      <c r="J66" s="97">
        <f>'Orderformular Color Kids'!J72</f>
        <v>0</v>
      </c>
      <c r="K66" s="97">
        <f>'Orderformular Color Kids'!K72</f>
        <v>0</v>
      </c>
      <c r="L66" s="97">
        <f>'Orderformular Color Kids'!L72</f>
        <v>0</v>
      </c>
      <c r="M66" s="97">
        <f>'Orderformular Color Kids'!M72</f>
        <v>0</v>
      </c>
      <c r="N66" s="97">
        <f>'Orderformular Color Kids'!N72</f>
        <v>0</v>
      </c>
      <c r="O66" s="97">
        <f>'Orderformular Color Kids'!O72</f>
        <v>0</v>
      </c>
      <c r="P66" s="97">
        <f>'Orderformular Color Kids'!P72</f>
        <v>0</v>
      </c>
      <c r="Q66" s="97">
        <f>'Orderformular Color Kids'!Q72</f>
        <v>0</v>
      </c>
      <c r="R66" s="97">
        <f>'Orderformular Color Kids'!R72</f>
        <v>0</v>
      </c>
      <c r="S66" s="98">
        <f t="shared" si="0"/>
        <v>0</v>
      </c>
      <c r="T66" s="109">
        <f>'Orderformular Color Kids'!U72</f>
        <v>69.900000000000006</v>
      </c>
    </row>
    <row r="67" spans="1:20" ht="15" customHeight="1" x14ac:dyDescent="0.25">
      <c r="A67" s="110">
        <f>'Orderformular Color Kids'!A73</f>
        <v>6846</v>
      </c>
      <c r="B67" s="106" t="str">
        <f>'Orderformular Color Kids'!B73</f>
        <v>Anonymized Item 73</v>
      </c>
      <c r="C67" s="106" t="str">
        <f>'Orderformular Color Kids'!C73</f>
        <v>Anonymized 5005 Foxglove</v>
      </c>
      <c r="D67" s="108" t="str">
        <f>'Orderformular Color Kids'!D73</f>
        <v>Kids</v>
      </c>
      <c r="E67" s="97">
        <f>'Orderformular Color Kids'!E73</f>
        <v>0</v>
      </c>
      <c r="F67" s="97">
        <f>'Orderformular Color Kids'!F73</f>
        <v>0</v>
      </c>
      <c r="G67" s="97">
        <f>'Orderformular Color Kids'!G73</f>
        <v>0</v>
      </c>
      <c r="H67" s="97">
        <f>'Orderformular Color Kids'!H73</f>
        <v>0</v>
      </c>
      <c r="I67" s="97">
        <f>'Orderformular Color Kids'!I73</f>
        <v>0</v>
      </c>
      <c r="J67" s="97">
        <f>'Orderformular Color Kids'!J73</f>
        <v>0</v>
      </c>
      <c r="K67" s="97">
        <f>'Orderformular Color Kids'!K73</f>
        <v>0</v>
      </c>
      <c r="L67" s="97">
        <f>'Orderformular Color Kids'!L73</f>
        <v>0</v>
      </c>
      <c r="M67" s="97">
        <f>'Orderformular Color Kids'!M73</f>
        <v>0</v>
      </c>
      <c r="N67" s="97">
        <f>'Orderformular Color Kids'!N73</f>
        <v>0</v>
      </c>
      <c r="O67" s="97">
        <f>'Orderformular Color Kids'!O73</f>
        <v>0</v>
      </c>
      <c r="P67" s="97">
        <f>'Orderformular Color Kids'!P73</f>
        <v>0</v>
      </c>
      <c r="Q67" s="97">
        <f>'Orderformular Color Kids'!Q73</f>
        <v>0</v>
      </c>
      <c r="R67" s="97">
        <f>'Orderformular Color Kids'!R73</f>
        <v>0</v>
      </c>
      <c r="S67" s="98">
        <f t="shared" si="0"/>
        <v>0</v>
      </c>
      <c r="T67" s="109">
        <f>'Orderformular Color Kids'!U73</f>
        <v>45.9</v>
      </c>
    </row>
    <row r="68" spans="1:20" ht="15" customHeight="1" x14ac:dyDescent="0.25">
      <c r="A68" s="110">
        <f>'Orderformular Color Kids'!A74</f>
        <v>6846</v>
      </c>
      <c r="B68" s="106" t="str">
        <f>'Orderformular Color Kids'!B74</f>
        <v>Anonymized Item 74</v>
      </c>
      <c r="C68" s="106" t="str">
        <f>'Orderformular Color Kids'!C74</f>
        <v>Anonymized 7548 Windward Blue</v>
      </c>
      <c r="D68" s="108" t="str">
        <f>'Orderformular Color Kids'!D74</f>
        <v>Kids</v>
      </c>
      <c r="E68" s="97">
        <f>'Orderformular Color Kids'!E74</f>
        <v>0</v>
      </c>
      <c r="F68" s="97">
        <f>'Orderformular Color Kids'!F74</f>
        <v>0</v>
      </c>
      <c r="G68" s="97">
        <f>'Orderformular Color Kids'!G74</f>
        <v>0</v>
      </c>
      <c r="H68" s="97">
        <f>'Orderformular Color Kids'!H74</f>
        <v>0</v>
      </c>
      <c r="I68" s="97">
        <f>'Orderformular Color Kids'!I74</f>
        <v>0</v>
      </c>
      <c r="J68" s="97">
        <f>'Orderformular Color Kids'!J74</f>
        <v>0</v>
      </c>
      <c r="K68" s="97">
        <f>'Orderformular Color Kids'!K74</f>
        <v>0</v>
      </c>
      <c r="L68" s="97">
        <f>'Orderformular Color Kids'!L74</f>
        <v>0</v>
      </c>
      <c r="M68" s="97">
        <f>'Orderformular Color Kids'!M74</f>
        <v>0</v>
      </c>
      <c r="N68" s="97">
        <f>'Orderformular Color Kids'!N74</f>
        <v>0</v>
      </c>
      <c r="O68" s="97">
        <f>'Orderformular Color Kids'!O74</f>
        <v>0</v>
      </c>
      <c r="P68" s="97">
        <f>'Orderformular Color Kids'!P74</f>
        <v>0</v>
      </c>
      <c r="Q68" s="97">
        <f>'Orderformular Color Kids'!Q74</f>
        <v>0</v>
      </c>
      <c r="R68" s="97">
        <f>'Orderformular Color Kids'!R74</f>
        <v>0</v>
      </c>
      <c r="S68" s="98">
        <f t="shared" si="0"/>
        <v>0</v>
      </c>
      <c r="T68" s="109">
        <f>'Orderformular Color Kids'!U74</f>
        <v>45.9</v>
      </c>
    </row>
    <row r="69" spans="1:20" ht="15" customHeight="1" x14ac:dyDescent="0.25">
      <c r="A69" s="110">
        <f>'Orderformular Color Kids'!A75</f>
        <v>6847</v>
      </c>
      <c r="B69" s="106" t="str">
        <f>'Orderformular Color Kids'!B75</f>
        <v>Anonymized Item 75</v>
      </c>
      <c r="C69" s="106" t="str">
        <f>'Orderformular Color Kids'!C75</f>
        <v>Anonymized 1880 Ebony</v>
      </c>
      <c r="D69" s="108" t="str">
        <f>'Orderformular Color Kids'!D75</f>
        <v>Kids</v>
      </c>
      <c r="E69" s="97">
        <f>'Orderformular Color Kids'!E75</f>
        <v>0</v>
      </c>
      <c r="F69" s="97">
        <f>'Orderformular Color Kids'!F75</f>
        <v>0</v>
      </c>
      <c r="G69" s="97">
        <f>'Orderformular Color Kids'!G75</f>
        <v>0</v>
      </c>
      <c r="H69" s="97">
        <f>'Orderformular Color Kids'!H75</f>
        <v>0</v>
      </c>
      <c r="I69" s="97">
        <f>'Orderformular Color Kids'!I75</f>
        <v>0</v>
      </c>
      <c r="J69" s="97">
        <f>'Orderformular Color Kids'!J75</f>
        <v>0</v>
      </c>
      <c r="K69" s="97">
        <f>'Orderformular Color Kids'!K75</f>
        <v>0</v>
      </c>
      <c r="L69" s="97">
        <f>'Orderformular Color Kids'!L75</f>
        <v>0</v>
      </c>
      <c r="M69" s="97">
        <f>'Orderformular Color Kids'!M75</f>
        <v>0</v>
      </c>
      <c r="N69" s="97">
        <f>'Orderformular Color Kids'!N75</f>
        <v>0</v>
      </c>
      <c r="O69" s="97">
        <f>'Orderformular Color Kids'!O75</f>
        <v>0</v>
      </c>
      <c r="P69" s="97">
        <f>'Orderformular Color Kids'!P75</f>
        <v>0</v>
      </c>
      <c r="Q69" s="97">
        <f>'Orderformular Color Kids'!Q75</f>
        <v>0</v>
      </c>
      <c r="R69" s="97">
        <f>'Orderformular Color Kids'!R75</f>
        <v>0</v>
      </c>
      <c r="S69" s="98">
        <f t="shared" si="0"/>
        <v>0</v>
      </c>
      <c r="T69" s="109">
        <f>'Orderformular Color Kids'!U75</f>
        <v>39.9</v>
      </c>
    </row>
    <row r="70" spans="1:20" ht="15" customHeight="1" x14ac:dyDescent="0.25">
      <c r="A70" s="110">
        <f>'Orderformular Color Kids'!A76</f>
        <v>6847</v>
      </c>
      <c r="B70" s="106" t="str">
        <f>'Orderformular Color Kids'!B76</f>
        <v>Anonymized Item 76</v>
      </c>
      <c r="C70" s="106" t="str">
        <f>'Orderformular Color Kids'!C76</f>
        <v>Anonymized 3957 Spectra Yellow</v>
      </c>
      <c r="D70" s="108" t="str">
        <f>'Orderformular Color Kids'!D76</f>
        <v>Kids</v>
      </c>
      <c r="E70" s="97">
        <f>'Orderformular Color Kids'!E76</f>
        <v>0</v>
      </c>
      <c r="F70" s="97">
        <f>'Orderformular Color Kids'!F76</f>
        <v>0</v>
      </c>
      <c r="G70" s="97">
        <f>'Orderformular Color Kids'!G76</f>
        <v>0</v>
      </c>
      <c r="H70" s="97">
        <f>'Orderformular Color Kids'!H76</f>
        <v>0</v>
      </c>
      <c r="I70" s="97">
        <f>'Orderformular Color Kids'!I76</f>
        <v>0</v>
      </c>
      <c r="J70" s="97">
        <f>'Orderformular Color Kids'!J76</f>
        <v>0</v>
      </c>
      <c r="K70" s="97">
        <f>'Orderformular Color Kids'!K76</f>
        <v>0</v>
      </c>
      <c r="L70" s="97">
        <f>'Orderformular Color Kids'!L76</f>
        <v>0</v>
      </c>
      <c r="M70" s="97">
        <f>'Orderformular Color Kids'!M76</f>
        <v>0</v>
      </c>
      <c r="N70" s="97">
        <f>'Orderformular Color Kids'!N76</f>
        <v>0</v>
      </c>
      <c r="O70" s="97">
        <f>'Orderformular Color Kids'!O76</f>
        <v>0</v>
      </c>
      <c r="P70" s="97">
        <f>'Orderformular Color Kids'!P76</f>
        <v>0</v>
      </c>
      <c r="Q70" s="97">
        <f>'Orderformular Color Kids'!Q76</f>
        <v>0</v>
      </c>
      <c r="R70" s="97">
        <f>'Orderformular Color Kids'!R76</f>
        <v>0</v>
      </c>
      <c r="S70" s="98">
        <f t="shared" si="0"/>
        <v>0</v>
      </c>
      <c r="T70" s="109">
        <f>'Orderformular Color Kids'!U76</f>
        <v>39.9</v>
      </c>
    </row>
    <row r="71" spans="1:20" ht="15" customHeight="1" x14ac:dyDescent="0.25">
      <c r="A71" s="110">
        <f>'Orderformular Color Kids'!A77</f>
        <v>6847</v>
      </c>
      <c r="B71" s="106" t="str">
        <f>'Orderformular Color Kids'!B77</f>
        <v>Anonymized Item 77</v>
      </c>
      <c r="C71" s="106" t="str">
        <f>'Orderformular Color Kids'!C77</f>
        <v>Anonymized 5005 Foxglove</v>
      </c>
      <c r="D71" s="108" t="str">
        <f>'Orderformular Color Kids'!D77</f>
        <v>Kids</v>
      </c>
      <c r="E71" s="97">
        <f>'Orderformular Color Kids'!E77</f>
        <v>0</v>
      </c>
      <c r="F71" s="97">
        <f>'Orderformular Color Kids'!F77</f>
        <v>0</v>
      </c>
      <c r="G71" s="97">
        <f>'Orderformular Color Kids'!G77</f>
        <v>0</v>
      </c>
      <c r="H71" s="97">
        <f>'Orderformular Color Kids'!H77</f>
        <v>0</v>
      </c>
      <c r="I71" s="97">
        <f>'Orderformular Color Kids'!I77</f>
        <v>0</v>
      </c>
      <c r="J71" s="97">
        <f>'Orderformular Color Kids'!J77</f>
        <v>0</v>
      </c>
      <c r="K71" s="97">
        <f>'Orderformular Color Kids'!K77</f>
        <v>0</v>
      </c>
      <c r="L71" s="97">
        <f>'Orderformular Color Kids'!L77</f>
        <v>0</v>
      </c>
      <c r="M71" s="97">
        <f>'Orderformular Color Kids'!M77</f>
        <v>0</v>
      </c>
      <c r="N71" s="97">
        <f>'Orderformular Color Kids'!N77</f>
        <v>0</v>
      </c>
      <c r="O71" s="97">
        <f>'Orderformular Color Kids'!O77</f>
        <v>0</v>
      </c>
      <c r="P71" s="97">
        <f>'Orderformular Color Kids'!P77</f>
        <v>0</v>
      </c>
      <c r="Q71" s="97">
        <f>'Orderformular Color Kids'!Q77</f>
        <v>0</v>
      </c>
      <c r="R71" s="97">
        <f>'Orderformular Color Kids'!R77</f>
        <v>0</v>
      </c>
      <c r="S71" s="98">
        <f t="shared" si="0"/>
        <v>0</v>
      </c>
      <c r="T71" s="109">
        <f>'Orderformular Color Kids'!U77</f>
        <v>39.9</v>
      </c>
    </row>
    <row r="72" spans="1:20" ht="15" customHeight="1" x14ac:dyDescent="0.25">
      <c r="A72" s="110">
        <f>'Orderformular Color Kids'!A78</f>
        <v>6847</v>
      </c>
      <c r="B72" s="106" t="str">
        <f>'Orderformular Color Kids'!B78</f>
        <v>Anonymized Item 78</v>
      </c>
      <c r="C72" s="106" t="str">
        <f>'Orderformular Color Kids'!C78</f>
        <v>Anonymized 6716 Purple Rose</v>
      </c>
      <c r="D72" s="108" t="str">
        <f>'Orderformular Color Kids'!D78</f>
        <v>Kids</v>
      </c>
      <c r="E72" s="97">
        <f>'Orderformular Color Kids'!E78</f>
        <v>0</v>
      </c>
      <c r="F72" s="97">
        <f>'Orderformular Color Kids'!F78</f>
        <v>0</v>
      </c>
      <c r="G72" s="97">
        <f>'Orderformular Color Kids'!G78</f>
        <v>0</v>
      </c>
      <c r="H72" s="97">
        <f>'Orderformular Color Kids'!H78</f>
        <v>0</v>
      </c>
      <c r="I72" s="97">
        <f>'Orderformular Color Kids'!I78</f>
        <v>0</v>
      </c>
      <c r="J72" s="97">
        <f>'Orderformular Color Kids'!J78</f>
        <v>0</v>
      </c>
      <c r="K72" s="97">
        <f>'Orderformular Color Kids'!K78</f>
        <v>0</v>
      </c>
      <c r="L72" s="97">
        <f>'Orderformular Color Kids'!L78</f>
        <v>0</v>
      </c>
      <c r="M72" s="97">
        <f>'Orderformular Color Kids'!M78</f>
        <v>0</v>
      </c>
      <c r="N72" s="97">
        <f>'Orderformular Color Kids'!N78</f>
        <v>0</v>
      </c>
      <c r="O72" s="97">
        <f>'Orderformular Color Kids'!O78</f>
        <v>0</v>
      </c>
      <c r="P72" s="97">
        <f>'Orderformular Color Kids'!P78</f>
        <v>0</v>
      </c>
      <c r="Q72" s="97">
        <f>'Orderformular Color Kids'!Q78</f>
        <v>0</v>
      </c>
      <c r="R72" s="97">
        <f>'Orderformular Color Kids'!R78</f>
        <v>0</v>
      </c>
      <c r="S72" s="98">
        <f t="shared" si="0"/>
        <v>0</v>
      </c>
      <c r="T72" s="109">
        <f>'Orderformular Color Kids'!U78</f>
        <v>39.9</v>
      </c>
    </row>
    <row r="73" spans="1:20" ht="15" customHeight="1" x14ac:dyDescent="0.25">
      <c r="A73" s="110">
        <f>'Orderformular Color Kids'!A79</f>
        <v>6847</v>
      </c>
      <c r="B73" s="106" t="str">
        <f>'Orderformular Color Kids'!B79</f>
        <v>Anonymized Item 79</v>
      </c>
      <c r="C73" s="106" t="str">
        <f>'Orderformular Color Kids'!C79</f>
        <v>Anonymized 7548 Windward Blue</v>
      </c>
      <c r="D73" s="108" t="str">
        <f>'Orderformular Color Kids'!D79</f>
        <v>Kids</v>
      </c>
      <c r="E73" s="97">
        <f>'Orderformular Color Kids'!E79</f>
        <v>0</v>
      </c>
      <c r="F73" s="97">
        <f>'Orderformular Color Kids'!F79</f>
        <v>0</v>
      </c>
      <c r="G73" s="97">
        <f>'Orderformular Color Kids'!G79</f>
        <v>0</v>
      </c>
      <c r="H73" s="97">
        <f>'Orderformular Color Kids'!H79</f>
        <v>0</v>
      </c>
      <c r="I73" s="97">
        <f>'Orderformular Color Kids'!I79</f>
        <v>0</v>
      </c>
      <c r="J73" s="97">
        <f>'Orderformular Color Kids'!J79</f>
        <v>0</v>
      </c>
      <c r="K73" s="97">
        <f>'Orderformular Color Kids'!K79</f>
        <v>0</v>
      </c>
      <c r="L73" s="97">
        <f>'Orderformular Color Kids'!L79</f>
        <v>0</v>
      </c>
      <c r="M73" s="97">
        <f>'Orderformular Color Kids'!M79</f>
        <v>0</v>
      </c>
      <c r="N73" s="97">
        <f>'Orderformular Color Kids'!N79</f>
        <v>0</v>
      </c>
      <c r="O73" s="97">
        <f>'Orderformular Color Kids'!O79</f>
        <v>0</v>
      </c>
      <c r="P73" s="97">
        <f>'Orderformular Color Kids'!P79</f>
        <v>0</v>
      </c>
      <c r="Q73" s="97">
        <f>'Orderformular Color Kids'!Q79</f>
        <v>0</v>
      </c>
      <c r="R73" s="97">
        <f>'Orderformular Color Kids'!R79</f>
        <v>0</v>
      </c>
      <c r="S73" s="98">
        <f t="shared" si="0"/>
        <v>0</v>
      </c>
      <c r="T73" s="109">
        <f>'Orderformular Color Kids'!U79</f>
        <v>39.9</v>
      </c>
    </row>
    <row r="74" spans="1:20" ht="15" customHeight="1" x14ac:dyDescent="0.25">
      <c r="A74" s="110">
        <f>'Orderformular Color Kids'!A80</f>
        <v>6847</v>
      </c>
      <c r="B74" s="106" t="str">
        <f>'Orderformular Color Kids'!B80</f>
        <v>Anonymized Item 80</v>
      </c>
      <c r="C74" s="106" t="str">
        <f>'Orderformular Color Kids'!C80</f>
        <v>Anonymized 9304 Jadeite</v>
      </c>
      <c r="D74" s="108" t="str">
        <f>'Orderformular Color Kids'!D80</f>
        <v>Kids</v>
      </c>
      <c r="E74" s="97">
        <f>'Orderformular Color Kids'!E80</f>
        <v>0</v>
      </c>
      <c r="F74" s="97">
        <f>'Orderformular Color Kids'!F80</f>
        <v>0</v>
      </c>
      <c r="G74" s="97">
        <f>'Orderformular Color Kids'!G80</f>
        <v>0</v>
      </c>
      <c r="H74" s="97">
        <f>'Orderformular Color Kids'!H80</f>
        <v>0</v>
      </c>
      <c r="I74" s="97">
        <f>'Orderformular Color Kids'!I80</f>
        <v>0</v>
      </c>
      <c r="J74" s="97">
        <f>'Orderformular Color Kids'!J80</f>
        <v>0</v>
      </c>
      <c r="K74" s="97">
        <f>'Orderformular Color Kids'!K80</f>
        <v>0</v>
      </c>
      <c r="L74" s="97">
        <f>'Orderformular Color Kids'!L80</f>
        <v>0</v>
      </c>
      <c r="M74" s="97">
        <f>'Orderformular Color Kids'!M80</f>
        <v>0</v>
      </c>
      <c r="N74" s="97">
        <f>'Orderformular Color Kids'!N80</f>
        <v>0</v>
      </c>
      <c r="O74" s="97">
        <f>'Orderformular Color Kids'!O80</f>
        <v>0</v>
      </c>
      <c r="P74" s="97">
        <f>'Orderformular Color Kids'!P80</f>
        <v>0</v>
      </c>
      <c r="Q74" s="97">
        <f>'Orderformular Color Kids'!Q80</f>
        <v>0</v>
      </c>
      <c r="R74" s="97">
        <f>'Orderformular Color Kids'!R80</f>
        <v>0</v>
      </c>
      <c r="S74" s="98">
        <f t="shared" si="0"/>
        <v>0</v>
      </c>
      <c r="T74" s="109">
        <f>'Orderformular Color Kids'!U80</f>
        <v>39.9</v>
      </c>
    </row>
    <row r="75" spans="1:20" ht="15" customHeight="1" x14ac:dyDescent="0.25">
      <c r="A75" s="110">
        <f>'Orderformular Color Kids'!A81</f>
        <v>6848</v>
      </c>
      <c r="B75" s="106" t="str">
        <f>'Orderformular Color Kids'!B81</f>
        <v>Anonymized Item 81</v>
      </c>
      <c r="C75" s="106" t="str">
        <f>'Orderformular Color Kids'!C81</f>
        <v>Anonymized 1880 Ebony</v>
      </c>
      <c r="D75" s="108" t="str">
        <f>'Orderformular Color Kids'!D81</f>
        <v>Kids</v>
      </c>
      <c r="E75" s="97">
        <f>'Orderformular Color Kids'!E81</f>
        <v>0</v>
      </c>
      <c r="F75" s="97">
        <f>'Orderformular Color Kids'!F81</f>
        <v>0</v>
      </c>
      <c r="G75" s="97">
        <f>'Orderformular Color Kids'!G81</f>
        <v>0</v>
      </c>
      <c r="H75" s="97">
        <f>'Orderformular Color Kids'!H81</f>
        <v>0</v>
      </c>
      <c r="I75" s="97">
        <f>'Orderformular Color Kids'!I81</f>
        <v>0</v>
      </c>
      <c r="J75" s="97">
        <f>'Orderformular Color Kids'!J81</f>
        <v>0</v>
      </c>
      <c r="K75" s="97">
        <f>'Orderformular Color Kids'!K81</f>
        <v>0</v>
      </c>
      <c r="L75" s="97">
        <f>'Orderformular Color Kids'!L81</f>
        <v>0</v>
      </c>
      <c r="M75" s="97">
        <f>'Orderformular Color Kids'!M81</f>
        <v>0</v>
      </c>
      <c r="N75" s="97">
        <f>'Orderformular Color Kids'!N81</f>
        <v>0</v>
      </c>
      <c r="O75" s="97">
        <f>'Orderformular Color Kids'!O81</f>
        <v>0</v>
      </c>
      <c r="P75" s="97">
        <f>'Orderformular Color Kids'!P81</f>
        <v>0</v>
      </c>
      <c r="Q75" s="97">
        <f>'Orderformular Color Kids'!Q81</f>
        <v>0</v>
      </c>
      <c r="R75" s="97">
        <f>'Orderformular Color Kids'!R81</f>
        <v>0</v>
      </c>
      <c r="S75" s="98">
        <f t="shared" si="0"/>
        <v>0</v>
      </c>
      <c r="T75" s="109">
        <f>'Orderformular Color Kids'!U81</f>
        <v>29.9</v>
      </c>
    </row>
    <row r="76" spans="1:20" ht="15" customHeight="1" x14ac:dyDescent="0.25">
      <c r="A76" s="110">
        <f>'Orderformular Color Kids'!A82</f>
        <v>6848</v>
      </c>
      <c r="B76" s="106" t="str">
        <f>'Orderformular Color Kids'!B82</f>
        <v>Anonymized Item 82</v>
      </c>
      <c r="C76" s="106" t="str">
        <f>'Orderformular Color Kids'!C82</f>
        <v>Anonymized 3957 Spectra Yellow</v>
      </c>
      <c r="D76" s="108" t="str">
        <f>'Orderformular Color Kids'!D82</f>
        <v>Kids</v>
      </c>
      <c r="E76" s="97">
        <f>'Orderformular Color Kids'!E82</f>
        <v>0</v>
      </c>
      <c r="F76" s="97">
        <f>'Orderformular Color Kids'!F82</f>
        <v>0</v>
      </c>
      <c r="G76" s="97">
        <f>'Orderformular Color Kids'!G82</f>
        <v>0</v>
      </c>
      <c r="H76" s="97">
        <f>'Orderformular Color Kids'!H82</f>
        <v>0</v>
      </c>
      <c r="I76" s="97">
        <f>'Orderformular Color Kids'!I82</f>
        <v>0</v>
      </c>
      <c r="J76" s="97">
        <f>'Orderformular Color Kids'!J82</f>
        <v>0</v>
      </c>
      <c r="K76" s="97">
        <f>'Orderformular Color Kids'!K82</f>
        <v>0</v>
      </c>
      <c r="L76" s="97">
        <f>'Orderformular Color Kids'!L82</f>
        <v>0</v>
      </c>
      <c r="M76" s="97">
        <f>'Orderformular Color Kids'!M82</f>
        <v>0</v>
      </c>
      <c r="N76" s="97">
        <f>'Orderformular Color Kids'!N82</f>
        <v>0</v>
      </c>
      <c r="O76" s="97">
        <f>'Orderformular Color Kids'!O82</f>
        <v>0</v>
      </c>
      <c r="P76" s="97">
        <f>'Orderformular Color Kids'!P82</f>
        <v>0</v>
      </c>
      <c r="Q76" s="97">
        <f>'Orderformular Color Kids'!Q82</f>
        <v>0</v>
      </c>
      <c r="R76" s="97">
        <f>'Orderformular Color Kids'!R82</f>
        <v>0</v>
      </c>
      <c r="S76" s="98">
        <f t="shared" ref="S76:S139" si="1">SUM(E76:R76)</f>
        <v>0</v>
      </c>
      <c r="T76" s="109">
        <f>'Orderformular Color Kids'!U82</f>
        <v>29.9</v>
      </c>
    </row>
    <row r="77" spans="1:20" ht="15" customHeight="1" x14ac:dyDescent="0.25">
      <c r="A77" s="110">
        <f>'Orderformular Color Kids'!A83</f>
        <v>6848</v>
      </c>
      <c r="B77" s="106" t="str">
        <f>'Orderformular Color Kids'!B83</f>
        <v>Anonymized Item 83</v>
      </c>
      <c r="C77" s="106" t="str">
        <f>'Orderformular Color Kids'!C83</f>
        <v>Anonymized 5005 Foxglove</v>
      </c>
      <c r="D77" s="108" t="str">
        <f>'Orderformular Color Kids'!D83</f>
        <v>Kids</v>
      </c>
      <c r="E77" s="97">
        <f>'Orderformular Color Kids'!E83</f>
        <v>0</v>
      </c>
      <c r="F77" s="97">
        <f>'Orderformular Color Kids'!F83</f>
        <v>0</v>
      </c>
      <c r="G77" s="97">
        <f>'Orderformular Color Kids'!G83</f>
        <v>0</v>
      </c>
      <c r="H77" s="97">
        <f>'Orderformular Color Kids'!H83</f>
        <v>0</v>
      </c>
      <c r="I77" s="97">
        <f>'Orderformular Color Kids'!I83</f>
        <v>0</v>
      </c>
      <c r="J77" s="97">
        <f>'Orderformular Color Kids'!J83</f>
        <v>0</v>
      </c>
      <c r="K77" s="97">
        <f>'Orderformular Color Kids'!K83</f>
        <v>0</v>
      </c>
      <c r="L77" s="97">
        <f>'Orderformular Color Kids'!L83</f>
        <v>0</v>
      </c>
      <c r="M77" s="97">
        <f>'Orderformular Color Kids'!M83</f>
        <v>0</v>
      </c>
      <c r="N77" s="97">
        <f>'Orderformular Color Kids'!N83</f>
        <v>0</v>
      </c>
      <c r="O77" s="97">
        <f>'Orderformular Color Kids'!O83</f>
        <v>0</v>
      </c>
      <c r="P77" s="97">
        <f>'Orderformular Color Kids'!P83</f>
        <v>0</v>
      </c>
      <c r="Q77" s="97">
        <f>'Orderformular Color Kids'!Q83</f>
        <v>0</v>
      </c>
      <c r="R77" s="97">
        <f>'Orderformular Color Kids'!R83</f>
        <v>0</v>
      </c>
      <c r="S77" s="98">
        <f t="shared" si="1"/>
        <v>0</v>
      </c>
      <c r="T77" s="109">
        <f>'Orderformular Color Kids'!U83</f>
        <v>29.9</v>
      </c>
    </row>
    <row r="78" spans="1:20" ht="15" customHeight="1" x14ac:dyDescent="0.25">
      <c r="A78" s="110">
        <f>'Orderformular Color Kids'!A84</f>
        <v>6848</v>
      </c>
      <c r="B78" s="106" t="str">
        <f>'Orderformular Color Kids'!B84</f>
        <v>Anonymized Item 84</v>
      </c>
      <c r="C78" s="106" t="str">
        <f>'Orderformular Color Kids'!C84</f>
        <v>Anonymized 6716 Purple Rose</v>
      </c>
      <c r="D78" s="108" t="str">
        <f>'Orderformular Color Kids'!D84</f>
        <v>Kids</v>
      </c>
      <c r="E78" s="97">
        <f>'Orderformular Color Kids'!E84</f>
        <v>0</v>
      </c>
      <c r="F78" s="97">
        <f>'Orderformular Color Kids'!F84</f>
        <v>0</v>
      </c>
      <c r="G78" s="97">
        <f>'Orderformular Color Kids'!G84</f>
        <v>0</v>
      </c>
      <c r="H78" s="97">
        <f>'Orderformular Color Kids'!H84</f>
        <v>0</v>
      </c>
      <c r="I78" s="97">
        <f>'Orderformular Color Kids'!I84</f>
        <v>0</v>
      </c>
      <c r="J78" s="97">
        <f>'Orderformular Color Kids'!J84</f>
        <v>0</v>
      </c>
      <c r="K78" s="97">
        <f>'Orderformular Color Kids'!K84</f>
        <v>0</v>
      </c>
      <c r="L78" s="97">
        <f>'Orderformular Color Kids'!L84</f>
        <v>0</v>
      </c>
      <c r="M78" s="97">
        <f>'Orderformular Color Kids'!M84</f>
        <v>0</v>
      </c>
      <c r="N78" s="97">
        <f>'Orderformular Color Kids'!N84</f>
        <v>0</v>
      </c>
      <c r="O78" s="97">
        <f>'Orderformular Color Kids'!O84</f>
        <v>0</v>
      </c>
      <c r="P78" s="97">
        <f>'Orderformular Color Kids'!P84</f>
        <v>0</v>
      </c>
      <c r="Q78" s="97">
        <f>'Orderformular Color Kids'!Q84</f>
        <v>0</v>
      </c>
      <c r="R78" s="97">
        <f>'Orderformular Color Kids'!R84</f>
        <v>0</v>
      </c>
      <c r="S78" s="98">
        <f t="shared" si="1"/>
        <v>0</v>
      </c>
      <c r="T78" s="109">
        <f>'Orderformular Color Kids'!U84</f>
        <v>29.9</v>
      </c>
    </row>
    <row r="79" spans="1:20" ht="15" customHeight="1" x14ac:dyDescent="0.25">
      <c r="A79" s="110">
        <f>'Orderformular Color Kids'!A85</f>
        <v>6848</v>
      </c>
      <c r="B79" s="106" t="str">
        <f>'Orderformular Color Kids'!B85</f>
        <v>Anonymized Item 85</v>
      </c>
      <c r="C79" s="106" t="str">
        <f>'Orderformular Color Kids'!C85</f>
        <v>Anonymized 7548 Windward Blue</v>
      </c>
      <c r="D79" s="108" t="str">
        <f>'Orderformular Color Kids'!D85</f>
        <v>Kids</v>
      </c>
      <c r="E79" s="97">
        <f>'Orderformular Color Kids'!E85</f>
        <v>0</v>
      </c>
      <c r="F79" s="97">
        <f>'Orderformular Color Kids'!F85</f>
        <v>0</v>
      </c>
      <c r="G79" s="97">
        <f>'Orderformular Color Kids'!G85</f>
        <v>0</v>
      </c>
      <c r="H79" s="97">
        <f>'Orderformular Color Kids'!H85</f>
        <v>0</v>
      </c>
      <c r="I79" s="97">
        <f>'Orderformular Color Kids'!I85</f>
        <v>0</v>
      </c>
      <c r="J79" s="97">
        <f>'Orderformular Color Kids'!J85</f>
        <v>0</v>
      </c>
      <c r="K79" s="97">
        <f>'Orderformular Color Kids'!K85</f>
        <v>0</v>
      </c>
      <c r="L79" s="97">
        <f>'Orderformular Color Kids'!L85</f>
        <v>0</v>
      </c>
      <c r="M79" s="97">
        <f>'Orderformular Color Kids'!M85</f>
        <v>0</v>
      </c>
      <c r="N79" s="97">
        <f>'Orderformular Color Kids'!N85</f>
        <v>0</v>
      </c>
      <c r="O79" s="97">
        <f>'Orderformular Color Kids'!O85</f>
        <v>0</v>
      </c>
      <c r="P79" s="97">
        <f>'Orderformular Color Kids'!P85</f>
        <v>0</v>
      </c>
      <c r="Q79" s="97">
        <f>'Orderformular Color Kids'!Q85</f>
        <v>0</v>
      </c>
      <c r="R79" s="97">
        <f>'Orderformular Color Kids'!R85</f>
        <v>0</v>
      </c>
      <c r="S79" s="98">
        <f t="shared" si="1"/>
        <v>0</v>
      </c>
      <c r="T79" s="109">
        <f>'Orderformular Color Kids'!U85</f>
        <v>29.9</v>
      </c>
    </row>
    <row r="80" spans="1:20" ht="15" customHeight="1" x14ac:dyDescent="0.25">
      <c r="A80" s="110">
        <f>'Orderformular Color Kids'!A86</f>
        <v>6848</v>
      </c>
      <c r="B80" s="106" t="str">
        <f>'Orderformular Color Kids'!B86</f>
        <v>Anonymized Item 86</v>
      </c>
      <c r="C80" s="106" t="str">
        <f>'Orderformular Color Kids'!C86</f>
        <v>Anonymized 9304 Jadeite</v>
      </c>
      <c r="D80" s="108" t="str">
        <f>'Orderformular Color Kids'!D86</f>
        <v>Kids</v>
      </c>
      <c r="E80" s="97">
        <f>'Orderformular Color Kids'!E86</f>
        <v>0</v>
      </c>
      <c r="F80" s="97">
        <f>'Orderformular Color Kids'!F86</f>
        <v>0</v>
      </c>
      <c r="G80" s="97">
        <f>'Orderformular Color Kids'!G86</f>
        <v>0</v>
      </c>
      <c r="H80" s="97">
        <f>'Orderformular Color Kids'!H86</f>
        <v>0</v>
      </c>
      <c r="I80" s="97">
        <f>'Orderformular Color Kids'!I86</f>
        <v>0</v>
      </c>
      <c r="J80" s="97">
        <f>'Orderformular Color Kids'!J86</f>
        <v>0</v>
      </c>
      <c r="K80" s="97">
        <f>'Orderformular Color Kids'!K86</f>
        <v>0</v>
      </c>
      <c r="L80" s="97">
        <f>'Orderformular Color Kids'!L86</f>
        <v>0</v>
      </c>
      <c r="M80" s="97">
        <f>'Orderformular Color Kids'!M86</f>
        <v>0</v>
      </c>
      <c r="N80" s="97">
        <f>'Orderformular Color Kids'!N86</f>
        <v>0</v>
      </c>
      <c r="O80" s="97">
        <f>'Orderformular Color Kids'!O86</f>
        <v>0</v>
      </c>
      <c r="P80" s="97">
        <f>'Orderformular Color Kids'!P86</f>
        <v>0</v>
      </c>
      <c r="Q80" s="97">
        <f>'Orderformular Color Kids'!Q86</f>
        <v>0</v>
      </c>
      <c r="R80" s="97">
        <f>'Orderformular Color Kids'!R86</f>
        <v>0</v>
      </c>
      <c r="S80" s="98">
        <f t="shared" si="1"/>
        <v>0</v>
      </c>
      <c r="T80" s="109">
        <f>'Orderformular Color Kids'!U86</f>
        <v>29.9</v>
      </c>
    </row>
    <row r="81" spans="1:20" ht="15" customHeight="1" x14ac:dyDescent="0.25">
      <c r="A81" s="110">
        <f>'Orderformular Color Kids'!A87</f>
        <v>6849</v>
      </c>
      <c r="B81" s="106" t="str">
        <f>'Orderformular Color Kids'!B87</f>
        <v>Anonymized Item 87</v>
      </c>
      <c r="C81" s="106" t="str">
        <f>'Orderformular Color Kids'!C87</f>
        <v>Anonymized 1880 Ebony</v>
      </c>
      <c r="D81" s="108" t="str">
        <f>'Orderformular Color Kids'!D87</f>
        <v>Kids</v>
      </c>
      <c r="E81" s="97">
        <f>'Orderformular Color Kids'!E87</f>
        <v>0</v>
      </c>
      <c r="F81" s="97">
        <f>'Orderformular Color Kids'!F87</f>
        <v>0</v>
      </c>
      <c r="G81" s="97">
        <f>'Orderformular Color Kids'!G87</f>
        <v>0</v>
      </c>
      <c r="H81" s="97">
        <f>'Orderformular Color Kids'!H87</f>
        <v>0</v>
      </c>
      <c r="I81" s="97">
        <f>'Orderformular Color Kids'!I87</f>
        <v>0</v>
      </c>
      <c r="J81" s="97">
        <f>'Orderformular Color Kids'!J87</f>
        <v>0</v>
      </c>
      <c r="K81" s="97">
        <f>'Orderformular Color Kids'!K87</f>
        <v>0</v>
      </c>
      <c r="L81" s="97">
        <f>'Orderformular Color Kids'!L87</f>
        <v>0</v>
      </c>
      <c r="M81" s="97">
        <f>'Orderformular Color Kids'!M87</f>
        <v>0</v>
      </c>
      <c r="N81" s="97">
        <f>'Orderformular Color Kids'!N87</f>
        <v>0</v>
      </c>
      <c r="O81" s="97">
        <f>'Orderformular Color Kids'!O87</f>
        <v>0</v>
      </c>
      <c r="P81" s="97">
        <f>'Orderformular Color Kids'!P87</f>
        <v>0</v>
      </c>
      <c r="Q81" s="97">
        <f>'Orderformular Color Kids'!Q87</f>
        <v>0</v>
      </c>
      <c r="R81" s="97">
        <f>'Orderformular Color Kids'!R87</f>
        <v>0</v>
      </c>
      <c r="S81" s="98">
        <f t="shared" si="1"/>
        <v>0</v>
      </c>
      <c r="T81" s="109">
        <f>'Orderformular Color Kids'!U87</f>
        <v>27.9</v>
      </c>
    </row>
    <row r="82" spans="1:20" ht="15" customHeight="1" x14ac:dyDescent="0.25">
      <c r="A82" s="110">
        <f>'Orderformular Color Kids'!A88</f>
        <v>6850</v>
      </c>
      <c r="B82" s="106" t="str">
        <f>'Orderformular Color Kids'!B88</f>
        <v>Anonymized Item 88</v>
      </c>
      <c r="C82" s="106" t="str">
        <f>'Orderformular Color Kids'!C88</f>
        <v>Anonymized 1880 Ebony</v>
      </c>
      <c r="D82" s="108" t="str">
        <f>'Orderformular Color Kids'!D88</f>
        <v>Mittens</v>
      </c>
      <c r="E82" s="97">
        <f>'Orderformular Color Kids'!E88</f>
        <v>0</v>
      </c>
      <c r="F82" s="97">
        <f>'Orderformular Color Kids'!F88</f>
        <v>0</v>
      </c>
      <c r="G82" s="97">
        <f>'Orderformular Color Kids'!G88</f>
        <v>0</v>
      </c>
      <c r="H82" s="97">
        <f>'Orderformular Color Kids'!H88</f>
        <v>0</v>
      </c>
      <c r="I82" s="97">
        <f>'Orderformular Color Kids'!I88</f>
        <v>0</v>
      </c>
      <c r="J82" s="97">
        <f>'Orderformular Color Kids'!J88</f>
        <v>0</v>
      </c>
      <c r="K82" s="97">
        <f>'Orderformular Color Kids'!K88</f>
        <v>0</v>
      </c>
      <c r="L82" s="97">
        <f>'Orderformular Color Kids'!L88</f>
        <v>0</v>
      </c>
      <c r="M82" s="97">
        <f>'Orderformular Color Kids'!M88</f>
        <v>0</v>
      </c>
      <c r="N82" s="97">
        <f>'Orderformular Color Kids'!N88</f>
        <v>0</v>
      </c>
      <c r="O82" s="97">
        <f>'Orderformular Color Kids'!O88</f>
        <v>0</v>
      </c>
      <c r="P82" s="97">
        <f>'Orderformular Color Kids'!P88</f>
        <v>0</v>
      </c>
      <c r="Q82" s="97">
        <f>'Orderformular Color Kids'!Q88</f>
        <v>0</v>
      </c>
      <c r="R82" s="97">
        <f>'Orderformular Color Kids'!R88</f>
        <v>0</v>
      </c>
      <c r="S82" s="98">
        <f t="shared" si="1"/>
        <v>0</v>
      </c>
      <c r="T82" s="109">
        <f>'Orderformular Color Kids'!U88</f>
        <v>19.899999999999999</v>
      </c>
    </row>
    <row r="83" spans="1:20" ht="15" customHeight="1" x14ac:dyDescent="0.25">
      <c r="A83" s="110">
        <f>'Orderformular Color Kids'!A89</f>
        <v>6850</v>
      </c>
      <c r="B83" s="106" t="str">
        <f>'Orderformular Color Kids'!B89</f>
        <v>Anonymized Item 89</v>
      </c>
      <c r="C83" s="106" t="str">
        <f>'Orderformular Color Kids'!C89</f>
        <v>Anonymized 3957 Spectra Yellow</v>
      </c>
      <c r="D83" s="108" t="str">
        <f>'Orderformular Color Kids'!D89</f>
        <v>Mittens</v>
      </c>
      <c r="E83" s="97">
        <f>'Orderformular Color Kids'!E89</f>
        <v>0</v>
      </c>
      <c r="F83" s="97">
        <f>'Orderformular Color Kids'!F89</f>
        <v>0</v>
      </c>
      <c r="G83" s="97">
        <f>'Orderformular Color Kids'!G89</f>
        <v>0</v>
      </c>
      <c r="H83" s="97">
        <f>'Orderformular Color Kids'!H89</f>
        <v>0</v>
      </c>
      <c r="I83" s="97">
        <f>'Orderformular Color Kids'!I89</f>
        <v>0</v>
      </c>
      <c r="J83" s="97">
        <f>'Orderformular Color Kids'!J89</f>
        <v>0</v>
      </c>
      <c r="K83" s="97">
        <f>'Orderformular Color Kids'!K89</f>
        <v>0</v>
      </c>
      <c r="L83" s="97">
        <f>'Orderformular Color Kids'!L89</f>
        <v>0</v>
      </c>
      <c r="M83" s="97">
        <f>'Orderformular Color Kids'!M89</f>
        <v>0</v>
      </c>
      <c r="N83" s="97">
        <f>'Orderformular Color Kids'!N89</f>
        <v>0</v>
      </c>
      <c r="O83" s="97">
        <f>'Orderformular Color Kids'!O89</f>
        <v>0</v>
      </c>
      <c r="P83" s="97">
        <f>'Orderformular Color Kids'!P89</f>
        <v>0</v>
      </c>
      <c r="Q83" s="97">
        <f>'Orderformular Color Kids'!Q89</f>
        <v>0</v>
      </c>
      <c r="R83" s="97">
        <f>'Orderformular Color Kids'!R89</f>
        <v>0</v>
      </c>
      <c r="S83" s="98">
        <f t="shared" si="1"/>
        <v>0</v>
      </c>
      <c r="T83" s="109">
        <f>'Orderformular Color Kids'!U89</f>
        <v>19.899999999999999</v>
      </c>
    </row>
    <row r="84" spans="1:20" ht="15" customHeight="1" x14ac:dyDescent="0.25">
      <c r="A84" s="110">
        <f>'Orderformular Color Kids'!A90</f>
        <v>6850</v>
      </c>
      <c r="B84" s="106" t="str">
        <f>'Orderformular Color Kids'!B90</f>
        <v>Anonymized Item 90</v>
      </c>
      <c r="C84" s="106" t="str">
        <f>'Orderformular Color Kids'!C90</f>
        <v>Anonymized 5005 Foxglove</v>
      </c>
      <c r="D84" s="108" t="str">
        <f>'Orderformular Color Kids'!D90</f>
        <v>Mittens</v>
      </c>
      <c r="E84" s="97">
        <f>'Orderformular Color Kids'!E90</f>
        <v>0</v>
      </c>
      <c r="F84" s="97">
        <f>'Orderformular Color Kids'!F90</f>
        <v>0</v>
      </c>
      <c r="G84" s="97">
        <f>'Orderformular Color Kids'!G90</f>
        <v>0</v>
      </c>
      <c r="H84" s="97">
        <f>'Orderformular Color Kids'!H90</f>
        <v>0</v>
      </c>
      <c r="I84" s="97">
        <f>'Orderformular Color Kids'!I90</f>
        <v>0</v>
      </c>
      <c r="J84" s="97">
        <f>'Orderformular Color Kids'!J90</f>
        <v>0</v>
      </c>
      <c r="K84" s="97">
        <f>'Orderformular Color Kids'!K90</f>
        <v>0</v>
      </c>
      <c r="L84" s="97">
        <f>'Orderformular Color Kids'!L90</f>
        <v>0</v>
      </c>
      <c r="M84" s="97">
        <f>'Orderformular Color Kids'!M90</f>
        <v>0</v>
      </c>
      <c r="N84" s="97">
        <f>'Orderformular Color Kids'!N90</f>
        <v>0</v>
      </c>
      <c r="O84" s="97">
        <f>'Orderformular Color Kids'!O90</f>
        <v>0</v>
      </c>
      <c r="P84" s="97">
        <f>'Orderformular Color Kids'!P90</f>
        <v>0</v>
      </c>
      <c r="Q84" s="97">
        <f>'Orderformular Color Kids'!Q90</f>
        <v>0</v>
      </c>
      <c r="R84" s="97">
        <f>'Orderformular Color Kids'!R90</f>
        <v>0</v>
      </c>
      <c r="S84" s="98">
        <f t="shared" si="1"/>
        <v>0</v>
      </c>
      <c r="T84" s="109">
        <f>'Orderformular Color Kids'!U90</f>
        <v>19.899999999999999</v>
      </c>
    </row>
    <row r="85" spans="1:20" ht="15" customHeight="1" x14ac:dyDescent="0.25">
      <c r="A85" s="110">
        <f>'Orderformular Color Kids'!A91</f>
        <v>6850</v>
      </c>
      <c r="B85" s="106" t="str">
        <f>'Orderformular Color Kids'!B91</f>
        <v>Anonymized Item 91</v>
      </c>
      <c r="C85" s="106" t="str">
        <f>'Orderformular Color Kids'!C91</f>
        <v>Anonymized 6716 Purple Rose</v>
      </c>
      <c r="D85" s="108" t="str">
        <f>'Orderformular Color Kids'!D91</f>
        <v>Mittens</v>
      </c>
      <c r="E85" s="97">
        <f>'Orderformular Color Kids'!E91</f>
        <v>0</v>
      </c>
      <c r="F85" s="97">
        <f>'Orderformular Color Kids'!F91</f>
        <v>0</v>
      </c>
      <c r="G85" s="97">
        <f>'Orderformular Color Kids'!G91</f>
        <v>0</v>
      </c>
      <c r="H85" s="97">
        <f>'Orderformular Color Kids'!H91</f>
        <v>0</v>
      </c>
      <c r="I85" s="97">
        <f>'Orderformular Color Kids'!I91</f>
        <v>0</v>
      </c>
      <c r="J85" s="97">
        <f>'Orderformular Color Kids'!J91</f>
        <v>0</v>
      </c>
      <c r="K85" s="97">
        <f>'Orderformular Color Kids'!K91</f>
        <v>0</v>
      </c>
      <c r="L85" s="97">
        <f>'Orderformular Color Kids'!L91</f>
        <v>0</v>
      </c>
      <c r="M85" s="97">
        <f>'Orderformular Color Kids'!M91</f>
        <v>0</v>
      </c>
      <c r="N85" s="97">
        <f>'Orderformular Color Kids'!N91</f>
        <v>0</v>
      </c>
      <c r="O85" s="97">
        <f>'Orderformular Color Kids'!O91</f>
        <v>0</v>
      </c>
      <c r="P85" s="97">
        <f>'Orderformular Color Kids'!P91</f>
        <v>0</v>
      </c>
      <c r="Q85" s="97">
        <f>'Orderformular Color Kids'!Q91</f>
        <v>0</v>
      </c>
      <c r="R85" s="97">
        <f>'Orderformular Color Kids'!R91</f>
        <v>0</v>
      </c>
      <c r="S85" s="98">
        <f t="shared" si="1"/>
        <v>0</v>
      </c>
      <c r="T85" s="109">
        <f>'Orderformular Color Kids'!U91</f>
        <v>19.899999999999999</v>
      </c>
    </row>
    <row r="86" spans="1:20" ht="15" customHeight="1" x14ac:dyDescent="0.25">
      <c r="A86" s="110">
        <f>'Orderformular Color Kids'!A92</f>
        <v>6850</v>
      </c>
      <c r="B86" s="106" t="str">
        <f>'Orderformular Color Kids'!B92</f>
        <v>Anonymized Item 92</v>
      </c>
      <c r="C86" s="106" t="str">
        <f>'Orderformular Color Kids'!C92</f>
        <v>Anonymized 7548 Windward Blue</v>
      </c>
      <c r="D86" s="108" t="str">
        <f>'Orderformular Color Kids'!D92</f>
        <v>Mittens</v>
      </c>
      <c r="E86" s="97">
        <f>'Orderformular Color Kids'!E92</f>
        <v>0</v>
      </c>
      <c r="F86" s="97">
        <f>'Orderformular Color Kids'!F92</f>
        <v>0</v>
      </c>
      <c r="G86" s="97">
        <f>'Orderformular Color Kids'!G92</f>
        <v>0</v>
      </c>
      <c r="H86" s="97">
        <f>'Orderformular Color Kids'!H92</f>
        <v>0</v>
      </c>
      <c r="I86" s="97">
        <f>'Orderformular Color Kids'!I92</f>
        <v>0</v>
      </c>
      <c r="J86" s="97">
        <f>'Orderformular Color Kids'!J92</f>
        <v>0</v>
      </c>
      <c r="K86" s="97">
        <f>'Orderformular Color Kids'!K92</f>
        <v>0</v>
      </c>
      <c r="L86" s="97">
        <f>'Orderformular Color Kids'!L92</f>
        <v>0</v>
      </c>
      <c r="M86" s="97">
        <f>'Orderformular Color Kids'!M92</f>
        <v>0</v>
      </c>
      <c r="N86" s="97">
        <f>'Orderformular Color Kids'!N92</f>
        <v>0</v>
      </c>
      <c r="O86" s="97">
        <f>'Orderformular Color Kids'!O92</f>
        <v>0</v>
      </c>
      <c r="P86" s="97">
        <f>'Orderformular Color Kids'!P92</f>
        <v>0</v>
      </c>
      <c r="Q86" s="97">
        <f>'Orderformular Color Kids'!Q92</f>
        <v>0</v>
      </c>
      <c r="R86" s="97">
        <f>'Orderformular Color Kids'!R92</f>
        <v>0</v>
      </c>
      <c r="S86" s="98">
        <f t="shared" si="1"/>
        <v>0</v>
      </c>
      <c r="T86" s="109">
        <f>'Orderformular Color Kids'!U92</f>
        <v>19.899999999999999</v>
      </c>
    </row>
    <row r="87" spans="1:20" ht="15" customHeight="1" x14ac:dyDescent="0.25">
      <c r="A87" s="110">
        <f>'Orderformular Color Kids'!A93</f>
        <v>6850</v>
      </c>
      <c r="B87" s="106" t="str">
        <f>'Orderformular Color Kids'!B93</f>
        <v>Anonymized Item 93</v>
      </c>
      <c r="C87" s="106" t="str">
        <f>'Orderformular Color Kids'!C93</f>
        <v>Anonymized 9304 Jadeite</v>
      </c>
      <c r="D87" s="108" t="str">
        <f>'Orderformular Color Kids'!D93</f>
        <v>Mittens</v>
      </c>
      <c r="E87" s="97">
        <f>'Orderformular Color Kids'!E93</f>
        <v>0</v>
      </c>
      <c r="F87" s="97">
        <f>'Orderformular Color Kids'!F93</f>
        <v>0</v>
      </c>
      <c r="G87" s="97">
        <f>'Orderformular Color Kids'!G93</f>
        <v>0</v>
      </c>
      <c r="H87" s="97">
        <f>'Orderformular Color Kids'!H93</f>
        <v>0</v>
      </c>
      <c r="I87" s="97">
        <f>'Orderformular Color Kids'!I93</f>
        <v>0</v>
      </c>
      <c r="J87" s="97">
        <f>'Orderformular Color Kids'!J93</f>
        <v>0</v>
      </c>
      <c r="K87" s="97">
        <f>'Orderformular Color Kids'!K93</f>
        <v>0</v>
      </c>
      <c r="L87" s="97">
        <f>'Orderformular Color Kids'!L93</f>
        <v>0</v>
      </c>
      <c r="M87" s="97">
        <f>'Orderformular Color Kids'!M93</f>
        <v>0</v>
      </c>
      <c r="N87" s="97">
        <f>'Orderformular Color Kids'!N93</f>
        <v>0</v>
      </c>
      <c r="O87" s="97">
        <f>'Orderformular Color Kids'!O93</f>
        <v>0</v>
      </c>
      <c r="P87" s="97">
        <f>'Orderformular Color Kids'!P93</f>
        <v>0</v>
      </c>
      <c r="Q87" s="97">
        <f>'Orderformular Color Kids'!Q93</f>
        <v>0</v>
      </c>
      <c r="R87" s="97">
        <f>'Orderformular Color Kids'!R93</f>
        <v>0</v>
      </c>
      <c r="S87" s="98">
        <f t="shared" si="1"/>
        <v>0</v>
      </c>
      <c r="T87" s="109">
        <f>'Orderformular Color Kids'!U93</f>
        <v>19.899999999999999</v>
      </c>
    </row>
    <row r="88" spans="1:20" ht="15" customHeight="1" x14ac:dyDescent="0.25">
      <c r="A88" s="110">
        <f>'Orderformular Color Kids'!A94</f>
        <v>6851</v>
      </c>
      <c r="B88" s="106" t="str">
        <f>'Orderformular Color Kids'!B94</f>
        <v>Anonymized Item 94</v>
      </c>
      <c r="C88" s="106" t="str">
        <f>'Orderformular Color Kids'!C94</f>
        <v>Anonymized 3957 Spectra Yellow</v>
      </c>
      <c r="D88" s="108" t="str">
        <f>'Orderformular Color Kids'!D94</f>
        <v>Shoes 20-31</v>
      </c>
      <c r="E88" s="97">
        <f>'Orderformular Color Kids'!E94</f>
        <v>0</v>
      </c>
      <c r="F88" s="97">
        <f>'Orderformular Color Kids'!F94</f>
        <v>0</v>
      </c>
      <c r="G88" s="97">
        <f>'Orderformular Color Kids'!G94</f>
        <v>0</v>
      </c>
      <c r="H88" s="97">
        <f>'Orderformular Color Kids'!H94</f>
        <v>0</v>
      </c>
      <c r="I88" s="97">
        <f>'Orderformular Color Kids'!I94</f>
        <v>0</v>
      </c>
      <c r="J88" s="97">
        <f>'Orderformular Color Kids'!J94</f>
        <v>0</v>
      </c>
      <c r="K88" s="97">
        <f>'Orderformular Color Kids'!K94</f>
        <v>0</v>
      </c>
      <c r="L88" s="97">
        <f>'Orderformular Color Kids'!L94</f>
        <v>0</v>
      </c>
      <c r="M88" s="97">
        <f>'Orderformular Color Kids'!M94</f>
        <v>0</v>
      </c>
      <c r="N88" s="97">
        <f>'Orderformular Color Kids'!N94</f>
        <v>0</v>
      </c>
      <c r="O88" s="97">
        <f>'Orderformular Color Kids'!O94</f>
        <v>0</v>
      </c>
      <c r="P88" s="97">
        <f>'Orderformular Color Kids'!P94</f>
        <v>0</v>
      </c>
      <c r="Q88" s="97">
        <f>'Orderformular Color Kids'!Q94</f>
        <v>0</v>
      </c>
      <c r="R88" s="97">
        <f>'Orderformular Color Kids'!R94</f>
        <v>0</v>
      </c>
      <c r="S88" s="98">
        <f t="shared" si="1"/>
        <v>0</v>
      </c>
      <c r="T88" s="109">
        <f>'Orderformular Color Kids'!U94</f>
        <v>39.9</v>
      </c>
    </row>
    <row r="89" spans="1:20" ht="15" customHeight="1" x14ac:dyDescent="0.25">
      <c r="A89" s="110">
        <f>'Orderformular Color Kids'!A95</f>
        <v>6851</v>
      </c>
      <c r="B89" s="106" t="str">
        <f>'Orderformular Color Kids'!B95</f>
        <v>Anonymized Item 95</v>
      </c>
      <c r="C89" s="106" t="str">
        <f>'Orderformular Color Kids'!C95</f>
        <v>Anonymized 3957 Spectra Yellow</v>
      </c>
      <c r="D89" s="108" t="str">
        <f>'Orderformular Color Kids'!D95</f>
        <v>Shoes 32-41</v>
      </c>
      <c r="E89" s="97">
        <f>'Orderformular Color Kids'!E95</f>
        <v>0</v>
      </c>
      <c r="F89" s="97">
        <f>'Orderformular Color Kids'!F95</f>
        <v>0</v>
      </c>
      <c r="G89" s="97">
        <f>'Orderformular Color Kids'!G95</f>
        <v>0</v>
      </c>
      <c r="H89" s="97">
        <f>'Orderformular Color Kids'!H95</f>
        <v>0</v>
      </c>
      <c r="I89" s="97">
        <f>'Orderformular Color Kids'!I95</f>
        <v>0</v>
      </c>
      <c r="J89" s="97">
        <f>'Orderformular Color Kids'!J95</f>
        <v>0</v>
      </c>
      <c r="K89" s="97">
        <f>'Orderformular Color Kids'!K95</f>
        <v>0</v>
      </c>
      <c r="L89" s="97">
        <f>'Orderformular Color Kids'!L95</f>
        <v>0</v>
      </c>
      <c r="M89" s="97">
        <f>'Orderformular Color Kids'!M95</f>
        <v>0</v>
      </c>
      <c r="N89" s="97">
        <f>'Orderformular Color Kids'!N95</f>
        <v>0</v>
      </c>
      <c r="O89" s="97">
        <f>'Orderformular Color Kids'!O95</f>
        <v>0</v>
      </c>
      <c r="P89" s="97">
        <f>'Orderformular Color Kids'!P95</f>
        <v>0</v>
      </c>
      <c r="Q89" s="97">
        <f>'Orderformular Color Kids'!Q95</f>
        <v>0</v>
      </c>
      <c r="R89" s="97">
        <f>'Orderformular Color Kids'!R95</f>
        <v>0</v>
      </c>
      <c r="S89" s="98">
        <f t="shared" si="1"/>
        <v>0</v>
      </c>
      <c r="T89" s="109">
        <f>'Orderformular Color Kids'!U95</f>
        <v>39.9</v>
      </c>
    </row>
    <row r="90" spans="1:20" ht="15" customHeight="1" x14ac:dyDescent="0.25">
      <c r="A90" s="110">
        <f>'Orderformular Color Kids'!A96</f>
        <v>6851</v>
      </c>
      <c r="B90" s="106" t="str">
        <f>'Orderformular Color Kids'!B96</f>
        <v>Anonymized Item 96</v>
      </c>
      <c r="C90" s="106" t="str">
        <f>'Orderformular Color Kids'!C96</f>
        <v>Anonymized 5005 Foxglove</v>
      </c>
      <c r="D90" s="108" t="str">
        <f>'Orderformular Color Kids'!D96</f>
        <v>Shoes 20-31</v>
      </c>
      <c r="E90" s="97">
        <f>'Orderformular Color Kids'!E96</f>
        <v>0</v>
      </c>
      <c r="F90" s="97">
        <f>'Orderformular Color Kids'!F96</f>
        <v>0</v>
      </c>
      <c r="G90" s="97">
        <f>'Orderformular Color Kids'!G96</f>
        <v>0</v>
      </c>
      <c r="H90" s="97">
        <f>'Orderformular Color Kids'!H96</f>
        <v>0</v>
      </c>
      <c r="I90" s="97">
        <f>'Orderformular Color Kids'!I96</f>
        <v>0</v>
      </c>
      <c r="J90" s="97">
        <f>'Orderformular Color Kids'!J96</f>
        <v>0</v>
      </c>
      <c r="K90" s="97">
        <f>'Orderformular Color Kids'!K96</f>
        <v>0</v>
      </c>
      <c r="L90" s="97">
        <f>'Orderformular Color Kids'!L96</f>
        <v>0</v>
      </c>
      <c r="M90" s="97">
        <f>'Orderformular Color Kids'!M96</f>
        <v>0</v>
      </c>
      <c r="N90" s="97">
        <f>'Orderformular Color Kids'!N96</f>
        <v>0</v>
      </c>
      <c r="O90" s="97">
        <f>'Orderformular Color Kids'!O96</f>
        <v>0</v>
      </c>
      <c r="P90" s="97">
        <f>'Orderformular Color Kids'!P96</f>
        <v>0</v>
      </c>
      <c r="Q90" s="97">
        <f>'Orderformular Color Kids'!Q96</f>
        <v>0</v>
      </c>
      <c r="R90" s="97">
        <f>'Orderformular Color Kids'!R96</f>
        <v>0</v>
      </c>
      <c r="S90" s="98">
        <f t="shared" si="1"/>
        <v>0</v>
      </c>
      <c r="T90" s="109">
        <f>'Orderformular Color Kids'!U96</f>
        <v>39.9</v>
      </c>
    </row>
    <row r="91" spans="1:20" ht="15" customHeight="1" x14ac:dyDescent="0.25">
      <c r="A91" s="110">
        <f>'Orderformular Color Kids'!A97</f>
        <v>6851</v>
      </c>
      <c r="B91" s="106" t="str">
        <f>'Orderformular Color Kids'!B97</f>
        <v>Anonymized Item 97</v>
      </c>
      <c r="C91" s="106" t="str">
        <f>'Orderformular Color Kids'!C97</f>
        <v>Anonymized 5005 Foxglove</v>
      </c>
      <c r="D91" s="108" t="str">
        <f>'Orderformular Color Kids'!D97</f>
        <v>Shoes 32-41</v>
      </c>
      <c r="E91" s="97">
        <f>'Orderformular Color Kids'!E97</f>
        <v>0</v>
      </c>
      <c r="F91" s="97">
        <f>'Orderformular Color Kids'!F97</f>
        <v>0</v>
      </c>
      <c r="G91" s="97">
        <f>'Orderformular Color Kids'!G97</f>
        <v>0</v>
      </c>
      <c r="H91" s="97">
        <f>'Orderformular Color Kids'!H97</f>
        <v>0</v>
      </c>
      <c r="I91" s="97">
        <f>'Orderformular Color Kids'!I97</f>
        <v>0</v>
      </c>
      <c r="J91" s="97">
        <f>'Orderformular Color Kids'!J97</f>
        <v>0</v>
      </c>
      <c r="K91" s="97">
        <f>'Orderformular Color Kids'!K97</f>
        <v>0</v>
      </c>
      <c r="L91" s="97">
        <f>'Orderformular Color Kids'!L97</f>
        <v>0</v>
      </c>
      <c r="M91" s="97">
        <f>'Orderformular Color Kids'!M97</f>
        <v>0</v>
      </c>
      <c r="N91" s="97">
        <f>'Orderformular Color Kids'!N97</f>
        <v>0</v>
      </c>
      <c r="O91" s="97">
        <f>'Orderformular Color Kids'!O97</f>
        <v>0</v>
      </c>
      <c r="P91" s="97">
        <f>'Orderformular Color Kids'!P97</f>
        <v>0</v>
      </c>
      <c r="Q91" s="97">
        <f>'Orderformular Color Kids'!Q97</f>
        <v>0</v>
      </c>
      <c r="R91" s="97">
        <f>'Orderformular Color Kids'!R97</f>
        <v>0</v>
      </c>
      <c r="S91" s="98">
        <f t="shared" si="1"/>
        <v>0</v>
      </c>
      <c r="T91" s="109">
        <f>'Orderformular Color Kids'!U97</f>
        <v>39.9</v>
      </c>
    </row>
    <row r="92" spans="1:20" ht="15" customHeight="1" x14ac:dyDescent="0.25">
      <c r="A92" s="110">
        <f>'Orderformular Color Kids'!A98</f>
        <v>6851</v>
      </c>
      <c r="B92" s="106" t="str">
        <f>'Orderformular Color Kids'!B98</f>
        <v>Anonymized Item 98</v>
      </c>
      <c r="C92" s="106" t="str">
        <f>'Orderformular Color Kids'!C98</f>
        <v>Anonymized 6716 Purple Rose</v>
      </c>
      <c r="D92" s="108" t="str">
        <f>'Orderformular Color Kids'!D98</f>
        <v>Shoes 20-31</v>
      </c>
      <c r="E92" s="97">
        <f>'Orderformular Color Kids'!E98</f>
        <v>0</v>
      </c>
      <c r="F92" s="97">
        <f>'Orderformular Color Kids'!F98</f>
        <v>0</v>
      </c>
      <c r="G92" s="97">
        <f>'Orderformular Color Kids'!G98</f>
        <v>0</v>
      </c>
      <c r="H92" s="97">
        <f>'Orderformular Color Kids'!H98</f>
        <v>0</v>
      </c>
      <c r="I92" s="97">
        <f>'Orderformular Color Kids'!I98</f>
        <v>0</v>
      </c>
      <c r="J92" s="97">
        <f>'Orderformular Color Kids'!J98</f>
        <v>0</v>
      </c>
      <c r="K92" s="97">
        <f>'Orderformular Color Kids'!K98</f>
        <v>0</v>
      </c>
      <c r="L92" s="97">
        <f>'Orderformular Color Kids'!L98</f>
        <v>0</v>
      </c>
      <c r="M92" s="97">
        <f>'Orderformular Color Kids'!M98</f>
        <v>0</v>
      </c>
      <c r="N92" s="97">
        <f>'Orderformular Color Kids'!N98</f>
        <v>0</v>
      </c>
      <c r="O92" s="97">
        <f>'Orderformular Color Kids'!O98</f>
        <v>0</v>
      </c>
      <c r="P92" s="97">
        <f>'Orderformular Color Kids'!P98</f>
        <v>0</v>
      </c>
      <c r="Q92" s="97">
        <f>'Orderformular Color Kids'!Q98</f>
        <v>0</v>
      </c>
      <c r="R92" s="97">
        <f>'Orderformular Color Kids'!R98</f>
        <v>0</v>
      </c>
      <c r="S92" s="98">
        <f t="shared" si="1"/>
        <v>0</v>
      </c>
      <c r="T92" s="109">
        <f>'Orderformular Color Kids'!U98</f>
        <v>39.9</v>
      </c>
    </row>
    <row r="93" spans="1:20" ht="15" customHeight="1" x14ac:dyDescent="0.25">
      <c r="A93" s="110">
        <f>'Orderformular Color Kids'!A99</f>
        <v>6851</v>
      </c>
      <c r="B93" s="106" t="str">
        <f>'Orderformular Color Kids'!B99</f>
        <v>Anonymized Item 99</v>
      </c>
      <c r="C93" s="106" t="str">
        <f>'Orderformular Color Kids'!C99</f>
        <v>Anonymized 6716 Purple Rose</v>
      </c>
      <c r="D93" s="108" t="str">
        <f>'Orderformular Color Kids'!D99</f>
        <v>Shoes 32-41</v>
      </c>
      <c r="E93" s="97">
        <f>'Orderformular Color Kids'!E99</f>
        <v>0</v>
      </c>
      <c r="F93" s="97">
        <f>'Orderformular Color Kids'!F99</f>
        <v>0</v>
      </c>
      <c r="G93" s="97">
        <f>'Orderformular Color Kids'!G99</f>
        <v>0</v>
      </c>
      <c r="H93" s="97">
        <f>'Orderformular Color Kids'!H99</f>
        <v>0</v>
      </c>
      <c r="I93" s="97">
        <f>'Orderformular Color Kids'!I99</f>
        <v>0</v>
      </c>
      <c r="J93" s="97">
        <f>'Orderformular Color Kids'!J99</f>
        <v>0</v>
      </c>
      <c r="K93" s="97">
        <f>'Orderformular Color Kids'!K99</f>
        <v>0</v>
      </c>
      <c r="L93" s="97">
        <f>'Orderformular Color Kids'!L99</f>
        <v>0</v>
      </c>
      <c r="M93" s="97">
        <f>'Orderformular Color Kids'!M99</f>
        <v>0</v>
      </c>
      <c r="N93" s="97">
        <f>'Orderformular Color Kids'!N99</f>
        <v>0</v>
      </c>
      <c r="O93" s="97">
        <f>'Orderformular Color Kids'!O99</f>
        <v>0</v>
      </c>
      <c r="P93" s="97">
        <f>'Orderformular Color Kids'!P99</f>
        <v>0</v>
      </c>
      <c r="Q93" s="97">
        <f>'Orderformular Color Kids'!Q99</f>
        <v>0</v>
      </c>
      <c r="R93" s="97">
        <f>'Orderformular Color Kids'!R99</f>
        <v>0</v>
      </c>
      <c r="S93" s="98">
        <f t="shared" si="1"/>
        <v>0</v>
      </c>
      <c r="T93" s="109">
        <f>'Orderformular Color Kids'!U99</f>
        <v>39.9</v>
      </c>
    </row>
    <row r="94" spans="1:20" ht="15" customHeight="1" x14ac:dyDescent="0.25">
      <c r="A94" s="110">
        <f>'Orderformular Color Kids'!A100</f>
        <v>6851</v>
      </c>
      <c r="B94" s="106" t="str">
        <f>'Orderformular Color Kids'!B100</f>
        <v>Anonymized Item 100</v>
      </c>
      <c r="C94" s="106" t="str">
        <f>'Orderformular Color Kids'!C100</f>
        <v>Anonymized 7548 Windward Blue</v>
      </c>
      <c r="D94" s="108" t="str">
        <f>'Orderformular Color Kids'!D100</f>
        <v>Shoes 20-31</v>
      </c>
      <c r="E94" s="97">
        <f>'Orderformular Color Kids'!E100</f>
        <v>0</v>
      </c>
      <c r="F94" s="97">
        <f>'Orderformular Color Kids'!F100</f>
        <v>0</v>
      </c>
      <c r="G94" s="97">
        <f>'Orderformular Color Kids'!G100</f>
        <v>0</v>
      </c>
      <c r="H94" s="97">
        <f>'Orderformular Color Kids'!H100</f>
        <v>0</v>
      </c>
      <c r="I94" s="97">
        <f>'Orderformular Color Kids'!I100</f>
        <v>0</v>
      </c>
      <c r="J94" s="97">
        <f>'Orderformular Color Kids'!J100</f>
        <v>0</v>
      </c>
      <c r="K94" s="97">
        <f>'Orderformular Color Kids'!K100</f>
        <v>0</v>
      </c>
      <c r="L94" s="97">
        <f>'Orderformular Color Kids'!L100</f>
        <v>0</v>
      </c>
      <c r="M94" s="97">
        <f>'Orderformular Color Kids'!M100</f>
        <v>0</v>
      </c>
      <c r="N94" s="97">
        <f>'Orderformular Color Kids'!N100</f>
        <v>0</v>
      </c>
      <c r="O94" s="97">
        <f>'Orderformular Color Kids'!O100</f>
        <v>0</v>
      </c>
      <c r="P94" s="97">
        <f>'Orderformular Color Kids'!P100</f>
        <v>0</v>
      </c>
      <c r="Q94" s="97">
        <f>'Orderformular Color Kids'!Q100</f>
        <v>0</v>
      </c>
      <c r="R94" s="97">
        <f>'Orderformular Color Kids'!R100</f>
        <v>0</v>
      </c>
      <c r="S94" s="98">
        <f t="shared" si="1"/>
        <v>0</v>
      </c>
      <c r="T94" s="109">
        <f>'Orderformular Color Kids'!U100</f>
        <v>39.9</v>
      </c>
    </row>
    <row r="95" spans="1:20" ht="15" customHeight="1" x14ac:dyDescent="0.25">
      <c r="A95" s="110">
        <f>'Orderformular Color Kids'!A101</f>
        <v>6851</v>
      </c>
      <c r="B95" s="106" t="str">
        <f>'Orderformular Color Kids'!B101</f>
        <v>Anonymized Item 101</v>
      </c>
      <c r="C95" s="106" t="str">
        <f>'Orderformular Color Kids'!C101</f>
        <v>Anonymized 7548 Windward Blue</v>
      </c>
      <c r="D95" s="108" t="str">
        <f>'Orderformular Color Kids'!D101</f>
        <v>Shoes 32-41</v>
      </c>
      <c r="E95" s="97">
        <f>'Orderformular Color Kids'!E101</f>
        <v>0</v>
      </c>
      <c r="F95" s="97">
        <f>'Orderformular Color Kids'!F101</f>
        <v>0</v>
      </c>
      <c r="G95" s="97">
        <f>'Orderformular Color Kids'!G101</f>
        <v>0</v>
      </c>
      <c r="H95" s="97">
        <f>'Orderformular Color Kids'!H101</f>
        <v>0</v>
      </c>
      <c r="I95" s="97">
        <f>'Orderformular Color Kids'!I101</f>
        <v>0</v>
      </c>
      <c r="J95" s="97">
        <f>'Orderformular Color Kids'!J101</f>
        <v>0</v>
      </c>
      <c r="K95" s="97">
        <f>'Orderformular Color Kids'!K101</f>
        <v>0</v>
      </c>
      <c r="L95" s="97">
        <f>'Orderformular Color Kids'!L101</f>
        <v>0</v>
      </c>
      <c r="M95" s="97">
        <f>'Orderformular Color Kids'!M101</f>
        <v>0</v>
      </c>
      <c r="N95" s="97">
        <f>'Orderformular Color Kids'!N101</f>
        <v>0</v>
      </c>
      <c r="O95" s="97">
        <f>'Orderformular Color Kids'!O101</f>
        <v>0</v>
      </c>
      <c r="P95" s="97">
        <f>'Orderformular Color Kids'!P101</f>
        <v>0</v>
      </c>
      <c r="Q95" s="97">
        <f>'Orderformular Color Kids'!Q101</f>
        <v>0</v>
      </c>
      <c r="R95" s="97">
        <f>'Orderformular Color Kids'!R101</f>
        <v>0</v>
      </c>
      <c r="S95" s="98">
        <f t="shared" si="1"/>
        <v>0</v>
      </c>
      <c r="T95" s="109">
        <f>'Orderformular Color Kids'!U101</f>
        <v>39.9</v>
      </c>
    </row>
    <row r="96" spans="1:20" ht="15" customHeight="1" x14ac:dyDescent="0.25">
      <c r="A96" s="110">
        <f>'Orderformular Color Kids'!A102</f>
        <v>6851</v>
      </c>
      <c r="B96" s="106" t="str">
        <f>'Orderformular Color Kids'!B102</f>
        <v>Anonymized Item 102</v>
      </c>
      <c r="C96" s="106" t="str">
        <f>'Orderformular Color Kids'!C102</f>
        <v>Anonymized 9304 Jadeite</v>
      </c>
      <c r="D96" s="108" t="str">
        <f>'Orderformular Color Kids'!D102</f>
        <v>Shoes 20-31</v>
      </c>
      <c r="E96" s="97">
        <f>'Orderformular Color Kids'!E102</f>
        <v>0</v>
      </c>
      <c r="F96" s="97">
        <f>'Orderformular Color Kids'!F102</f>
        <v>0</v>
      </c>
      <c r="G96" s="97">
        <f>'Orderformular Color Kids'!G102</f>
        <v>0</v>
      </c>
      <c r="H96" s="97">
        <f>'Orderformular Color Kids'!H102</f>
        <v>0</v>
      </c>
      <c r="I96" s="97">
        <f>'Orderformular Color Kids'!I102</f>
        <v>0</v>
      </c>
      <c r="J96" s="97">
        <f>'Orderformular Color Kids'!J102</f>
        <v>0</v>
      </c>
      <c r="K96" s="97">
        <f>'Orderformular Color Kids'!K102</f>
        <v>0</v>
      </c>
      <c r="L96" s="97">
        <f>'Orderformular Color Kids'!L102</f>
        <v>0</v>
      </c>
      <c r="M96" s="97">
        <f>'Orderformular Color Kids'!M102</f>
        <v>0</v>
      </c>
      <c r="N96" s="97">
        <f>'Orderformular Color Kids'!N102</f>
        <v>0</v>
      </c>
      <c r="O96" s="97">
        <f>'Orderformular Color Kids'!O102</f>
        <v>0</v>
      </c>
      <c r="P96" s="97">
        <f>'Orderformular Color Kids'!P102</f>
        <v>0</v>
      </c>
      <c r="Q96" s="97">
        <f>'Orderformular Color Kids'!Q102</f>
        <v>0</v>
      </c>
      <c r="R96" s="97">
        <f>'Orderformular Color Kids'!R102</f>
        <v>0</v>
      </c>
      <c r="S96" s="98">
        <f t="shared" si="1"/>
        <v>0</v>
      </c>
      <c r="T96" s="109">
        <f>'Orderformular Color Kids'!U102</f>
        <v>39.9</v>
      </c>
    </row>
    <row r="97" spans="1:20" ht="15" customHeight="1" x14ac:dyDescent="0.25">
      <c r="A97" s="110">
        <f>'Orderformular Color Kids'!A103</f>
        <v>6851</v>
      </c>
      <c r="B97" s="106" t="str">
        <f>'Orderformular Color Kids'!B103</f>
        <v>Anonymized Item 103</v>
      </c>
      <c r="C97" s="106" t="str">
        <f>'Orderformular Color Kids'!C103</f>
        <v>Anonymized 9304 Jadeite</v>
      </c>
      <c r="D97" s="108" t="str">
        <f>'Orderformular Color Kids'!D103</f>
        <v>Shoes 32-41</v>
      </c>
      <c r="E97" s="97">
        <f>'Orderformular Color Kids'!E103</f>
        <v>0</v>
      </c>
      <c r="F97" s="97">
        <f>'Orderformular Color Kids'!F103</f>
        <v>0</v>
      </c>
      <c r="G97" s="97">
        <f>'Orderformular Color Kids'!G103</f>
        <v>0</v>
      </c>
      <c r="H97" s="97">
        <f>'Orderformular Color Kids'!H103</f>
        <v>0</v>
      </c>
      <c r="I97" s="97">
        <f>'Orderformular Color Kids'!I103</f>
        <v>0</v>
      </c>
      <c r="J97" s="97">
        <f>'Orderformular Color Kids'!J103</f>
        <v>0</v>
      </c>
      <c r="K97" s="97">
        <f>'Orderformular Color Kids'!K103</f>
        <v>0</v>
      </c>
      <c r="L97" s="97">
        <f>'Orderformular Color Kids'!L103</f>
        <v>0</v>
      </c>
      <c r="M97" s="97">
        <f>'Orderformular Color Kids'!M103</f>
        <v>0</v>
      </c>
      <c r="N97" s="97">
        <f>'Orderformular Color Kids'!N103</f>
        <v>0</v>
      </c>
      <c r="O97" s="97">
        <f>'Orderformular Color Kids'!O103</f>
        <v>0</v>
      </c>
      <c r="P97" s="97">
        <f>'Orderformular Color Kids'!P103</f>
        <v>0</v>
      </c>
      <c r="Q97" s="97">
        <f>'Orderformular Color Kids'!Q103</f>
        <v>0</v>
      </c>
      <c r="R97" s="97">
        <f>'Orderformular Color Kids'!R103</f>
        <v>0</v>
      </c>
      <c r="S97" s="98">
        <f t="shared" si="1"/>
        <v>0</v>
      </c>
      <c r="T97" s="109">
        <f>'Orderformular Color Kids'!U103</f>
        <v>39.9</v>
      </c>
    </row>
    <row r="98" spans="1:20" ht="15" customHeight="1" x14ac:dyDescent="0.25">
      <c r="A98" s="110">
        <f>'Orderformular Color Kids'!A104</f>
        <v>6852</v>
      </c>
      <c r="B98" s="106" t="str">
        <f>'Orderformular Color Kids'!B104</f>
        <v>Anonymized Item 104</v>
      </c>
      <c r="C98" s="106" t="str">
        <f>'Orderformular Color Kids'!C104</f>
        <v>Anonymized 1880 Ebony</v>
      </c>
      <c r="D98" s="108" t="str">
        <f>'Orderformular Color Kids'!D104</f>
        <v>Kids</v>
      </c>
      <c r="E98" s="97">
        <f>'Orderformular Color Kids'!E104</f>
        <v>0</v>
      </c>
      <c r="F98" s="97">
        <f>'Orderformular Color Kids'!F104</f>
        <v>0</v>
      </c>
      <c r="G98" s="97">
        <f>'Orderformular Color Kids'!G104</f>
        <v>0</v>
      </c>
      <c r="H98" s="97">
        <f>'Orderformular Color Kids'!H104</f>
        <v>0</v>
      </c>
      <c r="I98" s="97">
        <f>'Orderformular Color Kids'!I104</f>
        <v>0</v>
      </c>
      <c r="J98" s="97">
        <f>'Orderformular Color Kids'!J104</f>
        <v>0</v>
      </c>
      <c r="K98" s="97">
        <f>'Orderformular Color Kids'!K104</f>
        <v>0</v>
      </c>
      <c r="L98" s="97">
        <f>'Orderformular Color Kids'!L104</f>
        <v>0</v>
      </c>
      <c r="M98" s="97">
        <f>'Orderformular Color Kids'!M104</f>
        <v>0</v>
      </c>
      <c r="N98" s="97">
        <f>'Orderformular Color Kids'!N104</f>
        <v>0</v>
      </c>
      <c r="O98" s="97">
        <f>'Orderformular Color Kids'!O104</f>
        <v>0</v>
      </c>
      <c r="P98" s="97">
        <f>'Orderformular Color Kids'!P104</f>
        <v>0</v>
      </c>
      <c r="Q98" s="97">
        <f>'Orderformular Color Kids'!Q104</f>
        <v>0</v>
      </c>
      <c r="R98" s="97">
        <f>'Orderformular Color Kids'!R104</f>
        <v>0</v>
      </c>
      <c r="S98" s="98">
        <f t="shared" si="1"/>
        <v>0</v>
      </c>
      <c r="T98" s="109">
        <f>'Orderformular Color Kids'!U104</f>
        <v>69.900000000000006</v>
      </c>
    </row>
    <row r="99" spans="1:20" ht="15" customHeight="1" x14ac:dyDescent="0.25">
      <c r="A99" s="110">
        <f>'Orderformular Color Kids'!A105</f>
        <v>6852</v>
      </c>
      <c r="B99" s="106" t="str">
        <f>'Orderformular Color Kids'!B105</f>
        <v>Anonymized Item 105</v>
      </c>
      <c r="C99" s="106" t="str">
        <f>'Orderformular Color Kids'!C105</f>
        <v>Anonymized 3957 Spectra Yellow</v>
      </c>
      <c r="D99" s="108" t="str">
        <f>'Orderformular Color Kids'!D105</f>
        <v>Kids</v>
      </c>
      <c r="E99" s="97">
        <f>'Orderformular Color Kids'!E105</f>
        <v>0</v>
      </c>
      <c r="F99" s="97">
        <f>'Orderformular Color Kids'!F105</f>
        <v>0</v>
      </c>
      <c r="G99" s="97">
        <f>'Orderformular Color Kids'!G105</f>
        <v>0</v>
      </c>
      <c r="H99" s="97">
        <f>'Orderformular Color Kids'!H105</f>
        <v>0</v>
      </c>
      <c r="I99" s="97">
        <f>'Orderformular Color Kids'!I105</f>
        <v>0</v>
      </c>
      <c r="J99" s="97">
        <f>'Orderformular Color Kids'!J105</f>
        <v>0</v>
      </c>
      <c r="K99" s="97">
        <f>'Orderformular Color Kids'!K105</f>
        <v>0</v>
      </c>
      <c r="L99" s="97">
        <f>'Orderformular Color Kids'!L105</f>
        <v>0</v>
      </c>
      <c r="M99" s="97">
        <f>'Orderformular Color Kids'!M105</f>
        <v>0</v>
      </c>
      <c r="N99" s="97">
        <f>'Orderformular Color Kids'!N105</f>
        <v>0</v>
      </c>
      <c r="O99" s="97">
        <f>'Orderformular Color Kids'!O105</f>
        <v>0</v>
      </c>
      <c r="P99" s="97">
        <f>'Orderformular Color Kids'!P105</f>
        <v>0</v>
      </c>
      <c r="Q99" s="97">
        <f>'Orderformular Color Kids'!Q105</f>
        <v>0</v>
      </c>
      <c r="R99" s="97">
        <f>'Orderformular Color Kids'!R105</f>
        <v>0</v>
      </c>
      <c r="S99" s="98">
        <f t="shared" si="1"/>
        <v>0</v>
      </c>
      <c r="T99" s="109">
        <f>'Orderformular Color Kids'!U105</f>
        <v>69.900000000000006</v>
      </c>
    </row>
    <row r="100" spans="1:20" ht="15" customHeight="1" x14ac:dyDescent="0.25">
      <c r="A100" s="110">
        <f>'Orderformular Color Kids'!A106</f>
        <v>6852</v>
      </c>
      <c r="B100" s="106" t="str">
        <f>'Orderformular Color Kids'!B106</f>
        <v>Anonymized Item 106</v>
      </c>
      <c r="C100" s="106" t="str">
        <f>'Orderformular Color Kids'!C106</f>
        <v>Anonymized 5005 Foxglove</v>
      </c>
      <c r="D100" s="108" t="str">
        <f>'Orderformular Color Kids'!D106</f>
        <v>Kids</v>
      </c>
      <c r="E100" s="97">
        <f>'Orderformular Color Kids'!E106</f>
        <v>0</v>
      </c>
      <c r="F100" s="97">
        <f>'Orderformular Color Kids'!F106</f>
        <v>0</v>
      </c>
      <c r="G100" s="97">
        <f>'Orderformular Color Kids'!G106</f>
        <v>0</v>
      </c>
      <c r="H100" s="97">
        <f>'Orderformular Color Kids'!H106</f>
        <v>0</v>
      </c>
      <c r="I100" s="97">
        <f>'Orderformular Color Kids'!I106</f>
        <v>0</v>
      </c>
      <c r="J100" s="97">
        <f>'Orderformular Color Kids'!J106</f>
        <v>0</v>
      </c>
      <c r="K100" s="97">
        <f>'Orderformular Color Kids'!K106</f>
        <v>0</v>
      </c>
      <c r="L100" s="97">
        <f>'Orderformular Color Kids'!L106</f>
        <v>0</v>
      </c>
      <c r="M100" s="97">
        <f>'Orderformular Color Kids'!M106</f>
        <v>0</v>
      </c>
      <c r="N100" s="97">
        <f>'Orderformular Color Kids'!N106</f>
        <v>0</v>
      </c>
      <c r="O100" s="97">
        <f>'Orderformular Color Kids'!O106</f>
        <v>0</v>
      </c>
      <c r="P100" s="97">
        <f>'Orderformular Color Kids'!P106</f>
        <v>0</v>
      </c>
      <c r="Q100" s="97">
        <f>'Orderformular Color Kids'!Q106</f>
        <v>0</v>
      </c>
      <c r="R100" s="97">
        <f>'Orderformular Color Kids'!R106</f>
        <v>0</v>
      </c>
      <c r="S100" s="98">
        <f t="shared" si="1"/>
        <v>0</v>
      </c>
      <c r="T100" s="109">
        <f>'Orderformular Color Kids'!U106</f>
        <v>69.900000000000006</v>
      </c>
    </row>
    <row r="101" spans="1:20" ht="15" customHeight="1" x14ac:dyDescent="0.25">
      <c r="A101" s="110">
        <f>'Orderformular Color Kids'!A107</f>
        <v>6852</v>
      </c>
      <c r="B101" s="106" t="str">
        <f>'Orderformular Color Kids'!B107</f>
        <v>Anonymized Item 107</v>
      </c>
      <c r="C101" s="106" t="str">
        <f>'Orderformular Color Kids'!C107</f>
        <v>Anonymized 6716 Purple Rose</v>
      </c>
      <c r="D101" s="108" t="str">
        <f>'Orderformular Color Kids'!D107</f>
        <v>Kids</v>
      </c>
      <c r="E101" s="97">
        <f>'Orderformular Color Kids'!E107</f>
        <v>0</v>
      </c>
      <c r="F101" s="97">
        <f>'Orderformular Color Kids'!F107</f>
        <v>0</v>
      </c>
      <c r="G101" s="97">
        <f>'Orderformular Color Kids'!G107</f>
        <v>0</v>
      </c>
      <c r="H101" s="97">
        <f>'Orderformular Color Kids'!H107</f>
        <v>0</v>
      </c>
      <c r="I101" s="97">
        <f>'Orderformular Color Kids'!I107</f>
        <v>0</v>
      </c>
      <c r="J101" s="97">
        <f>'Orderformular Color Kids'!J107</f>
        <v>0</v>
      </c>
      <c r="K101" s="97">
        <f>'Orderformular Color Kids'!K107</f>
        <v>0</v>
      </c>
      <c r="L101" s="97">
        <f>'Orderformular Color Kids'!L107</f>
        <v>0</v>
      </c>
      <c r="M101" s="97">
        <f>'Orderformular Color Kids'!M107</f>
        <v>0</v>
      </c>
      <c r="N101" s="97">
        <f>'Orderformular Color Kids'!N107</f>
        <v>0</v>
      </c>
      <c r="O101" s="97">
        <f>'Orderformular Color Kids'!O107</f>
        <v>0</v>
      </c>
      <c r="P101" s="97">
        <f>'Orderformular Color Kids'!P107</f>
        <v>0</v>
      </c>
      <c r="Q101" s="97">
        <f>'Orderformular Color Kids'!Q107</f>
        <v>0</v>
      </c>
      <c r="R101" s="97">
        <f>'Orderformular Color Kids'!R107</f>
        <v>0</v>
      </c>
      <c r="S101" s="98">
        <f t="shared" si="1"/>
        <v>0</v>
      </c>
      <c r="T101" s="109">
        <f>'Orderformular Color Kids'!U107</f>
        <v>69.900000000000006</v>
      </c>
    </row>
    <row r="102" spans="1:20" ht="15" customHeight="1" x14ac:dyDescent="0.25">
      <c r="A102" s="110">
        <f>'Orderformular Color Kids'!A108</f>
        <v>6852</v>
      </c>
      <c r="B102" s="106" t="str">
        <f>'Orderformular Color Kids'!B108</f>
        <v>Anonymized Item 108</v>
      </c>
      <c r="C102" s="106" t="str">
        <f>'Orderformular Color Kids'!C108</f>
        <v>Anonymized 7548 Windward Blue</v>
      </c>
      <c r="D102" s="108" t="str">
        <f>'Orderformular Color Kids'!D108</f>
        <v>Kids</v>
      </c>
      <c r="E102" s="97">
        <f>'Orderformular Color Kids'!E108</f>
        <v>0</v>
      </c>
      <c r="F102" s="97">
        <f>'Orderformular Color Kids'!F108</f>
        <v>0</v>
      </c>
      <c r="G102" s="97">
        <f>'Orderformular Color Kids'!G108</f>
        <v>0</v>
      </c>
      <c r="H102" s="97">
        <f>'Orderformular Color Kids'!H108</f>
        <v>0</v>
      </c>
      <c r="I102" s="97">
        <f>'Orderformular Color Kids'!I108</f>
        <v>0</v>
      </c>
      <c r="J102" s="97">
        <f>'Orderformular Color Kids'!J108</f>
        <v>0</v>
      </c>
      <c r="K102" s="97">
        <f>'Orderformular Color Kids'!K108</f>
        <v>0</v>
      </c>
      <c r="L102" s="97">
        <f>'Orderformular Color Kids'!L108</f>
        <v>0</v>
      </c>
      <c r="M102" s="97">
        <f>'Orderformular Color Kids'!M108</f>
        <v>0</v>
      </c>
      <c r="N102" s="97">
        <f>'Orderformular Color Kids'!N108</f>
        <v>0</v>
      </c>
      <c r="O102" s="97">
        <f>'Orderformular Color Kids'!O108</f>
        <v>0</v>
      </c>
      <c r="P102" s="97">
        <f>'Orderformular Color Kids'!P108</f>
        <v>0</v>
      </c>
      <c r="Q102" s="97">
        <f>'Orderformular Color Kids'!Q108</f>
        <v>0</v>
      </c>
      <c r="R102" s="97">
        <f>'Orderformular Color Kids'!R108</f>
        <v>0</v>
      </c>
      <c r="S102" s="98">
        <f t="shared" si="1"/>
        <v>0</v>
      </c>
      <c r="T102" s="109">
        <f>'Orderformular Color Kids'!U108</f>
        <v>69.900000000000006</v>
      </c>
    </row>
    <row r="103" spans="1:20" ht="15" customHeight="1" x14ac:dyDescent="0.25">
      <c r="A103" s="110">
        <f>'Orderformular Color Kids'!A109</f>
        <v>6852</v>
      </c>
      <c r="B103" s="106" t="str">
        <f>'Orderformular Color Kids'!B109</f>
        <v>Anonymized Item 109</v>
      </c>
      <c r="C103" s="106" t="str">
        <f>'Orderformular Color Kids'!C109</f>
        <v>Anonymized 9304 Jadeite</v>
      </c>
      <c r="D103" s="108" t="str">
        <f>'Orderformular Color Kids'!D109</f>
        <v>Kids</v>
      </c>
      <c r="E103" s="97">
        <f>'Orderformular Color Kids'!E109</f>
        <v>0</v>
      </c>
      <c r="F103" s="97">
        <f>'Orderformular Color Kids'!F109</f>
        <v>0</v>
      </c>
      <c r="G103" s="97">
        <f>'Orderformular Color Kids'!G109</f>
        <v>0</v>
      </c>
      <c r="H103" s="97">
        <f>'Orderformular Color Kids'!H109</f>
        <v>0</v>
      </c>
      <c r="I103" s="97">
        <f>'Orderformular Color Kids'!I109</f>
        <v>0</v>
      </c>
      <c r="J103" s="97">
        <f>'Orderformular Color Kids'!J109</f>
        <v>0</v>
      </c>
      <c r="K103" s="97">
        <f>'Orderformular Color Kids'!K109</f>
        <v>0</v>
      </c>
      <c r="L103" s="97">
        <f>'Orderformular Color Kids'!L109</f>
        <v>0</v>
      </c>
      <c r="M103" s="97">
        <f>'Orderformular Color Kids'!M109</f>
        <v>0</v>
      </c>
      <c r="N103" s="97">
        <f>'Orderformular Color Kids'!N109</f>
        <v>0</v>
      </c>
      <c r="O103" s="97">
        <f>'Orderformular Color Kids'!O109</f>
        <v>0</v>
      </c>
      <c r="P103" s="97">
        <f>'Orderformular Color Kids'!P109</f>
        <v>0</v>
      </c>
      <c r="Q103" s="97">
        <f>'Orderformular Color Kids'!Q109</f>
        <v>0</v>
      </c>
      <c r="R103" s="97">
        <f>'Orderformular Color Kids'!R109</f>
        <v>0</v>
      </c>
      <c r="S103" s="98">
        <f t="shared" si="1"/>
        <v>0</v>
      </c>
      <c r="T103" s="109">
        <f>'Orderformular Color Kids'!U109</f>
        <v>69.900000000000006</v>
      </c>
    </row>
    <row r="104" spans="1:20" ht="15" customHeight="1" x14ac:dyDescent="0.25">
      <c r="A104" s="110">
        <f>'Orderformular Color Kids'!A110</f>
        <v>6925</v>
      </c>
      <c r="B104" s="106" t="str">
        <f>'Orderformular Color Kids'!B110</f>
        <v>Anonymized Item 110</v>
      </c>
      <c r="C104" s="106" t="str">
        <f>'Orderformular Color Kids'!C110</f>
        <v>Anonymized 6071 Lavender Mist</v>
      </c>
      <c r="D104" s="108" t="str">
        <f>'Orderformular Color Kids'!D110</f>
        <v>Acc</v>
      </c>
      <c r="E104" s="97">
        <f>'Orderformular Color Kids'!E110</f>
        <v>0</v>
      </c>
      <c r="F104" s="97">
        <f>'Orderformular Color Kids'!F110</f>
        <v>0</v>
      </c>
      <c r="G104" s="97">
        <f>'Orderformular Color Kids'!G110</f>
        <v>0</v>
      </c>
      <c r="H104" s="97">
        <f>'Orderformular Color Kids'!H110</f>
        <v>0</v>
      </c>
      <c r="I104" s="97">
        <f>'Orderformular Color Kids'!I110</f>
        <v>0</v>
      </c>
      <c r="J104" s="97">
        <f>'Orderformular Color Kids'!J110</f>
        <v>0</v>
      </c>
      <c r="K104" s="97">
        <f>'Orderformular Color Kids'!K110</f>
        <v>0</v>
      </c>
      <c r="L104" s="97">
        <f>'Orderformular Color Kids'!L110</f>
        <v>0</v>
      </c>
      <c r="M104" s="97">
        <f>'Orderformular Color Kids'!M110</f>
        <v>0</v>
      </c>
      <c r="N104" s="97">
        <f>'Orderformular Color Kids'!N110</f>
        <v>0</v>
      </c>
      <c r="O104" s="97">
        <f>'Orderformular Color Kids'!O110</f>
        <v>0</v>
      </c>
      <c r="P104" s="97">
        <f>'Orderformular Color Kids'!P110</f>
        <v>0</v>
      </c>
      <c r="Q104" s="97">
        <f>'Orderformular Color Kids'!Q110</f>
        <v>0</v>
      </c>
      <c r="R104" s="97">
        <f>'Orderformular Color Kids'!R110</f>
        <v>0</v>
      </c>
      <c r="S104" s="98">
        <f t="shared" si="1"/>
        <v>0</v>
      </c>
      <c r="T104" s="109">
        <f>'Orderformular Color Kids'!U110</f>
        <v>45.9</v>
      </c>
    </row>
    <row r="105" spans="1:20" ht="15" customHeight="1" x14ac:dyDescent="0.25">
      <c r="A105" s="110">
        <f>'Orderformular Color Kids'!A111</f>
        <v>6925</v>
      </c>
      <c r="B105" s="106" t="str">
        <f>'Orderformular Color Kids'!B111</f>
        <v>Anonymized Item 111</v>
      </c>
      <c r="C105" s="106" t="str">
        <f>'Orderformular Color Kids'!C111</f>
        <v>Anonymized 7450 Coronet Blue</v>
      </c>
      <c r="D105" s="108" t="str">
        <f>'Orderformular Color Kids'!D111</f>
        <v>Acc</v>
      </c>
      <c r="E105" s="97">
        <f>'Orderformular Color Kids'!E111</f>
        <v>0</v>
      </c>
      <c r="F105" s="97">
        <f>'Orderformular Color Kids'!F111</f>
        <v>0</v>
      </c>
      <c r="G105" s="97">
        <f>'Orderformular Color Kids'!G111</f>
        <v>0</v>
      </c>
      <c r="H105" s="97">
        <f>'Orderformular Color Kids'!H111</f>
        <v>0</v>
      </c>
      <c r="I105" s="97">
        <f>'Orderformular Color Kids'!I111</f>
        <v>0</v>
      </c>
      <c r="J105" s="97">
        <f>'Orderformular Color Kids'!J111</f>
        <v>0</v>
      </c>
      <c r="K105" s="97">
        <f>'Orderformular Color Kids'!K111</f>
        <v>0</v>
      </c>
      <c r="L105" s="97">
        <f>'Orderformular Color Kids'!L111</f>
        <v>0</v>
      </c>
      <c r="M105" s="97">
        <f>'Orderformular Color Kids'!M111</f>
        <v>0</v>
      </c>
      <c r="N105" s="97">
        <f>'Orderformular Color Kids'!N111</f>
        <v>0</v>
      </c>
      <c r="O105" s="97">
        <f>'Orderformular Color Kids'!O111</f>
        <v>0</v>
      </c>
      <c r="P105" s="97">
        <f>'Orderformular Color Kids'!P111</f>
        <v>0</v>
      </c>
      <c r="Q105" s="97">
        <f>'Orderformular Color Kids'!Q111</f>
        <v>0</v>
      </c>
      <c r="R105" s="97">
        <f>'Orderformular Color Kids'!R111</f>
        <v>0</v>
      </c>
      <c r="S105" s="98">
        <f t="shared" si="1"/>
        <v>0</v>
      </c>
      <c r="T105" s="109">
        <f>'Orderformular Color Kids'!U111</f>
        <v>45.9</v>
      </c>
    </row>
    <row r="106" spans="1:20" ht="15" customHeight="1" x14ac:dyDescent="0.25">
      <c r="A106" s="110">
        <f>'Orderformular Color Kids'!A112</f>
        <v>720410</v>
      </c>
      <c r="B106" s="106" t="str">
        <f>'Orderformular Color Kids'!B112</f>
        <v>Anonymized Item 112</v>
      </c>
      <c r="C106" s="106" t="str">
        <f>'Orderformular Color Kids'!C112</f>
        <v>Anonymized 4202 Zephyr</v>
      </c>
      <c r="D106" s="108" t="str">
        <f>'Orderformular Color Kids'!D112</f>
        <v>Mini</v>
      </c>
      <c r="E106" s="97">
        <f>'Orderformular Color Kids'!E112</f>
        <v>0</v>
      </c>
      <c r="F106" s="97">
        <f>'Orderformular Color Kids'!F112</f>
        <v>0</v>
      </c>
      <c r="G106" s="97">
        <f>'Orderformular Color Kids'!G112</f>
        <v>0</v>
      </c>
      <c r="H106" s="97">
        <f>'Orderformular Color Kids'!H112</f>
        <v>0</v>
      </c>
      <c r="I106" s="97">
        <f>'Orderformular Color Kids'!I112</f>
        <v>0</v>
      </c>
      <c r="J106" s="97">
        <f>'Orderformular Color Kids'!J112</f>
        <v>0</v>
      </c>
      <c r="K106" s="97">
        <f>'Orderformular Color Kids'!K112</f>
        <v>0</v>
      </c>
      <c r="L106" s="97">
        <f>'Orderformular Color Kids'!L112</f>
        <v>0</v>
      </c>
      <c r="M106" s="97">
        <f>'Orderformular Color Kids'!M112</f>
        <v>0</v>
      </c>
      <c r="N106" s="97">
        <f>'Orderformular Color Kids'!N112</f>
        <v>0</v>
      </c>
      <c r="O106" s="97">
        <f>'Orderformular Color Kids'!O112</f>
        <v>0</v>
      </c>
      <c r="P106" s="97">
        <f>'Orderformular Color Kids'!P112</f>
        <v>0</v>
      </c>
      <c r="Q106" s="97">
        <f>'Orderformular Color Kids'!Q112</f>
        <v>0</v>
      </c>
      <c r="R106" s="97">
        <f>'Orderformular Color Kids'!R112</f>
        <v>0</v>
      </c>
      <c r="S106" s="98">
        <f t="shared" si="1"/>
        <v>0</v>
      </c>
      <c r="T106" s="109">
        <f>'Orderformular Color Kids'!U112</f>
        <v>39.9</v>
      </c>
    </row>
    <row r="107" spans="1:20" ht="15" customHeight="1" x14ac:dyDescent="0.25">
      <c r="A107" s="110">
        <f>'Orderformular Color Kids'!A113</f>
        <v>720410</v>
      </c>
      <c r="B107" s="106" t="str">
        <f>'Orderformular Color Kids'!B113</f>
        <v>Anonymized Item 113</v>
      </c>
      <c r="C107" s="106" t="str">
        <f>'Orderformular Color Kids'!C113</f>
        <v>Anonymized 5021 Pale Lilac</v>
      </c>
      <c r="D107" s="108" t="str">
        <f>'Orderformular Color Kids'!D113</f>
        <v>Mini</v>
      </c>
      <c r="E107" s="97">
        <f>'Orderformular Color Kids'!E113</f>
        <v>0</v>
      </c>
      <c r="F107" s="97">
        <f>'Orderformular Color Kids'!F113</f>
        <v>0</v>
      </c>
      <c r="G107" s="97">
        <f>'Orderformular Color Kids'!G113</f>
        <v>0</v>
      </c>
      <c r="H107" s="97">
        <f>'Orderformular Color Kids'!H113</f>
        <v>0</v>
      </c>
      <c r="I107" s="97">
        <f>'Orderformular Color Kids'!I113</f>
        <v>0</v>
      </c>
      <c r="J107" s="97">
        <f>'Orderformular Color Kids'!J113</f>
        <v>0</v>
      </c>
      <c r="K107" s="97">
        <f>'Orderformular Color Kids'!K113</f>
        <v>0</v>
      </c>
      <c r="L107" s="97">
        <f>'Orderformular Color Kids'!L113</f>
        <v>0</v>
      </c>
      <c r="M107" s="97">
        <f>'Orderformular Color Kids'!M113</f>
        <v>0</v>
      </c>
      <c r="N107" s="97">
        <f>'Orderformular Color Kids'!N113</f>
        <v>0</v>
      </c>
      <c r="O107" s="97">
        <f>'Orderformular Color Kids'!O113</f>
        <v>0</v>
      </c>
      <c r="P107" s="97">
        <f>'Orderformular Color Kids'!P113</f>
        <v>0</v>
      </c>
      <c r="Q107" s="97">
        <f>'Orderformular Color Kids'!Q113</f>
        <v>0</v>
      </c>
      <c r="R107" s="97">
        <f>'Orderformular Color Kids'!R113</f>
        <v>0</v>
      </c>
      <c r="S107" s="98">
        <f t="shared" si="1"/>
        <v>0</v>
      </c>
      <c r="T107" s="109">
        <f>'Orderformular Color Kids'!U113</f>
        <v>39.9</v>
      </c>
    </row>
    <row r="108" spans="1:20" ht="15" customHeight="1" x14ac:dyDescent="0.25">
      <c r="A108" s="110">
        <f>'Orderformular Color Kids'!A114</f>
        <v>720410</v>
      </c>
      <c r="B108" s="106" t="str">
        <f>'Orderformular Color Kids'!B114</f>
        <v>Anonymized Item 114</v>
      </c>
      <c r="C108" s="106" t="str">
        <f>'Orderformular Color Kids'!C114</f>
        <v>Anonymized 6149 Marlin</v>
      </c>
      <c r="D108" s="108" t="str">
        <f>'Orderformular Color Kids'!D114</f>
        <v>Mini</v>
      </c>
      <c r="E108" s="97">
        <f>'Orderformular Color Kids'!E114</f>
        <v>0</v>
      </c>
      <c r="F108" s="97">
        <f>'Orderformular Color Kids'!F114</f>
        <v>0</v>
      </c>
      <c r="G108" s="97">
        <f>'Orderformular Color Kids'!G114</f>
        <v>0</v>
      </c>
      <c r="H108" s="97">
        <f>'Orderformular Color Kids'!H114</f>
        <v>0</v>
      </c>
      <c r="I108" s="97">
        <f>'Orderformular Color Kids'!I114</f>
        <v>0</v>
      </c>
      <c r="J108" s="97">
        <f>'Orderformular Color Kids'!J114</f>
        <v>0</v>
      </c>
      <c r="K108" s="97">
        <f>'Orderformular Color Kids'!K114</f>
        <v>0</v>
      </c>
      <c r="L108" s="97">
        <f>'Orderformular Color Kids'!L114</f>
        <v>0</v>
      </c>
      <c r="M108" s="97">
        <f>'Orderformular Color Kids'!M114</f>
        <v>0</v>
      </c>
      <c r="N108" s="97">
        <f>'Orderformular Color Kids'!N114</f>
        <v>0</v>
      </c>
      <c r="O108" s="97">
        <f>'Orderformular Color Kids'!O114</f>
        <v>0</v>
      </c>
      <c r="P108" s="97">
        <f>'Orderformular Color Kids'!P114</f>
        <v>0</v>
      </c>
      <c r="Q108" s="97">
        <f>'Orderformular Color Kids'!Q114</f>
        <v>0</v>
      </c>
      <c r="R108" s="97">
        <f>'Orderformular Color Kids'!R114</f>
        <v>0</v>
      </c>
      <c r="S108" s="98">
        <f t="shared" si="1"/>
        <v>0</v>
      </c>
      <c r="T108" s="109">
        <f>'Orderformular Color Kids'!U114</f>
        <v>39.9</v>
      </c>
    </row>
    <row r="109" spans="1:20" ht="15" customHeight="1" x14ac:dyDescent="0.25">
      <c r="A109" s="110">
        <f>'Orderformular Color Kids'!A115</f>
        <v>720410</v>
      </c>
      <c r="B109" s="106" t="str">
        <f>'Orderformular Color Kids'!B115</f>
        <v>Anonymized Item 115</v>
      </c>
      <c r="C109" s="106" t="str">
        <f>'Orderformular Color Kids'!C115</f>
        <v>Anonymized 7054 Nouvean Navy</v>
      </c>
      <c r="D109" s="108" t="str">
        <f>'Orderformular Color Kids'!D115</f>
        <v>Mini</v>
      </c>
      <c r="E109" s="97">
        <f>'Orderformular Color Kids'!E115</f>
        <v>0</v>
      </c>
      <c r="F109" s="97">
        <f>'Orderformular Color Kids'!F115</f>
        <v>0</v>
      </c>
      <c r="G109" s="97">
        <f>'Orderformular Color Kids'!G115</f>
        <v>0</v>
      </c>
      <c r="H109" s="97">
        <f>'Orderformular Color Kids'!H115</f>
        <v>0</v>
      </c>
      <c r="I109" s="97">
        <f>'Orderformular Color Kids'!I115</f>
        <v>0</v>
      </c>
      <c r="J109" s="97">
        <f>'Orderformular Color Kids'!J115</f>
        <v>0</v>
      </c>
      <c r="K109" s="97">
        <f>'Orderformular Color Kids'!K115</f>
        <v>0</v>
      </c>
      <c r="L109" s="97">
        <f>'Orderformular Color Kids'!L115</f>
        <v>0</v>
      </c>
      <c r="M109" s="97">
        <f>'Orderformular Color Kids'!M115</f>
        <v>0</v>
      </c>
      <c r="N109" s="97">
        <f>'Orderformular Color Kids'!N115</f>
        <v>0</v>
      </c>
      <c r="O109" s="97">
        <f>'Orderformular Color Kids'!O115</f>
        <v>0</v>
      </c>
      <c r="P109" s="97">
        <f>'Orderformular Color Kids'!P115</f>
        <v>0</v>
      </c>
      <c r="Q109" s="97">
        <f>'Orderformular Color Kids'!Q115</f>
        <v>0</v>
      </c>
      <c r="R109" s="97">
        <f>'Orderformular Color Kids'!R115</f>
        <v>0</v>
      </c>
      <c r="S109" s="98">
        <f t="shared" si="1"/>
        <v>0</v>
      </c>
      <c r="T109" s="109">
        <f>'Orderformular Color Kids'!U115</f>
        <v>39.9</v>
      </c>
    </row>
    <row r="110" spans="1:20" ht="15" customHeight="1" x14ac:dyDescent="0.25">
      <c r="A110" s="110">
        <f>'Orderformular Color Kids'!A116</f>
        <v>720410</v>
      </c>
      <c r="B110" s="106" t="str">
        <f>'Orderformular Color Kids'!B116</f>
        <v>Anonymized Item 116</v>
      </c>
      <c r="C110" s="106" t="str">
        <f>'Orderformular Color Kids'!C116</f>
        <v>Anonymized 7490 Placid blue</v>
      </c>
      <c r="D110" s="108" t="str">
        <f>'Orderformular Color Kids'!D116</f>
        <v>Mini</v>
      </c>
      <c r="E110" s="97">
        <f>'Orderformular Color Kids'!E116</f>
        <v>0</v>
      </c>
      <c r="F110" s="97">
        <f>'Orderformular Color Kids'!F116</f>
        <v>0</v>
      </c>
      <c r="G110" s="97">
        <f>'Orderformular Color Kids'!G116</f>
        <v>0</v>
      </c>
      <c r="H110" s="97">
        <f>'Orderformular Color Kids'!H116</f>
        <v>0</v>
      </c>
      <c r="I110" s="97">
        <f>'Orderformular Color Kids'!I116</f>
        <v>0</v>
      </c>
      <c r="J110" s="97">
        <f>'Orderformular Color Kids'!J116</f>
        <v>0</v>
      </c>
      <c r="K110" s="97">
        <f>'Orderformular Color Kids'!K116</f>
        <v>0</v>
      </c>
      <c r="L110" s="97">
        <f>'Orderformular Color Kids'!L116</f>
        <v>0</v>
      </c>
      <c r="M110" s="97">
        <f>'Orderformular Color Kids'!M116</f>
        <v>0</v>
      </c>
      <c r="N110" s="97">
        <f>'Orderformular Color Kids'!N116</f>
        <v>0</v>
      </c>
      <c r="O110" s="97">
        <f>'Orderformular Color Kids'!O116</f>
        <v>0</v>
      </c>
      <c r="P110" s="97">
        <f>'Orderformular Color Kids'!P116</f>
        <v>0</v>
      </c>
      <c r="Q110" s="97">
        <f>'Orderformular Color Kids'!Q116</f>
        <v>0</v>
      </c>
      <c r="R110" s="97">
        <f>'Orderformular Color Kids'!R116</f>
        <v>0</v>
      </c>
      <c r="S110" s="98">
        <f t="shared" si="1"/>
        <v>0</v>
      </c>
      <c r="T110" s="109">
        <f>'Orderformular Color Kids'!U116</f>
        <v>39.9</v>
      </c>
    </row>
    <row r="111" spans="1:20" ht="15" customHeight="1" x14ac:dyDescent="0.25">
      <c r="A111" s="110">
        <f>'Orderformular Color Kids'!A117</f>
        <v>720410</v>
      </c>
      <c r="B111" s="106" t="str">
        <f>'Orderformular Color Kids'!B117</f>
        <v>Anonymized Item 117</v>
      </c>
      <c r="C111" s="106" t="str">
        <f>'Orderformular Color Kids'!C117</f>
        <v>Anonymized 9118 Tea</v>
      </c>
      <c r="D111" s="108" t="str">
        <f>'Orderformular Color Kids'!D117</f>
        <v>Mini</v>
      </c>
      <c r="E111" s="97">
        <f>'Orderformular Color Kids'!E117</f>
        <v>0</v>
      </c>
      <c r="F111" s="97">
        <f>'Orderformular Color Kids'!F117</f>
        <v>0</v>
      </c>
      <c r="G111" s="97">
        <f>'Orderformular Color Kids'!G117</f>
        <v>0</v>
      </c>
      <c r="H111" s="97">
        <f>'Orderformular Color Kids'!H117</f>
        <v>0</v>
      </c>
      <c r="I111" s="97">
        <f>'Orderformular Color Kids'!I117</f>
        <v>0</v>
      </c>
      <c r="J111" s="97">
        <f>'Orderformular Color Kids'!J117</f>
        <v>0</v>
      </c>
      <c r="K111" s="97">
        <f>'Orderformular Color Kids'!K117</f>
        <v>0</v>
      </c>
      <c r="L111" s="97">
        <f>'Orderformular Color Kids'!L117</f>
        <v>0</v>
      </c>
      <c r="M111" s="97">
        <f>'Orderformular Color Kids'!M117</f>
        <v>0</v>
      </c>
      <c r="N111" s="97">
        <f>'Orderformular Color Kids'!N117</f>
        <v>0</v>
      </c>
      <c r="O111" s="97">
        <f>'Orderformular Color Kids'!O117</f>
        <v>0</v>
      </c>
      <c r="P111" s="97">
        <f>'Orderformular Color Kids'!P117</f>
        <v>0</v>
      </c>
      <c r="Q111" s="97">
        <f>'Orderformular Color Kids'!Q117</f>
        <v>0</v>
      </c>
      <c r="R111" s="97">
        <f>'Orderformular Color Kids'!R117</f>
        <v>0</v>
      </c>
      <c r="S111" s="98">
        <f t="shared" si="1"/>
        <v>0</v>
      </c>
      <c r="T111" s="109">
        <f>'Orderformular Color Kids'!U117</f>
        <v>39.9</v>
      </c>
    </row>
    <row r="112" spans="1:20" ht="15" customHeight="1" x14ac:dyDescent="0.25">
      <c r="A112" s="110">
        <f>'Orderformular Color Kids'!A118</f>
        <v>720412</v>
      </c>
      <c r="B112" s="106" t="str">
        <f>'Orderformular Color Kids'!B118</f>
        <v>Anonymized Item 118</v>
      </c>
      <c r="C112" s="106" t="str">
        <f>'Orderformular Color Kids'!C118</f>
        <v>Anonymized 6071 Lavender Mist</v>
      </c>
      <c r="D112" s="108" t="str">
        <f>'Orderformular Color Kids'!D118</f>
        <v>Mini</v>
      </c>
      <c r="E112" s="97">
        <f>'Orderformular Color Kids'!E118</f>
        <v>0</v>
      </c>
      <c r="F112" s="97">
        <f>'Orderformular Color Kids'!F118</f>
        <v>0</v>
      </c>
      <c r="G112" s="97">
        <f>'Orderformular Color Kids'!G118</f>
        <v>0</v>
      </c>
      <c r="H112" s="97">
        <f>'Orderformular Color Kids'!H118</f>
        <v>0</v>
      </c>
      <c r="I112" s="97">
        <f>'Orderformular Color Kids'!I118</f>
        <v>0</v>
      </c>
      <c r="J112" s="97">
        <f>'Orderformular Color Kids'!J118</f>
        <v>0</v>
      </c>
      <c r="K112" s="97">
        <f>'Orderformular Color Kids'!K118</f>
        <v>0</v>
      </c>
      <c r="L112" s="97">
        <f>'Orderformular Color Kids'!L118</f>
        <v>0</v>
      </c>
      <c r="M112" s="97">
        <f>'Orderformular Color Kids'!M118</f>
        <v>0</v>
      </c>
      <c r="N112" s="97">
        <f>'Orderformular Color Kids'!N118</f>
        <v>0</v>
      </c>
      <c r="O112" s="97">
        <f>'Orderformular Color Kids'!O118</f>
        <v>0</v>
      </c>
      <c r="P112" s="97">
        <f>'Orderformular Color Kids'!P118</f>
        <v>0</v>
      </c>
      <c r="Q112" s="97">
        <f>'Orderformular Color Kids'!Q118</f>
        <v>0</v>
      </c>
      <c r="R112" s="97">
        <f>'Orderformular Color Kids'!R118</f>
        <v>0</v>
      </c>
      <c r="S112" s="98">
        <f t="shared" si="1"/>
        <v>0</v>
      </c>
      <c r="T112" s="109">
        <f>'Orderformular Color Kids'!U118</f>
        <v>39.9</v>
      </c>
    </row>
    <row r="113" spans="1:20" ht="15" customHeight="1" x14ac:dyDescent="0.25">
      <c r="A113" s="110">
        <f>'Orderformular Color Kids'!A119</f>
        <v>720412</v>
      </c>
      <c r="B113" s="106" t="str">
        <f>'Orderformular Color Kids'!B119</f>
        <v>Anonymized Item 119</v>
      </c>
      <c r="C113" s="106" t="str">
        <f>'Orderformular Color Kids'!C119</f>
        <v>Anonymized 9118 Tea</v>
      </c>
      <c r="D113" s="108" t="str">
        <f>'Orderformular Color Kids'!D119</f>
        <v>Mini</v>
      </c>
      <c r="E113" s="97">
        <f>'Orderformular Color Kids'!E119</f>
        <v>0</v>
      </c>
      <c r="F113" s="97">
        <f>'Orderformular Color Kids'!F119</f>
        <v>0</v>
      </c>
      <c r="G113" s="97">
        <f>'Orderformular Color Kids'!G119</f>
        <v>0</v>
      </c>
      <c r="H113" s="97">
        <f>'Orderformular Color Kids'!H119</f>
        <v>0</v>
      </c>
      <c r="I113" s="97">
        <f>'Orderformular Color Kids'!I119</f>
        <v>0</v>
      </c>
      <c r="J113" s="97">
        <f>'Orderformular Color Kids'!J119</f>
        <v>0</v>
      </c>
      <c r="K113" s="97">
        <f>'Orderformular Color Kids'!K119</f>
        <v>0</v>
      </c>
      <c r="L113" s="97">
        <f>'Orderformular Color Kids'!L119</f>
        <v>0</v>
      </c>
      <c r="M113" s="97">
        <f>'Orderformular Color Kids'!M119</f>
        <v>0</v>
      </c>
      <c r="N113" s="97">
        <f>'Orderformular Color Kids'!N119</f>
        <v>0</v>
      </c>
      <c r="O113" s="97">
        <f>'Orderformular Color Kids'!O119</f>
        <v>0</v>
      </c>
      <c r="P113" s="97">
        <f>'Orderformular Color Kids'!P119</f>
        <v>0</v>
      </c>
      <c r="Q113" s="97">
        <f>'Orderformular Color Kids'!Q119</f>
        <v>0</v>
      </c>
      <c r="R113" s="97">
        <f>'Orderformular Color Kids'!R119</f>
        <v>0</v>
      </c>
      <c r="S113" s="98">
        <f t="shared" si="1"/>
        <v>0</v>
      </c>
      <c r="T113" s="109">
        <f>'Orderformular Color Kids'!U119</f>
        <v>39.9</v>
      </c>
    </row>
    <row r="114" spans="1:20" ht="15" customHeight="1" x14ac:dyDescent="0.25">
      <c r="A114" s="110">
        <f>'Orderformular Color Kids'!A120</f>
        <v>720414</v>
      </c>
      <c r="B114" s="106" t="str">
        <f>'Orderformular Color Kids'!B120</f>
        <v>Anonymized Item 120</v>
      </c>
      <c r="C114" s="106" t="str">
        <f>'Orderformular Color Kids'!C120</f>
        <v>Anonymized 4202 Zephyr</v>
      </c>
      <c r="D114" s="108" t="str">
        <f>'Orderformular Color Kids'!D120</f>
        <v>Mini</v>
      </c>
      <c r="E114" s="97">
        <f>'Orderformular Color Kids'!E120</f>
        <v>0</v>
      </c>
      <c r="F114" s="97">
        <f>'Orderformular Color Kids'!F120</f>
        <v>0</v>
      </c>
      <c r="G114" s="97">
        <f>'Orderformular Color Kids'!G120</f>
        <v>0</v>
      </c>
      <c r="H114" s="97">
        <f>'Orderformular Color Kids'!H120</f>
        <v>0</v>
      </c>
      <c r="I114" s="97">
        <f>'Orderformular Color Kids'!I120</f>
        <v>0</v>
      </c>
      <c r="J114" s="97">
        <f>'Orderformular Color Kids'!J120</f>
        <v>0</v>
      </c>
      <c r="K114" s="97">
        <f>'Orderformular Color Kids'!K120</f>
        <v>0</v>
      </c>
      <c r="L114" s="97">
        <f>'Orderformular Color Kids'!L120</f>
        <v>0</v>
      </c>
      <c r="M114" s="97">
        <f>'Orderformular Color Kids'!M120</f>
        <v>0</v>
      </c>
      <c r="N114" s="97">
        <f>'Orderformular Color Kids'!N120</f>
        <v>0</v>
      </c>
      <c r="O114" s="97">
        <f>'Orderformular Color Kids'!O120</f>
        <v>0</v>
      </c>
      <c r="P114" s="97">
        <f>'Orderformular Color Kids'!P120</f>
        <v>0</v>
      </c>
      <c r="Q114" s="97">
        <f>'Orderformular Color Kids'!Q120</f>
        <v>0</v>
      </c>
      <c r="R114" s="97">
        <f>'Orderformular Color Kids'!R120</f>
        <v>0</v>
      </c>
      <c r="S114" s="98">
        <f t="shared" si="1"/>
        <v>0</v>
      </c>
      <c r="T114" s="109">
        <f>'Orderformular Color Kids'!U120</f>
        <v>29.9</v>
      </c>
    </row>
    <row r="115" spans="1:20" ht="15" customHeight="1" x14ac:dyDescent="0.25">
      <c r="A115" s="110">
        <f>'Orderformular Color Kids'!A121</f>
        <v>720414</v>
      </c>
      <c r="B115" s="106" t="str">
        <f>'Orderformular Color Kids'!B121</f>
        <v>Anonymized Item 121</v>
      </c>
      <c r="C115" s="106" t="str">
        <f>'Orderformular Color Kids'!C121</f>
        <v>Anonymized 6149 Marlin</v>
      </c>
      <c r="D115" s="108" t="str">
        <f>'Orderformular Color Kids'!D121</f>
        <v>Mini</v>
      </c>
      <c r="E115" s="97">
        <f>'Orderformular Color Kids'!E121</f>
        <v>0</v>
      </c>
      <c r="F115" s="97">
        <f>'Orderformular Color Kids'!F121</f>
        <v>0</v>
      </c>
      <c r="G115" s="97">
        <f>'Orderformular Color Kids'!G121</f>
        <v>0</v>
      </c>
      <c r="H115" s="97">
        <f>'Orderformular Color Kids'!H121</f>
        <v>0</v>
      </c>
      <c r="I115" s="97">
        <f>'Orderformular Color Kids'!I121</f>
        <v>0</v>
      </c>
      <c r="J115" s="97">
        <f>'Orderformular Color Kids'!J121</f>
        <v>0</v>
      </c>
      <c r="K115" s="97">
        <f>'Orderformular Color Kids'!K121</f>
        <v>0</v>
      </c>
      <c r="L115" s="97">
        <f>'Orderformular Color Kids'!L121</f>
        <v>0</v>
      </c>
      <c r="M115" s="97">
        <f>'Orderformular Color Kids'!M121</f>
        <v>0</v>
      </c>
      <c r="N115" s="97">
        <f>'Orderformular Color Kids'!N121</f>
        <v>0</v>
      </c>
      <c r="O115" s="97">
        <f>'Orderformular Color Kids'!O121</f>
        <v>0</v>
      </c>
      <c r="P115" s="97">
        <f>'Orderformular Color Kids'!P121</f>
        <v>0</v>
      </c>
      <c r="Q115" s="97">
        <f>'Orderformular Color Kids'!Q121</f>
        <v>0</v>
      </c>
      <c r="R115" s="97">
        <f>'Orderformular Color Kids'!R121</f>
        <v>0</v>
      </c>
      <c r="S115" s="98">
        <f t="shared" si="1"/>
        <v>0</v>
      </c>
      <c r="T115" s="109">
        <f>'Orderformular Color Kids'!U121</f>
        <v>29.9</v>
      </c>
    </row>
    <row r="116" spans="1:20" ht="15" customHeight="1" x14ac:dyDescent="0.25">
      <c r="A116" s="110">
        <f>'Orderformular Color Kids'!A122</f>
        <v>720414</v>
      </c>
      <c r="B116" s="106" t="str">
        <f>'Orderformular Color Kids'!B122</f>
        <v>Anonymized Item 122</v>
      </c>
      <c r="C116" s="106" t="str">
        <f>'Orderformular Color Kids'!C122</f>
        <v>Anonymized 7490 Placid blue</v>
      </c>
      <c r="D116" s="108" t="str">
        <f>'Orderformular Color Kids'!D122</f>
        <v>Mini</v>
      </c>
      <c r="E116" s="97">
        <f>'Orderformular Color Kids'!E122</f>
        <v>0</v>
      </c>
      <c r="F116" s="97">
        <f>'Orderformular Color Kids'!F122</f>
        <v>0</v>
      </c>
      <c r="G116" s="97">
        <f>'Orderformular Color Kids'!G122</f>
        <v>0</v>
      </c>
      <c r="H116" s="97">
        <f>'Orderformular Color Kids'!H122</f>
        <v>0</v>
      </c>
      <c r="I116" s="97">
        <f>'Orderformular Color Kids'!I122</f>
        <v>0</v>
      </c>
      <c r="J116" s="97">
        <f>'Orderformular Color Kids'!J122</f>
        <v>0</v>
      </c>
      <c r="K116" s="97">
        <f>'Orderformular Color Kids'!K122</f>
        <v>0</v>
      </c>
      <c r="L116" s="97">
        <f>'Orderformular Color Kids'!L122</f>
        <v>0</v>
      </c>
      <c r="M116" s="97">
        <f>'Orderformular Color Kids'!M122</f>
        <v>0</v>
      </c>
      <c r="N116" s="97">
        <f>'Orderformular Color Kids'!N122</f>
        <v>0</v>
      </c>
      <c r="O116" s="97">
        <f>'Orderformular Color Kids'!O122</f>
        <v>0</v>
      </c>
      <c r="P116" s="97">
        <f>'Orderformular Color Kids'!P122</f>
        <v>0</v>
      </c>
      <c r="Q116" s="97">
        <f>'Orderformular Color Kids'!Q122</f>
        <v>0</v>
      </c>
      <c r="R116" s="97">
        <f>'Orderformular Color Kids'!R122</f>
        <v>0</v>
      </c>
      <c r="S116" s="98">
        <f t="shared" si="1"/>
        <v>0</v>
      </c>
      <c r="T116" s="109">
        <f>'Orderformular Color Kids'!U122</f>
        <v>29.9</v>
      </c>
    </row>
    <row r="117" spans="1:20" ht="15" customHeight="1" x14ac:dyDescent="0.25">
      <c r="A117" s="110">
        <f>'Orderformular Color Kids'!A123</f>
        <v>720414</v>
      </c>
      <c r="B117" s="106" t="str">
        <f>'Orderformular Color Kids'!B123</f>
        <v>Anonymized Item 123</v>
      </c>
      <c r="C117" s="106" t="str">
        <f>'Orderformular Color Kids'!C123</f>
        <v>Anonymized 9118 Tea</v>
      </c>
      <c r="D117" s="108" t="str">
        <f>'Orderformular Color Kids'!D123</f>
        <v>Mini</v>
      </c>
      <c r="E117" s="97">
        <f>'Orderformular Color Kids'!E123</f>
        <v>0</v>
      </c>
      <c r="F117" s="97">
        <f>'Orderformular Color Kids'!F123</f>
        <v>0</v>
      </c>
      <c r="G117" s="97">
        <f>'Orderformular Color Kids'!G123</f>
        <v>0</v>
      </c>
      <c r="H117" s="97">
        <f>'Orderformular Color Kids'!H123</f>
        <v>0</v>
      </c>
      <c r="I117" s="97">
        <f>'Orderformular Color Kids'!I123</f>
        <v>0</v>
      </c>
      <c r="J117" s="97">
        <f>'Orderformular Color Kids'!J123</f>
        <v>0</v>
      </c>
      <c r="K117" s="97">
        <f>'Orderformular Color Kids'!K123</f>
        <v>0</v>
      </c>
      <c r="L117" s="97">
        <f>'Orderformular Color Kids'!L123</f>
        <v>0</v>
      </c>
      <c r="M117" s="97">
        <f>'Orderformular Color Kids'!M123</f>
        <v>0</v>
      </c>
      <c r="N117" s="97">
        <f>'Orderformular Color Kids'!N123</f>
        <v>0</v>
      </c>
      <c r="O117" s="97">
        <f>'Orderformular Color Kids'!O123</f>
        <v>0</v>
      </c>
      <c r="P117" s="97">
        <f>'Orderformular Color Kids'!P123</f>
        <v>0</v>
      </c>
      <c r="Q117" s="97">
        <f>'Orderformular Color Kids'!Q123</f>
        <v>0</v>
      </c>
      <c r="R117" s="97">
        <f>'Orderformular Color Kids'!R123</f>
        <v>0</v>
      </c>
      <c r="S117" s="98">
        <f t="shared" si="1"/>
        <v>0</v>
      </c>
      <c r="T117" s="109">
        <f>'Orderformular Color Kids'!U123</f>
        <v>29.9</v>
      </c>
    </row>
    <row r="118" spans="1:20" ht="15" customHeight="1" x14ac:dyDescent="0.25">
      <c r="A118" s="110">
        <f>'Orderformular Color Kids'!A124</f>
        <v>720416</v>
      </c>
      <c r="B118" s="106" t="str">
        <f>'Orderformular Color Kids'!B124</f>
        <v>Anonymized Item 124</v>
      </c>
      <c r="C118" s="106" t="str">
        <f>'Orderformular Color Kids'!C124</f>
        <v>Anonymized 4202 Zephyr</v>
      </c>
      <c r="D118" s="108" t="str">
        <f>'Orderformular Color Kids'!D124</f>
        <v>Mini</v>
      </c>
      <c r="E118" s="97">
        <f>'Orderformular Color Kids'!E124</f>
        <v>0</v>
      </c>
      <c r="F118" s="97">
        <f>'Orderformular Color Kids'!F124</f>
        <v>0</v>
      </c>
      <c r="G118" s="97">
        <f>'Orderformular Color Kids'!G124</f>
        <v>1</v>
      </c>
      <c r="H118" s="97">
        <f>'Orderformular Color Kids'!H124</f>
        <v>1</v>
      </c>
      <c r="I118" s="97">
        <f>'Orderformular Color Kids'!I124</f>
        <v>1</v>
      </c>
      <c r="J118" s="97">
        <f>'Orderformular Color Kids'!J124</f>
        <v>1</v>
      </c>
      <c r="K118" s="97">
        <f>'Orderformular Color Kids'!K124</f>
        <v>0</v>
      </c>
      <c r="L118" s="97">
        <f>'Orderformular Color Kids'!L124</f>
        <v>0</v>
      </c>
      <c r="M118" s="97">
        <f>'Orderformular Color Kids'!M124</f>
        <v>0</v>
      </c>
      <c r="N118" s="97">
        <f>'Orderformular Color Kids'!N124</f>
        <v>0</v>
      </c>
      <c r="O118" s="97">
        <f>'Orderformular Color Kids'!O124</f>
        <v>0</v>
      </c>
      <c r="P118" s="97">
        <f>'Orderformular Color Kids'!P124</f>
        <v>0</v>
      </c>
      <c r="Q118" s="97">
        <f>'Orderformular Color Kids'!Q124</f>
        <v>0</v>
      </c>
      <c r="R118" s="97">
        <f>'Orderformular Color Kids'!R124</f>
        <v>0</v>
      </c>
      <c r="S118" s="98">
        <f t="shared" si="1"/>
        <v>4</v>
      </c>
      <c r="T118" s="109">
        <f>'Orderformular Color Kids'!U124</f>
        <v>39.9</v>
      </c>
    </row>
    <row r="119" spans="1:20" ht="15" customHeight="1" x14ac:dyDescent="0.25">
      <c r="A119" s="110">
        <f>'Orderformular Color Kids'!A125</f>
        <v>720419</v>
      </c>
      <c r="B119" s="106" t="str">
        <f>'Orderformular Color Kids'!B125</f>
        <v>Anonymized Item 125</v>
      </c>
      <c r="C119" s="106" t="str">
        <f>'Orderformular Color Kids'!C125</f>
        <v>Anonymized 4202 Zephyr</v>
      </c>
      <c r="D119" s="108" t="str">
        <f>'Orderformular Color Kids'!D125</f>
        <v>Mini</v>
      </c>
      <c r="E119" s="97">
        <f>'Orderformular Color Kids'!E125</f>
        <v>0</v>
      </c>
      <c r="F119" s="97">
        <f>'Orderformular Color Kids'!F125</f>
        <v>0</v>
      </c>
      <c r="G119" s="97">
        <f>'Orderformular Color Kids'!G125</f>
        <v>0</v>
      </c>
      <c r="H119" s="97">
        <f>'Orderformular Color Kids'!H125</f>
        <v>0</v>
      </c>
      <c r="I119" s="97">
        <f>'Orderformular Color Kids'!I125</f>
        <v>0</v>
      </c>
      <c r="J119" s="97">
        <f>'Orderformular Color Kids'!J125</f>
        <v>0</v>
      </c>
      <c r="K119" s="97">
        <f>'Orderformular Color Kids'!K125</f>
        <v>0</v>
      </c>
      <c r="L119" s="97">
        <f>'Orderformular Color Kids'!L125</f>
        <v>0</v>
      </c>
      <c r="M119" s="97">
        <f>'Orderformular Color Kids'!M125</f>
        <v>0</v>
      </c>
      <c r="N119" s="97">
        <f>'Orderformular Color Kids'!N125</f>
        <v>0</v>
      </c>
      <c r="O119" s="97">
        <f>'Orderformular Color Kids'!O125</f>
        <v>0</v>
      </c>
      <c r="P119" s="97">
        <f>'Orderformular Color Kids'!P125</f>
        <v>0</v>
      </c>
      <c r="Q119" s="97">
        <f>'Orderformular Color Kids'!Q125</f>
        <v>0</v>
      </c>
      <c r="R119" s="97">
        <f>'Orderformular Color Kids'!R125</f>
        <v>0</v>
      </c>
      <c r="S119" s="98">
        <f t="shared" si="1"/>
        <v>0</v>
      </c>
      <c r="T119" s="109">
        <f>'Orderformular Color Kids'!U125</f>
        <v>39.9</v>
      </c>
    </row>
    <row r="120" spans="1:20" ht="15" customHeight="1" x14ac:dyDescent="0.25">
      <c r="A120" s="110">
        <f>'Orderformular Color Kids'!A126</f>
        <v>720419</v>
      </c>
      <c r="B120" s="106" t="str">
        <f>'Orderformular Color Kids'!B126</f>
        <v>Anonymized Item 126</v>
      </c>
      <c r="C120" s="106" t="str">
        <f>'Orderformular Color Kids'!C126</f>
        <v>Anonymized 6149 Marlin</v>
      </c>
      <c r="D120" s="108" t="str">
        <f>'Orderformular Color Kids'!D126</f>
        <v>Mini</v>
      </c>
      <c r="E120" s="97">
        <f>'Orderformular Color Kids'!E126</f>
        <v>0</v>
      </c>
      <c r="F120" s="97">
        <f>'Orderformular Color Kids'!F126</f>
        <v>0</v>
      </c>
      <c r="G120" s="97">
        <f>'Orderformular Color Kids'!G126</f>
        <v>0</v>
      </c>
      <c r="H120" s="97">
        <f>'Orderformular Color Kids'!H126</f>
        <v>0</v>
      </c>
      <c r="I120" s="97">
        <f>'Orderformular Color Kids'!I126</f>
        <v>0</v>
      </c>
      <c r="J120" s="97">
        <f>'Orderformular Color Kids'!J126</f>
        <v>0</v>
      </c>
      <c r="K120" s="97">
        <f>'Orderformular Color Kids'!K126</f>
        <v>0</v>
      </c>
      <c r="L120" s="97">
        <f>'Orderformular Color Kids'!L126</f>
        <v>0</v>
      </c>
      <c r="M120" s="97">
        <f>'Orderformular Color Kids'!M126</f>
        <v>0</v>
      </c>
      <c r="N120" s="97">
        <f>'Orderformular Color Kids'!N126</f>
        <v>0</v>
      </c>
      <c r="O120" s="97">
        <f>'Orderformular Color Kids'!O126</f>
        <v>0</v>
      </c>
      <c r="P120" s="97">
        <f>'Orderformular Color Kids'!P126</f>
        <v>0</v>
      </c>
      <c r="Q120" s="97">
        <f>'Orderformular Color Kids'!Q126</f>
        <v>0</v>
      </c>
      <c r="R120" s="97">
        <f>'Orderformular Color Kids'!R126</f>
        <v>0</v>
      </c>
      <c r="S120" s="98">
        <f t="shared" si="1"/>
        <v>0</v>
      </c>
      <c r="T120" s="109">
        <f>'Orderformular Color Kids'!U126</f>
        <v>39.9</v>
      </c>
    </row>
    <row r="121" spans="1:20" ht="15" customHeight="1" x14ac:dyDescent="0.25">
      <c r="A121" s="110">
        <f>'Orderformular Color Kids'!A127</f>
        <v>720419</v>
      </c>
      <c r="B121" s="106" t="str">
        <f>'Orderformular Color Kids'!B127</f>
        <v>Anonymized Item 127</v>
      </c>
      <c r="C121" s="106" t="str">
        <f>'Orderformular Color Kids'!C127</f>
        <v>Anonymized 7490 Placid blue</v>
      </c>
      <c r="D121" s="108" t="str">
        <f>'Orderformular Color Kids'!D127</f>
        <v>Mini</v>
      </c>
      <c r="E121" s="97">
        <f>'Orderformular Color Kids'!E127</f>
        <v>0</v>
      </c>
      <c r="F121" s="97">
        <f>'Orderformular Color Kids'!F127</f>
        <v>0</v>
      </c>
      <c r="G121" s="97">
        <f>'Orderformular Color Kids'!G127</f>
        <v>0</v>
      </c>
      <c r="H121" s="97">
        <f>'Orderformular Color Kids'!H127</f>
        <v>0</v>
      </c>
      <c r="I121" s="97">
        <f>'Orderformular Color Kids'!I127</f>
        <v>0</v>
      </c>
      <c r="J121" s="97">
        <f>'Orderformular Color Kids'!J127</f>
        <v>0</v>
      </c>
      <c r="K121" s="97">
        <f>'Orderformular Color Kids'!K127</f>
        <v>0</v>
      </c>
      <c r="L121" s="97">
        <f>'Orderformular Color Kids'!L127</f>
        <v>0</v>
      </c>
      <c r="M121" s="97">
        <f>'Orderformular Color Kids'!M127</f>
        <v>0</v>
      </c>
      <c r="N121" s="97">
        <f>'Orderformular Color Kids'!N127</f>
        <v>0</v>
      </c>
      <c r="O121" s="97">
        <f>'Orderformular Color Kids'!O127</f>
        <v>0</v>
      </c>
      <c r="P121" s="97">
        <f>'Orderformular Color Kids'!P127</f>
        <v>0</v>
      </c>
      <c r="Q121" s="97">
        <f>'Orderformular Color Kids'!Q127</f>
        <v>0</v>
      </c>
      <c r="R121" s="97">
        <f>'Orderformular Color Kids'!R127</f>
        <v>0</v>
      </c>
      <c r="S121" s="98">
        <f t="shared" si="1"/>
        <v>0</v>
      </c>
      <c r="T121" s="109">
        <f>'Orderformular Color Kids'!U127</f>
        <v>39.9</v>
      </c>
    </row>
    <row r="122" spans="1:20" ht="15" customHeight="1" x14ac:dyDescent="0.25">
      <c r="A122" s="110">
        <f>'Orderformular Color Kids'!A128</f>
        <v>720419</v>
      </c>
      <c r="B122" s="106" t="str">
        <f>'Orderformular Color Kids'!B128</f>
        <v>Anonymized Item 128</v>
      </c>
      <c r="C122" s="106" t="str">
        <f>'Orderformular Color Kids'!C128</f>
        <v>Anonymized 9118 Tea</v>
      </c>
      <c r="D122" s="108" t="str">
        <f>'Orderformular Color Kids'!D128</f>
        <v>Mini</v>
      </c>
      <c r="E122" s="97">
        <f>'Orderformular Color Kids'!E128</f>
        <v>0</v>
      </c>
      <c r="F122" s="97">
        <f>'Orderformular Color Kids'!F128</f>
        <v>0</v>
      </c>
      <c r="G122" s="97">
        <f>'Orderformular Color Kids'!G128</f>
        <v>0</v>
      </c>
      <c r="H122" s="97">
        <f>'Orderformular Color Kids'!H128</f>
        <v>0</v>
      </c>
      <c r="I122" s="97">
        <f>'Orderformular Color Kids'!I128</f>
        <v>0</v>
      </c>
      <c r="J122" s="97">
        <f>'Orderformular Color Kids'!J128</f>
        <v>0</v>
      </c>
      <c r="K122" s="97">
        <f>'Orderformular Color Kids'!K128</f>
        <v>0</v>
      </c>
      <c r="L122" s="97">
        <f>'Orderformular Color Kids'!L128</f>
        <v>0</v>
      </c>
      <c r="M122" s="97">
        <f>'Orderformular Color Kids'!M128</f>
        <v>0</v>
      </c>
      <c r="N122" s="97">
        <f>'Orderformular Color Kids'!N128</f>
        <v>0</v>
      </c>
      <c r="O122" s="97">
        <f>'Orderformular Color Kids'!O128</f>
        <v>0</v>
      </c>
      <c r="P122" s="97">
        <f>'Orderformular Color Kids'!P128</f>
        <v>0</v>
      </c>
      <c r="Q122" s="97">
        <f>'Orderformular Color Kids'!Q128</f>
        <v>0</v>
      </c>
      <c r="R122" s="97">
        <f>'Orderformular Color Kids'!R128</f>
        <v>0</v>
      </c>
      <c r="S122" s="98">
        <f t="shared" si="1"/>
        <v>0</v>
      </c>
      <c r="T122" s="109">
        <f>'Orderformular Color Kids'!U128</f>
        <v>39.9</v>
      </c>
    </row>
    <row r="123" spans="1:20" ht="15" customHeight="1" x14ac:dyDescent="0.25">
      <c r="A123" s="110">
        <f>'Orderformular Color Kids'!A129</f>
        <v>720421</v>
      </c>
      <c r="B123" s="106" t="str">
        <f>'Orderformular Color Kids'!B129</f>
        <v>Anonymized Item 129</v>
      </c>
      <c r="C123" s="106" t="str">
        <f>'Orderformular Color Kids'!C129</f>
        <v>Anonymized 4202 Zephyr</v>
      </c>
      <c r="D123" s="108" t="str">
        <f>'Orderformular Color Kids'!D129</f>
        <v>Mini</v>
      </c>
      <c r="E123" s="97">
        <f>'Orderformular Color Kids'!E129</f>
        <v>0</v>
      </c>
      <c r="F123" s="97">
        <f>'Orderformular Color Kids'!F129</f>
        <v>0</v>
      </c>
      <c r="G123" s="97">
        <f>'Orderformular Color Kids'!G129</f>
        <v>0</v>
      </c>
      <c r="H123" s="97">
        <f>'Orderformular Color Kids'!H129</f>
        <v>0</v>
      </c>
      <c r="I123" s="97">
        <f>'Orderformular Color Kids'!I129</f>
        <v>0</v>
      </c>
      <c r="J123" s="97">
        <f>'Orderformular Color Kids'!J129</f>
        <v>0</v>
      </c>
      <c r="K123" s="97">
        <f>'Orderformular Color Kids'!K129</f>
        <v>0</v>
      </c>
      <c r="L123" s="97">
        <f>'Orderformular Color Kids'!L129</f>
        <v>0</v>
      </c>
      <c r="M123" s="97">
        <f>'Orderformular Color Kids'!M129</f>
        <v>0</v>
      </c>
      <c r="N123" s="97">
        <f>'Orderformular Color Kids'!N129</f>
        <v>0</v>
      </c>
      <c r="O123" s="97">
        <f>'Orderformular Color Kids'!O129</f>
        <v>0</v>
      </c>
      <c r="P123" s="97">
        <f>'Orderformular Color Kids'!P129</f>
        <v>0</v>
      </c>
      <c r="Q123" s="97">
        <f>'Orderformular Color Kids'!Q129</f>
        <v>0</v>
      </c>
      <c r="R123" s="97">
        <f>'Orderformular Color Kids'!R129</f>
        <v>0</v>
      </c>
      <c r="S123" s="98">
        <f t="shared" si="1"/>
        <v>0</v>
      </c>
      <c r="T123" s="109">
        <f>'Orderformular Color Kids'!U129</f>
        <v>23.9</v>
      </c>
    </row>
    <row r="124" spans="1:20" ht="15" customHeight="1" x14ac:dyDescent="0.25">
      <c r="A124" s="110">
        <f>'Orderformular Color Kids'!A130</f>
        <v>720421</v>
      </c>
      <c r="B124" s="106" t="str">
        <f>'Orderformular Color Kids'!B130</f>
        <v>Anonymized Item 130</v>
      </c>
      <c r="C124" s="106" t="str">
        <f>'Orderformular Color Kids'!C130</f>
        <v>Anonymized 6149 Marlin</v>
      </c>
      <c r="D124" s="108" t="str">
        <f>'Orderformular Color Kids'!D130</f>
        <v>Mini</v>
      </c>
      <c r="E124" s="97">
        <f>'Orderformular Color Kids'!E130</f>
        <v>0</v>
      </c>
      <c r="F124" s="97">
        <f>'Orderformular Color Kids'!F130</f>
        <v>0</v>
      </c>
      <c r="G124" s="97">
        <f>'Orderformular Color Kids'!G130</f>
        <v>0</v>
      </c>
      <c r="H124" s="97">
        <f>'Orderformular Color Kids'!H130</f>
        <v>0</v>
      </c>
      <c r="I124" s="97">
        <f>'Orderformular Color Kids'!I130</f>
        <v>0</v>
      </c>
      <c r="J124" s="97">
        <f>'Orderformular Color Kids'!J130</f>
        <v>0</v>
      </c>
      <c r="K124" s="97">
        <f>'Orderformular Color Kids'!K130</f>
        <v>0</v>
      </c>
      <c r="L124" s="97">
        <f>'Orderformular Color Kids'!L130</f>
        <v>0</v>
      </c>
      <c r="M124" s="97">
        <f>'Orderformular Color Kids'!M130</f>
        <v>0</v>
      </c>
      <c r="N124" s="97">
        <f>'Orderformular Color Kids'!N130</f>
        <v>0</v>
      </c>
      <c r="O124" s="97">
        <f>'Orderformular Color Kids'!O130</f>
        <v>0</v>
      </c>
      <c r="P124" s="97">
        <f>'Orderformular Color Kids'!P130</f>
        <v>0</v>
      </c>
      <c r="Q124" s="97">
        <f>'Orderformular Color Kids'!Q130</f>
        <v>0</v>
      </c>
      <c r="R124" s="97">
        <f>'Orderformular Color Kids'!R130</f>
        <v>0</v>
      </c>
      <c r="S124" s="98">
        <f t="shared" si="1"/>
        <v>0</v>
      </c>
      <c r="T124" s="109">
        <f>'Orderformular Color Kids'!U130</f>
        <v>23.9</v>
      </c>
    </row>
    <row r="125" spans="1:20" ht="15" customHeight="1" x14ac:dyDescent="0.25">
      <c r="A125" s="110">
        <f>'Orderformular Color Kids'!A131</f>
        <v>720421</v>
      </c>
      <c r="B125" s="106" t="str">
        <f>'Orderformular Color Kids'!B131</f>
        <v>Anonymized Item 131</v>
      </c>
      <c r="C125" s="106" t="str">
        <f>'Orderformular Color Kids'!C131</f>
        <v>Anonymized 7490 Placid blue</v>
      </c>
      <c r="D125" s="108" t="str">
        <f>'Orderformular Color Kids'!D131</f>
        <v>Mini</v>
      </c>
      <c r="E125" s="97">
        <f>'Orderformular Color Kids'!E131</f>
        <v>0</v>
      </c>
      <c r="F125" s="97">
        <f>'Orderformular Color Kids'!F131</f>
        <v>0</v>
      </c>
      <c r="G125" s="97">
        <f>'Orderformular Color Kids'!G131</f>
        <v>0</v>
      </c>
      <c r="H125" s="97">
        <f>'Orderformular Color Kids'!H131</f>
        <v>0</v>
      </c>
      <c r="I125" s="97">
        <f>'Orderformular Color Kids'!I131</f>
        <v>0</v>
      </c>
      <c r="J125" s="97">
        <f>'Orderformular Color Kids'!J131</f>
        <v>0</v>
      </c>
      <c r="K125" s="97">
        <f>'Orderformular Color Kids'!K131</f>
        <v>0</v>
      </c>
      <c r="L125" s="97">
        <f>'Orderformular Color Kids'!L131</f>
        <v>0</v>
      </c>
      <c r="M125" s="97">
        <f>'Orderformular Color Kids'!M131</f>
        <v>0</v>
      </c>
      <c r="N125" s="97">
        <f>'Orderformular Color Kids'!N131</f>
        <v>0</v>
      </c>
      <c r="O125" s="97">
        <f>'Orderformular Color Kids'!O131</f>
        <v>0</v>
      </c>
      <c r="P125" s="97">
        <f>'Orderformular Color Kids'!P131</f>
        <v>0</v>
      </c>
      <c r="Q125" s="97">
        <f>'Orderformular Color Kids'!Q131</f>
        <v>0</v>
      </c>
      <c r="R125" s="97">
        <f>'Orderformular Color Kids'!R131</f>
        <v>0</v>
      </c>
      <c r="S125" s="98">
        <f t="shared" si="1"/>
        <v>0</v>
      </c>
      <c r="T125" s="109">
        <f>'Orderformular Color Kids'!U131</f>
        <v>23.9</v>
      </c>
    </row>
    <row r="126" spans="1:20" ht="15" customHeight="1" x14ac:dyDescent="0.25">
      <c r="A126" s="110">
        <f>'Orderformular Color Kids'!A132</f>
        <v>720421</v>
      </c>
      <c r="B126" s="106" t="str">
        <f>'Orderformular Color Kids'!B132</f>
        <v>Anonymized Item 132</v>
      </c>
      <c r="C126" s="106" t="str">
        <f>'Orderformular Color Kids'!C132</f>
        <v>Anonymized 9118 Tea</v>
      </c>
      <c r="D126" s="108" t="str">
        <f>'Orderformular Color Kids'!D132</f>
        <v>Mini</v>
      </c>
      <c r="E126" s="97">
        <f>'Orderformular Color Kids'!E132</f>
        <v>0</v>
      </c>
      <c r="F126" s="97">
        <f>'Orderformular Color Kids'!F132</f>
        <v>0</v>
      </c>
      <c r="G126" s="97">
        <f>'Orderformular Color Kids'!G132</f>
        <v>0</v>
      </c>
      <c r="H126" s="97">
        <f>'Orderformular Color Kids'!H132</f>
        <v>0</v>
      </c>
      <c r="I126" s="97">
        <f>'Orderformular Color Kids'!I132</f>
        <v>0</v>
      </c>
      <c r="J126" s="97">
        <f>'Orderformular Color Kids'!J132</f>
        <v>0</v>
      </c>
      <c r="K126" s="97">
        <f>'Orderformular Color Kids'!K132</f>
        <v>0</v>
      </c>
      <c r="L126" s="97">
        <f>'Orderformular Color Kids'!L132</f>
        <v>0</v>
      </c>
      <c r="M126" s="97">
        <f>'Orderformular Color Kids'!M132</f>
        <v>0</v>
      </c>
      <c r="N126" s="97">
        <f>'Orderformular Color Kids'!N132</f>
        <v>0</v>
      </c>
      <c r="O126" s="97">
        <f>'Orderformular Color Kids'!O132</f>
        <v>0</v>
      </c>
      <c r="P126" s="97">
        <f>'Orderformular Color Kids'!P132</f>
        <v>0</v>
      </c>
      <c r="Q126" s="97">
        <f>'Orderformular Color Kids'!Q132</f>
        <v>0</v>
      </c>
      <c r="R126" s="97">
        <f>'Orderformular Color Kids'!R132</f>
        <v>0</v>
      </c>
      <c r="S126" s="98">
        <f t="shared" si="1"/>
        <v>0</v>
      </c>
      <c r="T126" s="109">
        <f>'Orderformular Color Kids'!U132</f>
        <v>23.9</v>
      </c>
    </row>
    <row r="127" spans="1:20" ht="15" customHeight="1" x14ac:dyDescent="0.25">
      <c r="A127" s="110">
        <f>'Orderformular Color Kids'!A133</f>
        <v>720423</v>
      </c>
      <c r="B127" s="106" t="str">
        <f>'Orderformular Color Kids'!B133</f>
        <v>Anonymized Item 133</v>
      </c>
      <c r="C127" s="106" t="str">
        <f>'Orderformular Color Kids'!C133</f>
        <v>Anonymized 6071 Lavender Mist</v>
      </c>
      <c r="D127" s="108" t="str">
        <f>'Orderformular Color Kids'!D133</f>
        <v>Mini</v>
      </c>
      <c r="E127" s="97">
        <f>'Orderformular Color Kids'!E133</f>
        <v>0</v>
      </c>
      <c r="F127" s="97">
        <f>'Orderformular Color Kids'!F133</f>
        <v>0</v>
      </c>
      <c r="G127" s="97">
        <f>'Orderformular Color Kids'!G133</f>
        <v>0</v>
      </c>
      <c r="H127" s="97">
        <f>'Orderformular Color Kids'!H133</f>
        <v>0</v>
      </c>
      <c r="I127" s="97">
        <f>'Orderformular Color Kids'!I133</f>
        <v>0</v>
      </c>
      <c r="J127" s="97">
        <f>'Orderformular Color Kids'!J133</f>
        <v>0</v>
      </c>
      <c r="K127" s="97">
        <f>'Orderformular Color Kids'!K133</f>
        <v>0</v>
      </c>
      <c r="L127" s="97">
        <f>'Orderformular Color Kids'!L133</f>
        <v>0</v>
      </c>
      <c r="M127" s="97">
        <f>'Orderformular Color Kids'!M133</f>
        <v>0</v>
      </c>
      <c r="N127" s="97">
        <f>'Orderformular Color Kids'!N133</f>
        <v>0</v>
      </c>
      <c r="O127" s="97">
        <f>'Orderformular Color Kids'!O133</f>
        <v>0</v>
      </c>
      <c r="P127" s="97">
        <f>'Orderformular Color Kids'!P133</f>
        <v>0</v>
      </c>
      <c r="Q127" s="97">
        <f>'Orderformular Color Kids'!Q133</f>
        <v>0</v>
      </c>
      <c r="R127" s="97">
        <f>'Orderformular Color Kids'!R133</f>
        <v>0</v>
      </c>
      <c r="S127" s="98">
        <f t="shared" si="1"/>
        <v>0</v>
      </c>
      <c r="T127" s="109">
        <f>'Orderformular Color Kids'!U133</f>
        <v>23.9</v>
      </c>
    </row>
    <row r="128" spans="1:20" ht="15" customHeight="1" x14ac:dyDescent="0.25">
      <c r="A128" s="110">
        <f>'Orderformular Color Kids'!A134</f>
        <v>720423</v>
      </c>
      <c r="B128" s="106" t="str">
        <f>'Orderformular Color Kids'!B134</f>
        <v>Anonymized Item 134</v>
      </c>
      <c r="C128" s="106" t="str">
        <f>'Orderformular Color Kids'!C134</f>
        <v>Anonymized 9118 Tea</v>
      </c>
      <c r="D128" s="108" t="str">
        <f>'Orderformular Color Kids'!D134</f>
        <v>Mini</v>
      </c>
      <c r="E128" s="97">
        <f>'Orderformular Color Kids'!E134</f>
        <v>0</v>
      </c>
      <c r="F128" s="97">
        <f>'Orderformular Color Kids'!F134</f>
        <v>0</v>
      </c>
      <c r="G128" s="97">
        <f>'Orderformular Color Kids'!G134</f>
        <v>0</v>
      </c>
      <c r="H128" s="97">
        <f>'Orderformular Color Kids'!H134</f>
        <v>0</v>
      </c>
      <c r="I128" s="97">
        <f>'Orderformular Color Kids'!I134</f>
        <v>0</v>
      </c>
      <c r="J128" s="97">
        <f>'Orderformular Color Kids'!J134</f>
        <v>0</v>
      </c>
      <c r="K128" s="97">
        <f>'Orderformular Color Kids'!K134</f>
        <v>0</v>
      </c>
      <c r="L128" s="97">
        <f>'Orderformular Color Kids'!L134</f>
        <v>0</v>
      </c>
      <c r="M128" s="97">
        <f>'Orderformular Color Kids'!M134</f>
        <v>0</v>
      </c>
      <c r="N128" s="97">
        <f>'Orderformular Color Kids'!N134</f>
        <v>0</v>
      </c>
      <c r="O128" s="97">
        <f>'Orderformular Color Kids'!O134</f>
        <v>0</v>
      </c>
      <c r="P128" s="97">
        <f>'Orderformular Color Kids'!P134</f>
        <v>0</v>
      </c>
      <c r="Q128" s="97">
        <f>'Orderformular Color Kids'!Q134</f>
        <v>0</v>
      </c>
      <c r="R128" s="97">
        <f>'Orderformular Color Kids'!R134</f>
        <v>0</v>
      </c>
      <c r="S128" s="98">
        <f t="shared" si="1"/>
        <v>0</v>
      </c>
      <c r="T128" s="109">
        <f>'Orderformular Color Kids'!U134</f>
        <v>23.9</v>
      </c>
    </row>
    <row r="129" spans="1:20" ht="15" customHeight="1" x14ac:dyDescent="0.25">
      <c r="A129" s="110">
        <f>'Orderformular Color Kids'!A135</f>
        <v>720426</v>
      </c>
      <c r="B129" s="106" t="str">
        <f>'Orderformular Color Kids'!B135</f>
        <v>Anonymized Item 135</v>
      </c>
      <c r="C129" s="106" t="str">
        <f>'Orderformular Color Kids'!C135</f>
        <v>Anonymized 4202 Zephyr</v>
      </c>
      <c r="D129" s="108" t="str">
        <f>'Orderformular Color Kids'!D135</f>
        <v>Mini</v>
      </c>
      <c r="E129" s="97">
        <f>'Orderformular Color Kids'!E135</f>
        <v>0</v>
      </c>
      <c r="F129" s="97">
        <f>'Orderformular Color Kids'!F135</f>
        <v>1</v>
      </c>
      <c r="G129" s="97">
        <f>'Orderformular Color Kids'!G135</f>
        <v>1</v>
      </c>
      <c r="H129" s="97">
        <f>'Orderformular Color Kids'!H135</f>
        <v>1</v>
      </c>
      <c r="I129" s="97">
        <f>'Orderformular Color Kids'!I135</f>
        <v>1</v>
      </c>
      <c r="J129" s="97">
        <f>'Orderformular Color Kids'!J135</f>
        <v>1</v>
      </c>
      <c r="K129" s="97">
        <f>'Orderformular Color Kids'!K135</f>
        <v>0</v>
      </c>
      <c r="L129" s="97">
        <f>'Orderformular Color Kids'!L135</f>
        <v>0</v>
      </c>
      <c r="M129" s="97">
        <f>'Orderformular Color Kids'!M135</f>
        <v>0</v>
      </c>
      <c r="N129" s="97">
        <f>'Orderformular Color Kids'!N135</f>
        <v>0</v>
      </c>
      <c r="O129" s="97">
        <f>'Orderformular Color Kids'!O135</f>
        <v>0</v>
      </c>
      <c r="P129" s="97">
        <f>'Orderformular Color Kids'!P135</f>
        <v>0</v>
      </c>
      <c r="Q129" s="97">
        <f>'Orderformular Color Kids'!Q135</f>
        <v>0</v>
      </c>
      <c r="R129" s="97">
        <f>'Orderformular Color Kids'!R135</f>
        <v>0</v>
      </c>
      <c r="S129" s="98">
        <f t="shared" si="1"/>
        <v>5</v>
      </c>
      <c r="T129" s="109">
        <f>'Orderformular Color Kids'!U135</f>
        <v>23.9</v>
      </c>
    </row>
    <row r="130" spans="1:20" ht="15" customHeight="1" x14ac:dyDescent="0.25">
      <c r="A130" s="110">
        <f>'Orderformular Color Kids'!A136</f>
        <v>720426</v>
      </c>
      <c r="B130" s="106" t="str">
        <f>'Orderformular Color Kids'!B136</f>
        <v>Anonymized Item 136</v>
      </c>
      <c r="C130" s="106" t="str">
        <f>'Orderformular Color Kids'!C136</f>
        <v>Anonymized 6149 Marlin</v>
      </c>
      <c r="D130" s="108" t="str">
        <f>'Orderformular Color Kids'!D136</f>
        <v>Mini</v>
      </c>
      <c r="E130" s="97">
        <f>'Orderformular Color Kids'!E136</f>
        <v>0</v>
      </c>
      <c r="F130" s="97">
        <f>'Orderformular Color Kids'!F136</f>
        <v>1</v>
      </c>
      <c r="G130" s="97">
        <f>'Orderformular Color Kids'!G136</f>
        <v>1</v>
      </c>
      <c r="H130" s="97">
        <f>'Orderformular Color Kids'!H136</f>
        <v>1</v>
      </c>
      <c r="I130" s="97">
        <f>'Orderformular Color Kids'!I136</f>
        <v>1</v>
      </c>
      <c r="J130" s="97">
        <f>'Orderformular Color Kids'!J136</f>
        <v>1</v>
      </c>
      <c r="K130" s="97">
        <f>'Orderformular Color Kids'!K136</f>
        <v>0</v>
      </c>
      <c r="L130" s="97">
        <f>'Orderformular Color Kids'!L136</f>
        <v>0</v>
      </c>
      <c r="M130" s="97">
        <f>'Orderformular Color Kids'!M136</f>
        <v>0</v>
      </c>
      <c r="N130" s="97">
        <f>'Orderformular Color Kids'!N136</f>
        <v>0</v>
      </c>
      <c r="O130" s="97">
        <f>'Orderformular Color Kids'!O136</f>
        <v>0</v>
      </c>
      <c r="P130" s="97">
        <f>'Orderformular Color Kids'!P136</f>
        <v>0</v>
      </c>
      <c r="Q130" s="97">
        <f>'Orderformular Color Kids'!Q136</f>
        <v>0</v>
      </c>
      <c r="R130" s="97">
        <f>'Orderformular Color Kids'!R136</f>
        <v>0</v>
      </c>
      <c r="S130" s="98">
        <f t="shared" si="1"/>
        <v>5</v>
      </c>
      <c r="T130" s="109">
        <f>'Orderformular Color Kids'!U136</f>
        <v>23.9</v>
      </c>
    </row>
    <row r="131" spans="1:20" ht="15" customHeight="1" x14ac:dyDescent="0.25">
      <c r="A131" s="110">
        <f>'Orderformular Color Kids'!A137</f>
        <v>720427</v>
      </c>
      <c r="B131" s="106" t="str">
        <f>'Orderformular Color Kids'!B137</f>
        <v>Anonymized Item 137</v>
      </c>
      <c r="C131" s="106" t="str">
        <f>'Orderformular Color Kids'!C137</f>
        <v>Anonymized 7490 Placid blue</v>
      </c>
      <c r="D131" s="108" t="str">
        <f>'Orderformular Color Kids'!D137</f>
        <v>Mini</v>
      </c>
      <c r="E131" s="97">
        <f>'Orderformular Color Kids'!E137</f>
        <v>0</v>
      </c>
      <c r="F131" s="97">
        <f>'Orderformular Color Kids'!F137</f>
        <v>1</v>
      </c>
      <c r="G131" s="97">
        <f>'Orderformular Color Kids'!G137</f>
        <v>1</v>
      </c>
      <c r="H131" s="97">
        <f>'Orderformular Color Kids'!H137</f>
        <v>1</v>
      </c>
      <c r="I131" s="97">
        <f>'Orderformular Color Kids'!I137</f>
        <v>1</v>
      </c>
      <c r="J131" s="97">
        <f>'Orderformular Color Kids'!J137</f>
        <v>1</v>
      </c>
      <c r="K131" s="97">
        <f>'Orderformular Color Kids'!K137</f>
        <v>0</v>
      </c>
      <c r="L131" s="97">
        <f>'Orderformular Color Kids'!L137</f>
        <v>0</v>
      </c>
      <c r="M131" s="97">
        <f>'Orderformular Color Kids'!M137</f>
        <v>0</v>
      </c>
      <c r="N131" s="97">
        <f>'Orderformular Color Kids'!N137</f>
        <v>0</v>
      </c>
      <c r="O131" s="97">
        <f>'Orderformular Color Kids'!O137</f>
        <v>0</v>
      </c>
      <c r="P131" s="97">
        <f>'Orderformular Color Kids'!P137</f>
        <v>0</v>
      </c>
      <c r="Q131" s="97">
        <f>'Orderformular Color Kids'!Q137</f>
        <v>0</v>
      </c>
      <c r="R131" s="97">
        <f>'Orderformular Color Kids'!R137</f>
        <v>0</v>
      </c>
      <c r="S131" s="98">
        <f t="shared" si="1"/>
        <v>5</v>
      </c>
      <c r="T131" s="109">
        <f>'Orderformular Color Kids'!U137</f>
        <v>23.9</v>
      </c>
    </row>
    <row r="132" spans="1:20" ht="15" customHeight="1" x14ac:dyDescent="0.25">
      <c r="A132" s="110">
        <f>'Orderformular Color Kids'!A138</f>
        <v>720427</v>
      </c>
      <c r="B132" s="106" t="str">
        <f>'Orderformular Color Kids'!B138</f>
        <v>Anonymized Item 138</v>
      </c>
      <c r="C132" s="106" t="str">
        <f>'Orderformular Color Kids'!C138</f>
        <v>Anonymized 9118 Tea</v>
      </c>
      <c r="D132" s="108" t="str">
        <f>'Orderformular Color Kids'!D138</f>
        <v>Mini</v>
      </c>
      <c r="E132" s="97">
        <f>'Orderformular Color Kids'!E138</f>
        <v>0</v>
      </c>
      <c r="F132" s="97">
        <f>'Orderformular Color Kids'!F138</f>
        <v>1</v>
      </c>
      <c r="G132" s="97">
        <f>'Orderformular Color Kids'!G138</f>
        <v>1</v>
      </c>
      <c r="H132" s="97">
        <f>'Orderformular Color Kids'!H138</f>
        <v>1</v>
      </c>
      <c r="I132" s="97">
        <f>'Orderformular Color Kids'!I138</f>
        <v>1</v>
      </c>
      <c r="J132" s="97">
        <f>'Orderformular Color Kids'!J138</f>
        <v>1</v>
      </c>
      <c r="K132" s="97">
        <f>'Orderformular Color Kids'!K138</f>
        <v>0</v>
      </c>
      <c r="L132" s="97">
        <f>'Orderformular Color Kids'!L138</f>
        <v>0</v>
      </c>
      <c r="M132" s="97">
        <f>'Orderformular Color Kids'!M138</f>
        <v>0</v>
      </c>
      <c r="N132" s="97">
        <f>'Orderformular Color Kids'!N138</f>
        <v>0</v>
      </c>
      <c r="O132" s="97">
        <f>'Orderformular Color Kids'!O138</f>
        <v>0</v>
      </c>
      <c r="P132" s="97">
        <f>'Orderformular Color Kids'!P138</f>
        <v>0</v>
      </c>
      <c r="Q132" s="97">
        <f>'Orderformular Color Kids'!Q138</f>
        <v>0</v>
      </c>
      <c r="R132" s="97">
        <f>'Orderformular Color Kids'!R138</f>
        <v>0</v>
      </c>
      <c r="S132" s="98">
        <f t="shared" si="1"/>
        <v>5</v>
      </c>
      <c r="T132" s="109">
        <f>'Orderformular Color Kids'!U138</f>
        <v>23.9</v>
      </c>
    </row>
    <row r="133" spans="1:20" ht="15" customHeight="1" x14ac:dyDescent="0.25">
      <c r="A133" s="110">
        <f>'Orderformular Color Kids'!A139</f>
        <v>720432</v>
      </c>
      <c r="B133" s="106" t="str">
        <f>'Orderformular Color Kids'!B139</f>
        <v>Anonymized Item 139</v>
      </c>
      <c r="C133" s="106" t="str">
        <f>'Orderformular Color Kids'!C139</f>
        <v>Anonymized 4202 Zephyr</v>
      </c>
      <c r="D133" s="108" t="str">
        <f>'Orderformular Color Kids'!D139</f>
        <v>Mini</v>
      </c>
      <c r="E133" s="97">
        <f>'Orderformular Color Kids'!E139</f>
        <v>0</v>
      </c>
      <c r="F133" s="97">
        <f>'Orderformular Color Kids'!F139</f>
        <v>0</v>
      </c>
      <c r="G133" s="97">
        <f>'Orderformular Color Kids'!G139</f>
        <v>0</v>
      </c>
      <c r="H133" s="97">
        <f>'Orderformular Color Kids'!H139</f>
        <v>0</v>
      </c>
      <c r="I133" s="97">
        <f>'Orderformular Color Kids'!I139</f>
        <v>0</v>
      </c>
      <c r="J133" s="97">
        <f>'Orderformular Color Kids'!J139</f>
        <v>0</v>
      </c>
      <c r="K133" s="97">
        <f>'Orderformular Color Kids'!K139</f>
        <v>0</v>
      </c>
      <c r="L133" s="97">
        <f>'Orderformular Color Kids'!L139</f>
        <v>0</v>
      </c>
      <c r="M133" s="97">
        <f>'Orderformular Color Kids'!M139</f>
        <v>0</v>
      </c>
      <c r="N133" s="97">
        <f>'Orderformular Color Kids'!N139</f>
        <v>0</v>
      </c>
      <c r="O133" s="97">
        <f>'Orderformular Color Kids'!O139</f>
        <v>0</v>
      </c>
      <c r="P133" s="97">
        <f>'Orderformular Color Kids'!P139</f>
        <v>0</v>
      </c>
      <c r="Q133" s="97">
        <f>'Orderformular Color Kids'!Q139</f>
        <v>0</v>
      </c>
      <c r="R133" s="97">
        <f>'Orderformular Color Kids'!R139</f>
        <v>0</v>
      </c>
      <c r="S133" s="98">
        <f t="shared" si="1"/>
        <v>0</v>
      </c>
      <c r="T133" s="109">
        <f>'Orderformular Color Kids'!U139</f>
        <v>25.9</v>
      </c>
    </row>
    <row r="134" spans="1:20" ht="15" customHeight="1" x14ac:dyDescent="0.25">
      <c r="A134" s="110">
        <f>'Orderformular Color Kids'!A140</f>
        <v>720433</v>
      </c>
      <c r="B134" s="106" t="str">
        <f>'Orderformular Color Kids'!B140</f>
        <v>Anonymized Item 140</v>
      </c>
      <c r="C134" s="106" t="str">
        <f>'Orderformular Color Kids'!C140</f>
        <v>Anonymized 9118 Tea</v>
      </c>
      <c r="D134" s="108" t="str">
        <f>'Orderformular Color Kids'!D140</f>
        <v>Mini</v>
      </c>
      <c r="E134" s="97">
        <f>'Orderformular Color Kids'!E140</f>
        <v>0</v>
      </c>
      <c r="F134" s="97">
        <f>'Orderformular Color Kids'!F140</f>
        <v>0</v>
      </c>
      <c r="G134" s="97">
        <f>'Orderformular Color Kids'!G140</f>
        <v>0</v>
      </c>
      <c r="H134" s="97">
        <f>'Orderformular Color Kids'!H140</f>
        <v>0</v>
      </c>
      <c r="I134" s="97">
        <f>'Orderformular Color Kids'!I140</f>
        <v>0</v>
      </c>
      <c r="J134" s="97">
        <f>'Orderformular Color Kids'!J140</f>
        <v>0</v>
      </c>
      <c r="K134" s="97">
        <f>'Orderformular Color Kids'!K140</f>
        <v>0</v>
      </c>
      <c r="L134" s="97">
        <f>'Orderformular Color Kids'!L140</f>
        <v>0</v>
      </c>
      <c r="M134" s="97">
        <f>'Orderformular Color Kids'!M140</f>
        <v>0</v>
      </c>
      <c r="N134" s="97">
        <f>'Orderformular Color Kids'!N140</f>
        <v>0</v>
      </c>
      <c r="O134" s="97">
        <f>'Orderformular Color Kids'!O140</f>
        <v>0</v>
      </c>
      <c r="P134" s="97">
        <f>'Orderformular Color Kids'!P140</f>
        <v>0</v>
      </c>
      <c r="Q134" s="97">
        <f>'Orderformular Color Kids'!Q140</f>
        <v>0</v>
      </c>
      <c r="R134" s="97">
        <f>'Orderformular Color Kids'!R140</f>
        <v>0</v>
      </c>
      <c r="S134" s="98">
        <f t="shared" si="1"/>
        <v>0</v>
      </c>
      <c r="T134" s="109">
        <f>'Orderformular Color Kids'!U140</f>
        <v>25.9</v>
      </c>
    </row>
    <row r="135" spans="1:20" ht="15" customHeight="1" x14ac:dyDescent="0.25">
      <c r="A135" s="110">
        <f>'Orderformular Color Kids'!A141</f>
        <v>720435</v>
      </c>
      <c r="B135" s="106" t="str">
        <f>'Orderformular Color Kids'!B141</f>
        <v>Anonymized Item 141</v>
      </c>
      <c r="C135" s="106" t="str">
        <f>'Orderformular Color Kids'!C141</f>
        <v>Anonymized 4202 Zephyr</v>
      </c>
      <c r="D135" s="108" t="str">
        <f>'Orderformular Color Kids'!D141</f>
        <v>Hats/Necks</v>
      </c>
      <c r="E135" s="97">
        <f>'Orderformular Color Kids'!E141</f>
        <v>0</v>
      </c>
      <c r="F135" s="97">
        <f>'Orderformular Color Kids'!F141</f>
        <v>2</v>
      </c>
      <c r="G135" s="97">
        <f>'Orderformular Color Kids'!G141</f>
        <v>2</v>
      </c>
      <c r="H135" s="97">
        <f>'Orderformular Color Kids'!H141</f>
        <v>0</v>
      </c>
      <c r="I135" s="97">
        <f>'Orderformular Color Kids'!I141</f>
        <v>0</v>
      </c>
      <c r="J135" s="97">
        <f>'Orderformular Color Kids'!J141</f>
        <v>0</v>
      </c>
      <c r="K135" s="97">
        <f>'Orderformular Color Kids'!K141</f>
        <v>0</v>
      </c>
      <c r="L135" s="97">
        <f>'Orderformular Color Kids'!L141</f>
        <v>0</v>
      </c>
      <c r="M135" s="97">
        <f>'Orderformular Color Kids'!M141</f>
        <v>0</v>
      </c>
      <c r="N135" s="97">
        <f>'Orderformular Color Kids'!N141</f>
        <v>0</v>
      </c>
      <c r="O135" s="97">
        <f>'Orderformular Color Kids'!O141</f>
        <v>0</v>
      </c>
      <c r="P135" s="97">
        <f>'Orderformular Color Kids'!P141</f>
        <v>0</v>
      </c>
      <c r="Q135" s="97">
        <f>'Orderformular Color Kids'!Q141</f>
        <v>0</v>
      </c>
      <c r="R135" s="97">
        <f>'Orderformular Color Kids'!R141</f>
        <v>0</v>
      </c>
      <c r="S135" s="98">
        <f t="shared" si="1"/>
        <v>4</v>
      </c>
      <c r="T135" s="109">
        <f>'Orderformular Color Kids'!U141</f>
        <v>26.9</v>
      </c>
    </row>
    <row r="136" spans="1:20" ht="15" customHeight="1" x14ac:dyDescent="0.25">
      <c r="A136" s="110">
        <f>'Orderformular Color Kids'!A142</f>
        <v>720435</v>
      </c>
      <c r="B136" s="106" t="str">
        <f>'Orderformular Color Kids'!B142</f>
        <v>Anonymized Item 142</v>
      </c>
      <c r="C136" s="106" t="str">
        <f>'Orderformular Color Kids'!C142</f>
        <v>Anonymized 6149 Marlin</v>
      </c>
      <c r="D136" s="108" t="str">
        <f>'Orderformular Color Kids'!D142</f>
        <v>Hats/Necks</v>
      </c>
      <c r="E136" s="97">
        <f>'Orderformular Color Kids'!E142</f>
        <v>0</v>
      </c>
      <c r="F136" s="97">
        <f>'Orderformular Color Kids'!F142</f>
        <v>0</v>
      </c>
      <c r="G136" s="97">
        <f>'Orderformular Color Kids'!G142</f>
        <v>0</v>
      </c>
      <c r="H136" s="97">
        <f>'Orderformular Color Kids'!H142</f>
        <v>0</v>
      </c>
      <c r="I136" s="97">
        <f>'Orderformular Color Kids'!I142</f>
        <v>0</v>
      </c>
      <c r="J136" s="97">
        <f>'Orderformular Color Kids'!J142</f>
        <v>0</v>
      </c>
      <c r="K136" s="97">
        <f>'Orderformular Color Kids'!K142</f>
        <v>0</v>
      </c>
      <c r="L136" s="97">
        <f>'Orderformular Color Kids'!L142</f>
        <v>0</v>
      </c>
      <c r="M136" s="97">
        <f>'Orderformular Color Kids'!M142</f>
        <v>0</v>
      </c>
      <c r="N136" s="97">
        <f>'Orderformular Color Kids'!N142</f>
        <v>0</v>
      </c>
      <c r="O136" s="97">
        <f>'Orderformular Color Kids'!O142</f>
        <v>0</v>
      </c>
      <c r="P136" s="97">
        <f>'Orderformular Color Kids'!P142</f>
        <v>0</v>
      </c>
      <c r="Q136" s="97">
        <f>'Orderformular Color Kids'!Q142</f>
        <v>0</v>
      </c>
      <c r="R136" s="97">
        <f>'Orderformular Color Kids'!R142</f>
        <v>0</v>
      </c>
      <c r="S136" s="98">
        <f t="shared" si="1"/>
        <v>0</v>
      </c>
      <c r="T136" s="109">
        <f>'Orderformular Color Kids'!U142</f>
        <v>26.9</v>
      </c>
    </row>
    <row r="137" spans="1:20" ht="15" customHeight="1" x14ac:dyDescent="0.25">
      <c r="A137" s="110">
        <f>'Orderformular Color Kids'!A143</f>
        <v>720435</v>
      </c>
      <c r="B137" s="106" t="str">
        <f>'Orderformular Color Kids'!B143</f>
        <v>Anonymized Item 143</v>
      </c>
      <c r="C137" s="106" t="str">
        <f>'Orderformular Color Kids'!C143</f>
        <v>Anonymized 7490 Placid blue</v>
      </c>
      <c r="D137" s="108" t="str">
        <f>'Orderformular Color Kids'!D143</f>
        <v>Hats/Necks</v>
      </c>
      <c r="E137" s="97">
        <f>'Orderformular Color Kids'!E143</f>
        <v>0</v>
      </c>
      <c r="F137" s="97">
        <f>'Orderformular Color Kids'!F143</f>
        <v>0</v>
      </c>
      <c r="G137" s="97">
        <f>'Orderformular Color Kids'!G143</f>
        <v>0</v>
      </c>
      <c r="H137" s="97">
        <f>'Orderformular Color Kids'!H143</f>
        <v>0</v>
      </c>
      <c r="I137" s="97">
        <f>'Orderformular Color Kids'!I143</f>
        <v>0</v>
      </c>
      <c r="J137" s="97">
        <f>'Orderformular Color Kids'!J143</f>
        <v>0</v>
      </c>
      <c r="K137" s="97">
        <f>'Orderformular Color Kids'!K143</f>
        <v>0</v>
      </c>
      <c r="L137" s="97">
        <f>'Orderformular Color Kids'!L143</f>
        <v>0</v>
      </c>
      <c r="M137" s="97">
        <f>'Orderformular Color Kids'!M143</f>
        <v>0</v>
      </c>
      <c r="N137" s="97">
        <f>'Orderformular Color Kids'!N143</f>
        <v>0</v>
      </c>
      <c r="O137" s="97">
        <f>'Orderformular Color Kids'!O143</f>
        <v>0</v>
      </c>
      <c r="P137" s="97">
        <f>'Orderformular Color Kids'!P143</f>
        <v>0</v>
      </c>
      <c r="Q137" s="97">
        <f>'Orderformular Color Kids'!Q143</f>
        <v>0</v>
      </c>
      <c r="R137" s="97">
        <f>'Orderformular Color Kids'!R143</f>
        <v>0</v>
      </c>
      <c r="S137" s="98">
        <f t="shared" si="1"/>
        <v>0</v>
      </c>
      <c r="T137" s="109">
        <f>'Orderformular Color Kids'!U143</f>
        <v>26.9</v>
      </c>
    </row>
    <row r="138" spans="1:20" ht="15" customHeight="1" x14ac:dyDescent="0.25">
      <c r="A138" s="110">
        <f>'Orderformular Color Kids'!A144</f>
        <v>720435</v>
      </c>
      <c r="B138" s="106" t="str">
        <f>'Orderformular Color Kids'!B144</f>
        <v>Anonymized Item 144</v>
      </c>
      <c r="C138" s="106" t="str">
        <f>'Orderformular Color Kids'!C144</f>
        <v>Anonymized 9118 Tea</v>
      </c>
      <c r="D138" s="108" t="str">
        <f>'Orderformular Color Kids'!D144</f>
        <v>Hats/Necks</v>
      </c>
      <c r="E138" s="97">
        <f>'Orderformular Color Kids'!E144</f>
        <v>0</v>
      </c>
      <c r="F138" s="97">
        <f>'Orderformular Color Kids'!F144</f>
        <v>0</v>
      </c>
      <c r="G138" s="97">
        <f>'Orderformular Color Kids'!G144</f>
        <v>0</v>
      </c>
      <c r="H138" s="97">
        <f>'Orderformular Color Kids'!H144</f>
        <v>0</v>
      </c>
      <c r="I138" s="97">
        <f>'Orderformular Color Kids'!I144</f>
        <v>0</v>
      </c>
      <c r="J138" s="97">
        <f>'Orderformular Color Kids'!J144</f>
        <v>0</v>
      </c>
      <c r="K138" s="97">
        <f>'Orderformular Color Kids'!K144</f>
        <v>0</v>
      </c>
      <c r="L138" s="97">
        <f>'Orderformular Color Kids'!L144</f>
        <v>0</v>
      </c>
      <c r="M138" s="97">
        <f>'Orderformular Color Kids'!M144</f>
        <v>0</v>
      </c>
      <c r="N138" s="97">
        <f>'Orderformular Color Kids'!N144</f>
        <v>0</v>
      </c>
      <c r="O138" s="97">
        <f>'Orderformular Color Kids'!O144</f>
        <v>0</v>
      </c>
      <c r="P138" s="97">
        <f>'Orderformular Color Kids'!P144</f>
        <v>0</v>
      </c>
      <c r="Q138" s="97">
        <f>'Orderformular Color Kids'!Q144</f>
        <v>0</v>
      </c>
      <c r="R138" s="97">
        <f>'Orderformular Color Kids'!R144</f>
        <v>0</v>
      </c>
      <c r="S138" s="98">
        <f t="shared" si="1"/>
        <v>0</v>
      </c>
      <c r="T138" s="109">
        <f>'Orderformular Color Kids'!U144</f>
        <v>26.9</v>
      </c>
    </row>
    <row r="139" spans="1:20" ht="15" customHeight="1" x14ac:dyDescent="0.25">
      <c r="A139" s="110">
        <f>'Orderformular Color Kids'!A145</f>
        <v>720437</v>
      </c>
      <c r="B139" s="106" t="str">
        <f>'Orderformular Color Kids'!B145</f>
        <v>Anonymized Item 145</v>
      </c>
      <c r="C139" s="106" t="str">
        <f>'Orderformular Color Kids'!C145</f>
        <v>Anonymized 4202 Zephyr</v>
      </c>
      <c r="D139" s="108" t="str">
        <f>'Orderformular Color Kids'!D145</f>
        <v>Acc</v>
      </c>
      <c r="E139" s="97">
        <f>'Orderformular Color Kids'!E145</f>
        <v>0</v>
      </c>
      <c r="F139" s="97">
        <f>'Orderformular Color Kids'!F145</f>
        <v>0</v>
      </c>
      <c r="G139" s="97">
        <f>'Orderformular Color Kids'!G145</f>
        <v>0</v>
      </c>
      <c r="H139" s="97">
        <f>'Orderformular Color Kids'!H145</f>
        <v>0</v>
      </c>
      <c r="I139" s="97">
        <f>'Orderformular Color Kids'!I145</f>
        <v>0</v>
      </c>
      <c r="J139" s="97">
        <f>'Orderformular Color Kids'!J145</f>
        <v>0</v>
      </c>
      <c r="K139" s="97">
        <f>'Orderformular Color Kids'!K145</f>
        <v>0</v>
      </c>
      <c r="L139" s="97">
        <f>'Orderformular Color Kids'!L145</f>
        <v>0</v>
      </c>
      <c r="M139" s="97">
        <f>'Orderformular Color Kids'!M145</f>
        <v>0</v>
      </c>
      <c r="N139" s="97">
        <f>'Orderformular Color Kids'!N145</f>
        <v>0</v>
      </c>
      <c r="O139" s="97">
        <f>'Orderformular Color Kids'!O145</f>
        <v>0</v>
      </c>
      <c r="P139" s="97">
        <f>'Orderformular Color Kids'!P145</f>
        <v>0</v>
      </c>
      <c r="Q139" s="97">
        <f>'Orderformular Color Kids'!Q145</f>
        <v>0</v>
      </c>
      <c r="R139" s="97">
        <f>'Orderformular Color Kids'!R145</f>
        <v>0</v>
      </c>
      <c r="S139" s="98">
        <f t="shared" si="1"/>
        <v>0</v>
      </c>
      <c r="T139" s="109">
        <f>'Orderformular Color Kids'!U145</f>
        <v>45.9</v>
      </c>
    </row>
    <row r="140" spans="1:20" ht="15" customHeight="1" x14ac:dyDescent="0.25">
      <c r="A140" s="110">
        <f>'Orderformular Color Kids'!A146</f>
        <v>720437</v>
      </c>
      <c r="B140" s="106" t="str">
        <f>'Orderformular Color Kids'!B146</f>
        <v>Anonymized Item 146</v>
      </c>
      <c r="C140" s="106" t="str">
        <f>'Orderformular Color Kids'!C146</f>
        <v>Anonymized 9118 Tea</v>
      </c>
      <c r="D140" s="108" t="str">
        <f>'Orderformular Color Kids'!D146</f>
        <v>Acc</v>
      </c>
      <c r="E140" s="97">
        <f>'Orderformular Color Kids'!E146</f>
        <v>0</v>
      </c>
      <c r="F140" s="97">
        <f>'Orderformular Color Kids'!F146</f>
        <v>0</v>
      </c>
      <c r="G140" s="97">
        <f>'Orderformular Color Kids'!G146</f>
        <v>0</v>
      </c>
      <c r="H140" s="97">
        <f>'Orderformular Color Kids'!H146</f>
        <v>0</v>
      </c>
      <c r="I140" s="97">
        <f>'Orderformular Color Kids'!I146</f>
        <v>0</v>
      </c>
      <c r="J140" s="97">
        <f>'Orderformular Color Kids'!J146</f>
        <v>0</v>
      </c>
      <c r="K140" s="97">
        <f>'Orderformular Color Kids'!K146</f>
        <v>0</v>
      </c>
      <c r="L140" s="97">
        <f>'Orderformular Color Kids'!L146</f>
        <v>0</v>
      </c>
      <c r="M140" s="97">
        <f>'Orderformular Color Kids'!M146</f>
        <v>0</v>
      </c>
      <c r="N140" s="97">
        <f>'Orderformular Color Kids'!N146</f>
        <v>0</v>
      </c>
      <c r="O140" s="97">
        <f>'Orderformular Color Kids'!O146</f>
        <v>0</v>
      </c>
      <c r="P140" s="97">
        <f>'Orderformular Color Kids'!P146</f>
        <v>0</v>
      </c>
      <c r="Q140" s="97">
        <f>'Orderformular Color Kids'!Q146</f>
        <v>0</v>
      </c>
      <c r="R140" s="97">
        <f>'Orderformular Color Kids'!R146</f>
        <v>0</v>
      </c>
      <c r="S140" s="98">
        <f t="shared" ref="S140:S203" si="2">SUM(E140:R140)</f>
        <v>0</v>
      </c>
      <c r="T140" s="109">
        <f>'Orderformular Color Kids'!U146</f>
        <v>45.9</v>
      </c>
    </row>
    <row r="141" spans="1:20" ht="15" customHeight="1" x14ac:dyDescent="0.25">
      <c r="A141" s="110">
        <f>'Orderformular Color Kids'!A147</f>
        <v>720450</v>
      </c>
      <c r="B141" s="106" t="str">
        <f>'Orderformular Color Kids'!B147</f>
        <v>Anonymized Item 147</v>
      </c>
      <c r="C141" s="106" t="str">
        <f>'Orderformular Color Kids'!C147</f>
        <v>Anonymized 3741 Sunny Lime</v>
      </c>
      <c r="D141" s="108" t="str">
        <f>'Orderformular Color Kids'!D147</f>
        <v>Kids</v>
      </c>
      <c r="E141" s="97">
        <f>'Orderformular Color Kids'!E147</f>
        <v>0</v>
      </c>
      <c r="F141" s="97">
        <f>'Orderformular Color Kids'!F147</f>
        <v>0</v>
      </c>
      <c r="G141" s="97">
        <f>'Orderformular Color Kids'!G147</f>
        <v>0</v>
      </c>
      <c r="H141" s="97">
        <f>'Orderformular Color Kids'!H147</f>
        <v>0</v>
      </c>
      <c r="I141" s="97">
        <f>'Orderformular Color Kids'!I147</f>
        <v>0</v>
      </c>
      <c r="J141" s="97">
        <f>'Orderformular Color Kids'!J147</f>
        <v>0</v>
      </c>
      <c r="K141" s="97">
        <f>'Orderformular Color Kids'!K147</f>
        <v>0</v>
      </c>
      <c r="L141" s="97">
        <f>'Orderformular Color Kids'!L147</f>
        <v>0</v>
      </c>
      <c r="M141" s="97">
        <f>'Orderformular Color Kids'!M147</f>
        <v>0</v>
      </c>
      <c r="N141" s="97">
        <f>'Orderformular Color Kids'!N147</f>
        <v>0</v>
      </c>
      <c r="O141" s="97">
        <f>'Orderformular Color Kids'!O147</f>
        <v>0</v>
      </c>
      <c r="P141" s="97">
        <f>'Orderformular Color Kids'!P147</f>
        <v>0</v>
      </c>
      <c r="Q141" s="97">
        <f>'Orderformular Color Kids'!Q147</f>
        <v>0</v>
      </c>
      <c r="R141" s="97">
        <f>'Orderformular Color Kids'!R147</f>
        <v>0</v>
      </c>
      <c r="S141" s="98">
        <f t="shared" si="2"/>
        <v>0</v>
      </c>
      <c r="T141" s="109">
        <f>'Orderformular Color Kids'!U147</f>
        <v>32.9</v>
      </c>
    </row>
    <row r="142" spans="1:20" ht="15" customHeight="1" x14ac:dyDescent="0.25">
      <c r="A142" s="110">
        <f>'Orderformular Color Kids'!A148</f>
        <v>720450</v>
      </c>
      <c r="B142" s="106" t="str">
        <f>'Orderformular Color Kids'!B148</f>
        <v>Anonymized Item 148</v>
      </c>
      <c r="C142" s="106" t="str">
        <f>'Orderformular Color Kids'!C148</f>
        <v>Anonymized 5381 Pink Glo</v>
      </c>
      <c r="D142" s="108" t="str">
        <f>'Orderformular Color Kids'!D148</f>
        <v>Kids</v>
      </c>
      <c r="E142" s="97">
        <f>'Orderformular Color Kids'!E148</f>
        <v>0</v>
      </c>
      <c r="F142" s="97">
        <f>'Orderformular Color Kids'!F148</f>
        <v>0</v>
      </c>
      <c r="G142" s="97">
        <f>'Orderformular Color Kids'!G148</f>
        <v>0</v>
      </c>
      <c r="H142" s="97">
        <f>'Orderformular Color Kids'!H148</f>
        <v>0</v>
      </c>
      <c r="I142" s="97">
        <f>'Orderformular Color Kids'!I148</f>
        <v>0</v>
      </c>
      <c r="J142" s="97">
        <f>'Orderformular Color Kids'!J148</f>
        <v>0</v>
      </c>
      <c r="K142" s="97">
        <f>'Orderformular Color Kids'!K148</f>
        <v>0</v>
      </c>
      <c r="L142" s="97">
        <f>'Orderformular Color Kids'!L148</f>
        <v>0</v>
      </c>
      <c r="M142" s="97">
        <f>'Orderformular Color Kids'!M148</f>
        <v>0</v>
      </c>
      <c r="N142" s="97">
        <f>'Orderformular Color Kids'!N148</f>
        <v>0</v>
      </c>
      <c r="O142" s="97">
        <f>'Orderformular Color Kids'!O148</f>
        <v>0</v>
      </c>
      <c r="P142" s="97">
        <f>'Orderformular Color Kids'!P148</f>
        <v>0</v>
      </c>
      <c r="Q142" s="97">
        <f>'Orderformular Color Kids'!Q148</f>
        <v>0</v>
      </c>
      <c r="R142" s="97">
        <f>'Orderformular Color Kids'!R148</f>
        <v>0</v>
      </c>
      <c r="S142" s="98">
        <f t="shared" si="2"/>
        <v>0</v>
      </c>
      <c r="T142" s="109">
        <f>'Orderformular Color Kids'!U148</f>
        <v>32.9</v>
      </c>
    </row>
    <row r="143" spans="1:20" ht="15" customHeight="1" x14ac:dyDescent="0.25">
      <c r="A143" s="110">
        <f>'Orderformular Color Kids'!A149</f>
        <v>720450</v>
      </c>
      <c r="B143" s="106" t="str">
        <f>'Orderformular Color Kids'!B149</f>
        <v>Anonymized Item 149</v>
      </c>
      <c r="C143" s="106" t="str">
        <f>'Orderformular Color Kids'!C149</f>
        <v>Anonymized 7946 Baja Blue</v>
      </c>
      <c r="D143" s="108" t="str">
        <f>'Orderformular Color Kids'!D149</f>
        <v>Kids</v>
      </c>
      <c r="E143" s="97">
        <f>'Orderformular Color Kids'!E149</f>
        <v>0</v>
      </c>
      <c r="F143" s="97">
        <f>'Orderformular Color Kids'!F149</f>
        <v>0</v>
      </c>
      <c r="G143" s="97">
        <f>'Orderformular Color Kids'!G149</f>
        <v>0</v>
      </c>
      <c r="H143" s="97">
        <f>'Orderformular Color Kids'!H149</f>
        <v>0</v>
      </c>
      <c r="I143" s="97">
        <f>'Orderformular Color Kids'!I149</f>
        <v>0</v>
      </c>
      <c r="J143" s="97">
        <f>'Orderformular Color Kids'!J149</f>
        <v>0</v>
      </c>
      <c r="K143" s="97">
        <f>'Orderformular Color Kids'!K149</f>
        <v>0</v>
      </c>
      <c r="L143" s="97">
        <f>'Orderformular Color Kids'!L149</f>
        <v>0</v>
      </c>
      <c r="M143" s="97">
        <f>'Orderformular Color Kids'!M149</f>
        <v>0</v>
      </c>
      <c r="N143" s="97">
        <f>'Orderformular Color Kids'!N149</f>
        <v>0</v>
      </c>
      <c r="O143" s="97">
        <f>'Orderformular Color Kids'!O149</f>
        <v>0</v>
      </c>
      <c r="P143" s="97">
        <f>'Orderformular Color Kids'!P149</f>
        <v>0</v>
      </c>
      <c r="Q143" s="97">
        <f>'Orderformular Color Kids'!Q149</f>
        <v>0</v>
      </c>
      <c r="R143" s="97">
        <f>'Orderformular Color Kids'!R149</f>
        <v>0</v>
      </c>
      <c r="S143" s="98">
        <f t="shared" si="2"/>
        <v>0</v>
      </c>
      <c r="T143" s="109">
        <f>'Orderformular Color Kids'!U149</f>
        <v>32.9</v>
      </c>
    </row>
    <row r="144" spans="1:20" ht="15" customHeight="1" x14ac:dyDescent="0.25">
      <c r="A144" s="110">
        <f>'Orderformular Color Kids'!A150</f>
        <v>720451</v>
      </c>
      <c r="B144" s="106" t="str">
        <f>'Orderformular Color Kids'!B150</f>
        <v>Anonymized Item 150</v>
      </c>
      <c r="C144" s="106" t="str">
        <f>'Orderformular Color Kids'!C150</f>
        <v>Anonymized 6820 Iris Orchid</v>
      </c>
      <c r="D144" s="108" t="str">
        <f>'Orderformular Color Kids'!D150</f>
        <v>Kids</v>
      </c>
      <c r="E144" s="97">
        <f>'Orderformular Color Kids'!E150</f>
        <v>0</v>
      </c>
      <c r="F144" s="97">
        <f>'Orderformular Color Kids'!F150</f>
        <v>0</v>
      </c>
      <c r="G144" s="97">
        <f>'Orderformular Color Kids'!G150</f>
        <v>0</v>
      </c>
      <c r="H144" s="97">
        <f>'Orderformular Color Kids'!H150</f>
        <v>0</v>
      </c>
      <c r="I144" s="97">
        <f>'Orderformular Color Kids'!I150</f>
        <v>0</v>
      </c>
      <c r="J144" s="97">
        <f>'Orderformular Color Kids'!J150</f>
        <v>0</v>
      </c>
      <c r="K144" s="97">
        <f>'Orderformular Color Kids'!K150</f>
        <v>0</v>
      </c>
      <c r="L144" s="97">
        <f>'Orderformular Color Kids'!L150</f>
        <v>0</v>
      </c>
      <c r="M144" s="97">
        <f>'Orderformular Color Kids'!M150</f>
        <v>0</v>
      </c>
      <c r="N144" s="97">
        <f>'Orderformular Color Kids'!N150</f>
        <v>0</v>
      </c>
      <c r="O144" s="97">
        <f>'Orderformular Color Kids'!O150</f>
        <v>0</v>
      </c>
      <c r="P144" s="97">
        <f>'Orderformular Color Kids'!P150</f>
        <v>0</v>
      </c>
      <c r="Q144" s="97">
        <f>'Orderformular Color Kids'!Q150</f>
        <v>0</v>
      </c>
      <c r="R144" s="97">
        <f>'Orderformular Color Kids'!R150</f>
        <v>0</v>
      </c>
      <c r="S144" s="98">
        <f t="shared" si="2"/>
        <v>0</v>
      </c>
      <c r="T144" s="109">
        <f>'Orderformular Color Kids'!U150</f>
        <v>32.9</v>
      </c>
    </row>
    <row r="145" spans="1:20" ht="15" customHeight="1" x14ac:dyDescent="0.25">
      <c r="A145" s="110">
        <f>'Orderformular Color Kids'!A151</f>
        <v>720451</v>
      </c>
      <c r="B145" s="106" t="str">
        <f>'Orderformular Color Kids'!B151</f>
        <v>Anonymized Item 151</v>
      </c>
      <c r="C145" s="106" t="str">
        <f>'Orderformular Color Kids'!C151</f>
        <v>Anonymized 8425 Pool Green</v>
      </c>
      <c r="D145" s="108" t="str">
        <f>'Orderformular Color Kids'!D151</f>
        <v>Kids</v>
      </c>
      <c r="E145" s="97">
        <f>'Orderformular Color Kids'!E151</f>
        <v>0</v>
      </c>
      <c r="F145" s="97">
        <f>'Orderformular Color Kids'!F151</f>
        <v>0</v>
      </c>
      <c r="G145" s="97">
        <f>'Orderformular Color Kids'!G151</f>
        <v>0</v>
      </c>
      <c r="H145" s="97">
        <f>'Orderformular Color Kids'!H151</f>
        <v>0</v>
      </c>
      <c r="I145" s="97">
        <f>'Orderformular Color Kids'!I151</f>
        <v>0</v>
      </c>
      <c r="J145" s="97">
        <f>'Orderformular Color Kids'!J151</f>
        <v>0</v>
      </c>
      <c r="K145" s="97">
        <f>'Orderformular Color Kids'!K151</f>
        <v>0</v>
      </c>
      <c r="L145" s="97">
        <f>'Orderformular Color Kids'!L151</f>
        <v>0</v>
      </c>
      <c r="M145" s="97">
        <f>'Orderformular Color Kids'!M151</f>
        <v>0</v>
      </c>
      <c r="N145" s="97">
        <f>'Orderformular Color Kids'!N151</f>
        <v>0</v>
      </c>
      <c r="O145" s="97">
        <f>'Orderformular Color Kids'!O151</f>
        <v>0</v>
      </c>
      <c r="P145" s="97">
        <f>'Orderformular Color Kids'!P151</f>
        <v>0</v>
      </c>
      <c r="Q145" s="97">
        <f>'Orderformular Color Kids'!Q151</f>
        <v>0</v>
      </c>
      <c r="R145" s="97">
        <f>'Orderformular Color Kids'!R151</f>
        <v>0</v>
      </c>
      <c r="S145" s="98">
        <f t="shared" si="2"/>
        <v>0</v>
      </c>
      <c r="T145" s="109">
        <f>'Orderformular Color Kids'!U151</f>
        <v>32.9</v>
      </c>
    </row>
    <row r="146" spans="1:20" ht="15" customHeight="1" x14ac:dyDescent="0.25">
      <c r="A146" s="110">
        <f>'Orderformular Color Kids'!A152</f>
        <v>720453</v>
      </c>
      <c r="B146" s="106" t="str">
        <f>'Orderformular Color Kids'!B152</f>
        <v>Anonymized Item 152</v>
      </c>
      <c r="C146" s="106" t="str">
        <f>'Orderformular Color Kids'!C152</f>
        <v>Anonymized 3810 Tender Yellow</v>
      </c>
      <c r="D146" s="108" t="str">
        <f>'Orderformular Color Kids'!D152</f>
        <v>Kids</v>
      </c>
      <c r="E146" s="97">
        <f>'Orderformular Color Kids'!E152</f>
        <v>0</v>
      </c>
      <c r="F146" s="97">
        <f>'Orderformular Color Kids'!F152</f>
        <v>0</v>
      </c>
      <c r="G146" s="97">
        <f>'Orderformular Color Kids'!G152</f>
        <v>0</v>
      </c>
      <c r="H146" s="97">
        <f>'Orderformular Color Kids'!H152</f>
        <v>0</v>
      </c>
      <c r="I146" s="97">
        <f>'Orderformular Color Kids'!I152</f>
        <v>0</v>
      </c>
      <c r="J146" s="97">
        <f>'Orderformular Color Kids'!J152</f>
        <v>0</v>
      </c>
      <c r="K146" s="97">
        <f>'Orderformular Color Kids'!K152</f>
        <v>0</v>
      </c>
      <c r="L146" s="97">
        <f>'Orderformular Color Kids'!L152</f>
        <v>0</v>
      </c>
      <c r="M146" s="97">
        <f>'Orderformular Color Kids'!M152</f>
        <v>0</v>
      </c>
      <c r="N146" s="97">
        <f>'Orderformular Color Kids'!N152</f>
        <v>0</v>
      </c>
      <c r="O146" s="97">
        <f>'Orderformular Color Kids'!O152</f>
        <v>0</v>
      </c>
      <c r="P146" s="97">
        <f>'Orderformular Color Kids'!P152</f>
        <v>0</v>
      </c>
      <c r="Q146" s="97">
        <f>'Orderformular Color Kids'!Q152</f>
        <v>0</v>
      </c>
      <c r="R146" s="97">
        <f>'Orderformular Color Kids'!R152</f>
        <v>0</v>
      </c>
      <c r="S146" s="98">
        <f t="shared" si="2"/>
        <v>0</v>
      </c>
      <c r="T146" s="109">
        <f>'Orderformular Color Kids'!U152</f>
        <v>32.9</v>
      </c>
    </row>
    <row r="147" spans="1:20" ht="15" customHeight="1" x14ac:dyDescent="0.25">
      <c r="A147" s="110">
        <f>'Orderformular Color Kids'!A153</f>
        <v>720453</v>
      </c>
      <c r="B147" s="106" t="str">
        <f>'Orderformular Color Kids'!B153</f>
        <v>Anonymized Item 153</v>
      </c>
      <c r="C147" s="106" t="str">
        <f>'Orderformular Color Kids'!C153</f>
        <v>Anonymized 7721 Dress Blues</v>
      </c>
      <c r="D147" s="108" t="str">
        <f>'Orderformular Color Kids'!D153</f>
        <v>Kids</v>
      </c>
      <c r="E147" s="97">
        <f>'Orderformular Color Kids'!E153</f>
        <v>0</v>
      </c>
      <c r="F147" s="97">
        <f>'Orderformular Color Kids'!F153</f>
        <v>0</v>
      </c>
      <c r="G147" s="97">
        <f>'Orderformular Color Kids'!G153</f>
        <v>0</v>
      </c>
      <c r="H147" s="97">
        <f>'Orderformular Color Kids'!H153</f>
        <v>0</v>
      </c>
      <c r="I147" s="97">
        <f>'Orderformular Color Kids'!I153</f>
        <v>0</v>
      </c>
      <c r="J147" s="97">
        <f>'Orderformular Color Kids'!J153</f>
        <v>0</v>
      </c>
      <c r="K147" s="97">
        <f>'Orderformular Color Kids'!K153</f>
        <v>0</v>
      </c>
      <c r="L147" s="97">
        <f>'Orderformular Color Kids'!L153</f>
        <v>0</v>
      </c>
      <c r="M147" s="97">
        <f>'Orderformular Color Kids'!M153</f>
        <v>0</v>
      </c>
      <c r="N147" s="97">
        <f>'Orderformular Color Kids'!N153</f>
        <v>0</v>
      </c>
      <c r="O147" s="97">
        <f>'Orderformular Color Kids'!O153</f>
        <v>0</v>
      </c>
      <c r="P147" s="97">
        <f>'Orderformular Color Kids'!P153</f>
        <v>0</v>
      </c>
      <c r="Q147" s="97">
        <f>'Orderformular Color Kids'!Q153</f>
        <v>0</v>
      </c>
      <c r="R147" s="97">
        <f>'Orderformular Color Kids'!R153</f>
        <v>0</v>
      </c>
      <c r="S147" s="98">
        <f t="shared" si="2"/>
        <v>0</v>
      </c>
      <c r="T147" s="109">
        <f>'Orderformular Color Kids'!U153</f>
        <v>32.9</v>
      </c>
    </row>
    <row r="148" spans="1:20" ht="15" customHeight="1" x14ac:dyDescent="0.25">
      <c r="A148" s="110">
        <f>'Orderformular Color Kids'!A154</f>
        <v>720453</v>
      </c>
      <c r="B148" s="106" t="str">
        <f>'Orderformular Color Kids'!B154</f>
        <v>Anonymized Item 154</v>
      </c>
      <c r="C148" s="106" t="str">
        <f>'Orderformular Color Kids'!C154</f>
        <v>Anonymized 7946 Baja Blue</v>
      </c>
      <c r="D148" s="108" t="str">
        <f>'Orderformular Color Kids'!D154</f>
        <v>Kids</v>
      </c>
      <c r="E148" s="97">
        <f>'Orderformular Color Kids'!E154</f>
        <v>0</v>
      </c>
      <c r="F148" s="97">
        <f>'Orderformular Color Kids'!F154</f>
        <v>0</v>
      </c>
      <c r="G148" s="97">
        <f>'Orderformular Color Kids'!G154</f>
        <v>0</v>
      </c>
      <c r="H148" s="97">
        <f>'Orderformular Color Kids'!H154</f>
        <v>0</v>
      </c>
      <c r="I148" s="97">
        <f>'Orderformular Color Kids'!I154</f>
        <v>0</v>
      </c>
      <c r="J148" s="97">
        <f>'Orderformular Color Kids'!J154</f>
        <v>0</v>
      </c>
      <c r="K148" s="97">
        <f>'Orderformular Color Kids'!K154</f>
        <v>0</v>
      </c>
      <c r="L148" s="97">
        <f>'Orderformular Color Kids'!L154</f>
        <v>0</v>
      </c>
      <c r="M148" s="97">
        <f>'Orderformular Color Kids'!M154</f>
        <v>0</v>
      </c>
      <c r="N148" s="97">
        <f>'Orderformular Color Kids'!N154</f>
        <v>0</v>
      </c>
      <c r="O148" s="97">
        <f>'Orderformular Color Kids'!O154</f>
        <v>0</v>
      </c>
      <c r="P148" s="97">
        <f>'Orderformular Color Kids'!P154</f>
        <v>0</v>
      </c>
      <c r="Q148" s="97">
        <f>'Orderformular Color Kids'!Q154</f>
        <v>0</v>
      </c>
      <c r="R148" s="97">
        <f>'Orderformular Color Kids'!R154</f>
        <v>0</v>
      </c>
      <c r="S148" s="98">
        <f t="shared" si="2"/>
        <v>0</v>
      </c>
      <c r="T148" s="109">
        <f>'Orderformular Color Kids'!U154</f>
        <v>32.9</v>
      </c>
    </row>
    <row r="149" spans="1:20" ht="15" customHeight="1" x14ac:dyDescent="0.25">
      <c r="A149" s="110">
        <f>'Orderformular Color Kids'!A155</f>
        <v>720454</v>
      </c>
      <c r="B149" s="106" t="str">
        <f>'Orderformular Color Kids'!B155</f>
        <v>Anonymized Item 155</v>
      </c>
      <c r="C149" s="106" t="str">
        <f>'Orderformular Color Kids'!C155</f>
        <v>Anonymized 3810 Tender Yellow</v>
      </c>
      <c r="D149" s="108" t="str">
        <f>'Orderformular Color Kids'!D155</f>
        <v>Kids</v>
      </c>
      <c r="E149" s="97">
        <f>'Orderformular Color Kids'!E155</f>
        <v>0</v>
      </c>
      <c r="F149" s="97">
        <f>'Orderformular Color Kids'!F155</f>
        <v>0</v>
      </c>
      <c r="G149" s="97">
        <f>'Orderformular Color Kids'!G155</f>
        <v>0</v>
      </c>
      <c r="H149" s="97">
        <f>'Orderformular Color Kids'!H155</f>
        <v>0</v>
      </c>
      <c r="I149" s="97">
        <f>'Orderformular Color Kids'!I155</f>
        <v>0</v>
      </c>
      <c r="J149" s="97">
        <f>'Orderformular Color Kids'!J155</f>
        <v>0</v>
      </c>
      <c r="K149" s="97">
        <f>'Orderformular Color Kids'!K155</f>
        <v>0</v>
      </c>
      <c r="L149" s="97">
        <f>'Orderformular Color Kids'!L155</f>
        <v>0</v>
      </c>
      <c r="M149" s="97">
        <f>'Orderformular Color Kids'!M155</f>
        <v>0</v>
      </c>
      <c r="N149" s="97">
        <f>'Orderformular Color Kids'!N155</f>
        <v>0</v>
      </c>
      <c r="O149" s="97">
        <f>'Orderformular Color Kids'!O155</f>
        <v>0</v>
      </c>
      <c r="P149" s="97">
        <f>'Orderformular Color Kids'!P155</f>
        <v>0</v>
      </c>
      <c r="Q149" s="97">
        <f>'Orderformular Color Kids'!Q155</f>
        <v>0</v>
      </c>
      <c r="R149" s="97">
        <f>'Orderformular Color Kids'!R155</f>
        <v>0</v>
      </c>
      <c r="S149" s="98">
        <f t="shared" si="2"/>
        <v>0</v>
      </c>
      <c r="T149" s="109">
        <f>'Orderformular Color Kids'!U155</f>
        <v>32.9</v>
      </c>
    </row>
    <row r="150" spans="1:20" ht="15" customHeight="1" x14ac:dyDescent="0.25">
      <c r="A150" s="110">
        <f>'Orderformular Color Kids'!A156</f>
        <v>720454</v>
      </c>
      <c r="B150" s="106" t="str">
        <f>'Orderformular Color Kids'!B156</f>
        <v>Anonymized Item 156</v>
      </c>
      <c r="C150" s="106" t="str">
        <f>'Orderformular Color Kids'!C156</f>
        <v>Anonymized 7721 Dress Blues</v>
      </c>
      <c r="D150" s="108" t="str">
        <f>'Orderformular Color Kids'!D156</f>
        <v>Kids</v>
      </c>
      <c r="E150" s="97">
        <f>'Orderformular Color Kids'!E156</f>
        <v>0</v>
      </c>
      <c r="F150" s="97">
        <f>'Orderformular Color Kids'!F156</f>
        <v>0</v>
      </c>
      <c r="G150" s="97">
        <f>'Orderformular Color Kids'!G156</f>
        <v>0</v>
      </c>
      <c r="H150" s="97">
        <f>'Orderformular Color Kids'!H156</f>
        <v>0</v>
      </c>
      <c r="I150" s="97">
        <f>'Orderformular Color Kids'!I156</f>
        <v>0</v>
      </c>
      <c r="J150" s="97">
        <f>'Orderformular Color Kids'!J156</f>
        <v>0</v>
      </c>
      <c r="K150" s="97">
        <f>'Orderformular Color Kids'!K156</f>
        <v>0</v>
      </c>
      <c r="L150" s="97">
        <f>'Orderformular Color Kids'!L156</f>
        <v>0</v>
      </c>
      <c r="M150" s="97">
        <f>'Orderformular Color Kids'!M156</f>
        <v>0</v>
      </c>
      <c r="N150" s="97">
        <f>'Orderformular Color Kids'!N156</f>
        <v>0</v>
      </c>
      <c r="O150" s="97">
        <f>'Orderformular Color Kids'!O156</f>
        <v>0</v>
      </c>
      <c r="P150" s="97">
        <f>'Orderformular Color Kids'!P156</f>
        <v>0</v>
      </c>
      <c r="Q150" s="97">
        <f>'Orderformular Color Kids'!Q156</f>
        <v>0</v>
      </c>
      <c r="R150" s="97">
        <f>'Orderformular Color Kids'!R156</f>
        <v>0</v>
      </c>
      <c r="S150" s="98">
        <f t="shared" si="2"/>
        <v>0</v>
      </c>
      <c r="T150" s="109">
        <f>'Orderformular Color Kids'!U156</f>
        <v>32.9</v>
      </c>
    </row>
    <row r="151" spans="1:20" ht="15" customHeight="1" x14ac:dyDescent="0.25">
      <c r="A151" s="110">
        <f>'Orderformular Color Kids'!A157</f>
        <v>720454</v>
      </c>
      <c r="B151" s="106" t="str">
        <f>'Orderformular Color Kids'!B157</f>
        <v>Anonymized Item 157</v>
      </c>
      <c r="C151" s="106" t="str">
        <f>'Orderformular Color Kids'!C157</f>
        <v>Anonymized 7946 Baja Blue</v>
      </c>
      <c r="D151" s="108" t="str">
        <f>'Orderformular Color Kids'!D157</f>
        <v>Kids</v>
      </c>
      <c r="E151" s="97">
        <f>'Orderformular Color Kids'!E157</f>
        <v>0</v>
      </c>
      <c r="F151" s="97">
        <f>'Orderformular Color Kids'!F157</f>
        <v>0</v>
      </c>
      <c r="G151" s="97">
        <f>'Orderformular Color Kids'!G157</f>
        <v>0</v>
      </c>
      <c r="H151" s="97">
        <f>'Orderformular Color Kids'!H157</f>
        <v>0</v>
      </c>
      <c r="I151" s="97">
        <f>'Orderformular Color Kids'!I157</f>
        <v>0</v>
      </c>
      <c r="J151" s="97">
        <f>'Orderformular Color Kids'!J157</f>
        <v>0</v>
      </c>
      <c r="K151" s="97">
        <f>'Orderformular Color Kids'!K157</f>
        <v>0</v>
      </c>
      <c r="L151" s="97">
        <f>'Orderformular Color Kids'!L157</f>
        <v>0</v>
      </c>
      <c r="M151" s="97">
        <f>'Orderformular Color Kids'!M157</f>
        <v>0</v>
      </c>
      <c r="N151" s="97">
        <f>'Orderformular Color Kids'!N157</f>
        <v>0</v>
      </c>
      <c r="O151" s="97">
        <f>'Orderformular Color Kids'!O157</f>
        <v>0</v>
      </c>
      <c r="P151" s="97">
        <f>'Orderformular Color Kids'!P157</f>
        <v>0</v>
      </c>
      <c r="Q151" s="97">
        <f>'Orderformular Color Kids'!Q157</f>
        <v>0</v>
      </c>
      <c r="R151" s="97">
        <f>'Orderformular Color Kids'!R157</f>
        <v>0</v>
      </c>
      <c r="S151" s="98">
        <f t="shared" si="2"/>
        <v>0</v>
      </c>
      <c r="T151" s="109">
        <f>'Orderformular Color Kids'!U157</f>
        <v>32.9</v>
      </c>
    </row>
    <row r="152" spans="1:20" ht="15" customHeight="1" x14ac:dyDescent="0.25">
      <c r="A152" s="110">
        <f>'Orderformular Color Kids'!A158</f>
        <v>720455</v>
      </c>
      <c r="B152" s="106" t="str">
        <f>'Orderformular Color Kids'!B158</f>
        <v>Anonymized Item 158</v>
      </c>
      <c r="C152" s="106" t="str">
        <f>'Orderformular Color Kids'!C158</f>
        <v>Anonymized 3825 Popcorn</v>
      </c>
      <c r="D152" s="108" t="str">
        <f>'Orderformular Color Kids'!D158</f>
        <v>Kids</v>
      </c>
      <c r="E152" s="97">
        <f>'Orderformular Color Kids'!E158</f>
        <v>0</v>
      </c>
      <c r="F152" s="97">
        <f>'Orderformular Color Kids'!F158</f>
        <v>0</v>
      </c>
      <c r="G152" s="97">
        <f>'Orderformular Color Kids'!G158</f>
        <v>0</v>
      </c>
      <c r="H152" s="97">
        <f>'Orderformular Color Kids'!H158</f>
        <v>0</v>
      </c>
      <c r="I152" s="97">
        <f>'Orderformular Color Kids'!I158</f>
        <v>0</v>
      </c>
      <c r="J152" s="97">
        <f>'Orderformular Color Kids'!J158</f>
        <v>0</v>
      </c>
      <c r="K152" s="97">
        <f>'Orderformular Color Kids'!K158</f>
        <v>0</v>
      </c>
      <c r="L152" s="97">
        <f>'Orderformular Color Kids'!L158</f>
        <v>0</v>
      </c>
      <c r="M152" s="97">
        <f>'Orderformular Color Kids'!M158</f>
        <v>0</v>
      </c>
      <c r="N152" s="97">
        <f>'Orderformular Color Kids'!N158</f>
        <v>0</v>
      </c>
      <c r="O152" s="97">
        <f>'Orderformular Color Kids'!O158</f>
        <v>0</v>
      </c>
      <c r="P152" s="97">
        <f>'Orderformular Color Kids'!P158</f>
        <v>0</v>
      </c>
      <c r="Q152" s="97">
        <f>'Orderformular Color Kids'!Q158</f>
        <v>0</v>
      </c>
      <c r="R152" s="97">
        <f>'Orderformular Color Kids'!R158</f>
        <v>0</v>
      </c>
      <c r="S152" s="98">
        <f t="shared" si="2"/>
        <v>0</v>
      </c>
      <c r="T152" s="109">
        <f>'Orderformular Color Kids'!U158</f>
        <v>32.9</v>
      </c>
    </row>
    <row r="153" spans="1:20" ht="15" customHeight="1" x14ac:dyDescent="0.25">
      <c r="A153" s="110">
        <f>'Orderformular Color Kids'!A159</f>
        <v>720455</v>
      </c>
      <c r="B153" s="106" t="str">
        <f>'Orderformular Color Kids'!B159</f>
        <v>Anonymized Item 159</v>
      </c>
      <c r="C153" s="106" t="str">
        <f>'Orderformular Color Kids'!C159</f>
        <v>Anonymized 5021 Pale Lilac</v>
      </c>
      <c r="D153" s="108" t="str">
        <f>'Orderformular Color Kids'!D159</f>
        <v>Kids</v>
      </c>
      <c r="E153" s="97">
        <f>'Orderformular Color Kids'!E159</f>
        <v>0</v>
      </c>
      <c r="F153" s="97">
        <f>'Orderformular Color Kids'!F159</f>
        <v>0</v>
      </c>
      <c r="G153" s="97">
        <f>'Orderformular Color Kids'!G159</f>
        <v>0</v>
      </c>
      <c r="H153" s="97">
        <f>'Orderformular Color Kids'!H159</f>
        <v>0</v>
      </c>
      <c r="I153" s="97">
        <f>'Orderformular Color Kids'!I159</f>
        <v>0</v>
      </c>
      <c r="J153" s="97">
        <f>'Orderformular Color Kids'!J159</f>
        <v>0</v>
      </c>
      <c r="K153" s="97">
        <f>'Orderformular Color Kids'!K159</f>
        <v>0</v>
      </c>
      <c r="L153" s="97">
        <f>'Orderformular Color Kids'!L159</f>
        <v>0</v>
      </c>
      <c r="M153" s="97">
        <f>'Orderformular Color Kids'!M159</f>
        <v>0</v>
      </c>
      <c r="N153" s="97">
        <f>'Orderformular Color Kids'!N159</f>
        <v>0</v>
      </c>
      <c r="O153" s="97">
        <f>'Orderformular Color Kids'!O159</f>
        <v>0</v>
      </c>
      <c r="P153" s="97">
        <f>'Orderformular Color Kids'!P159</f>
        <v>0</v>
      </c>
      <c r="Q153" s="97">
        <f>'Orderformular Color Kids'!Q159</f>
        <v>0</v>
      </c>
      <c r="R153" s="97">
        <f>'Orderformular Color Kids'!R159</f>
        <v>0</v>
      </c>
      <c r="S153" s="98">
        <f t="shared" si="2"/>
        <v>0</v>
      </c>
      <c r="T153" s="109">
        <f>'Orderformular Color Kids'!U159</f>
        <v>32.9</v>
      </c>
    </row>
    <row r="154" spans="1:20" ht="15" customHeight="1" x14ac:dyDescent="0.25">
      <c r="A154" s="110">
        <f>'Orderformular Color Kids'!A160</f>
        <v>720456</v>
      </c>
      <c r="B154" s="106" t="str">
        <f>'Orderformular Color Kids'!B160</f>
        <v>Anonymized Item 160</v>
      </c>
      <c r="C154" s="106" t="str">
        <f>'Orderformular Color Kids'!C160</f>
        <v>Anonymized 3825 Popcorn</v>
      </c>
      <c r="D154" s="108" t="str">
        <f>'Orderformular Color Kids'!D160</f>
        <v>Kids</v>
      </c>
      <c r="E154" s="97">
        <f>'Orderformular Color Kids'!E160</f>
        <v>0</v>
      </c>
      <c r="F154" s="97">
        <f>'Orderformular Color Kids'!F160</f>
        <v>0</v>
      </c>
      <c r="G154" s="97">
        <f>'Orderformular Color Kids'!G160</f>
        <v>0</v>
      </c>
      <c r="H154" s="97">
        <f>'Orderformular Color Kids'!H160</f>
        <v>0</v>
      </c>
      <c r="I154" s="97">
        <f>'Orderformular Color Kids'!I160</f>
        <v>0</v>
      </c>
      <c r="J154" s="97">
        <f>'Orderformular Color Kids'!J160</f>
        <v>0</v>
      </c>
      <c r="K154" s="97">
        <f>'Orderformular Color Kids'!K160</f>
        <v>0</v>
      </c>
      <c r="L154" s="97">
        <f>'Orderformular Color Kids'!L160</f>
        <v>0</v>
      </c>
      <c r="M154" s="97">
        <f>'Orderformular Color Kids'!M160</f>
        <v>0</v>
      </c>
      <c r="N154" s="97">
        <f>'Orderformular Color Kids'!N160</f>
        <v>0</v>
      </c>
      <c r="O154" s="97">
        <f>'Orderformular Color Kids'!O160</f>
        <v>0</v>
      </c>
      <c r="P154" s="97">
        <f>'Orderformular Color Kids'!P160</f>
        <v>0</v>
      </c>
      <c r="Q154" s="97">
        <f>'Orderformular Color Kids'!Q160</f>
        <v>0</v>
      </c>
      <c r="R154" s="97">
        <f>'Orderformular Color Kids'!R160</f>
        <v>0</v>
      </c>
      <c r="S154" s="98">
        <f t="shared" si="2"/>
        <v>0</v>
      </c>
      <c r="T154" s="109">
        <f>'Orderformular Color Kids'!U160</f>
        <v>32.9</v>
      </c>
    </row>
    <row r="155" spans="1:20" ht="15" customHeight="1" x14ac:dyDescent="0.25">
      <c r="A155" s="110">
        <f>'Orderformular Color Kids'!A161</f>
        <v>720456</v>
      </c>
      <c r="B155" s="106" t="str">
        <f>'Orderformular Color Kids'!B161</f>
        <v>Anonymized Item 161</v>
      </c>
      <c r="C155" s="106" t="str">
        <f>'Orderformular Color Kids'!C161</f>
        <v>Anonymized 5021 Pale Lilac</v>
      </c>
      <c r="D155" s="108" t="str">
        <f>'Orderformular Color Kids'!D161</f>
        <v>Kids</v>
      </c>
      <c r="E155" s="97">
        <f>'Orderformular Color Kids'!E161</f>
        <v>0</v>
      </c>
      <c r="F155" s="97">
        <f>'Orderformular Color Kids'!F161</f>
        <v>0</v>
      </c>
      <c r="G155" s="97">
        <f>'Orderformular Color Kids'!G161</f>
        <v>0</v>
      </c>
      <c r="H155" s="97">
        <f>'Orderformular Color Kids'!H161</f>
        <v>0</v>
      </c>
      <c r="I155" s="97">
        <f>'Orderformular Color Kids'!I161</f>
        <v>0</v>
      </c>
      <c r="J155" s="97">
        <f>'Orderformular Color Kids'!J161</f>
        <v>0</v>
      </c>
      <c r="K155" s="97">
        <f>'Orderformular Color Kids'!K161</f>
        <v>0</v>
      </c>
      <c r="L155" s="97">
        <f>'Orderformular Color Kids'!L161</f>
        <v>0</v>
      </c>
      <c r="M155" s="97">
        <f>'Orderformular Color Kids'!M161</f>
        <v>0</v>
      </c>
      <c r="N155" s="97">
        <f>'Orderformular Color Kids'!N161</f>
        <v>0</v>
      </c>
      <c r="O155" s="97">
        <f>'Orderformular Color Kids'!O161</f>
        <v>0</v>
      </c>
      <c r="P155" s="97">
        <f>'Orderformular Color Kids'!P161</f>
        <v>0</v>
      </c>
      <c r="Q155" s="97">
        <f>'Orderformular Color Kids'!Q161</f>
        <v>0</v>
      </c>
      <c r="R155" s="97">
        <f>'Orderformular Color Kids'!R161</f>
        <v>0</v>
      </c>
      <c r="S155" s="98">
        <f t="shared" si="2"/>
        <v>0</v>
      </c>
      <c r="T155" s="109">
        <f>'Orderformular Color Kids'!U161</f>
        <v>32.9</v>
      </c>
    </row>
    <row r="156" spans="1:20" ht="15" customHeight="1" x14ac:dyDescent="0.25">
      <c r="A156" s="110">
        <f>'Orderformular Color Kids'!A162</f>
        <v>720460</v>
      </c>
      <c r="B156" s="106" t="str">
        <f>'Orderformular Color Kids'!B162</f>
        <v>Anonymized Item 162</v>
      </c>
      <c r="C156" s="106" t="str">
        <f>'Orderformular Color Kids'!C162</f>
        <v>Anonymized 4173 Cotton Candy</v>
      </c>
      <c r="D156" s="108" t="str">
        <f>'Orderformular Color Kids'!D162</f>
        <v>Kids</v>
      </c>
      <c r="E156" s="97">
        <f>'Orderformular Color Kids'!E162</f>
        <v>0</v>
      </c>
      <c r="F156" s="97">
        <f>'Orderformular Color Kids'!F162</f>
        <v>0</v>
      </c>
      <c r="G156" s="97">
        <f>'Orderformular Color Kids'!G162</f>
        <v>0</v>
      </c>
      <c r="H156" s="97">
        <f>'Orderformular Color Kids'!H162</f>
        <v>0</v>
      </c>
      <c r="I156" s="97">
        <f>'Orderformular Color Kids'!I162</f>
        <v>0</v>
      </c>
      <c r="J156" s="97">
        <f>'Orderformular Color Kids'!J162</f>
        <v>0</v>
      </c>
      <c r="K156" s="97">
        <f>'Orderformular Color Kids'!K162</f>
        <v>0</v>
      </c>
      <c r="L156" s="97">
        <f>'Orderformular Color Kids'!L162</f>
        <v>0</v>
      </c>
      <c r="M156" s="97">
        <f>'Orderformular Color Kids'!M162</f>
        <v>0</v>
      </c>
      <c r="N156" s="97">
        <f>'Orderformular Color Kids'!N162</f>
        <v>0</v>
      </c>
      <c r="O156" s="97">
        <f>'Orderformular Color Kids'!O162</f>
        <v>0</v>
      </c>
      <c r="P156" s="97">
        <f>'Orderformular Color Kids'!P162</f>
        <v>0</v>
      </c>
      <c r="Q156" s="97">
        <f>'Orderformular Color Kids'!Q162</f>
        <v>0</v>
      </c>
      <c r="R156" s="97">
        <f>'Orderformular Color Kids'!R162</f>
        <v>0</v>
      </c>
      <c r="S156" s="98">
        <f t="shared" si="2"/>
        <v>0</v>
      </c>
      <c r="T156" s="109">
        <f>'Orderformular Color Kids'!U162</f>
        <v>29.9</v>
      </c>
    </row>
    <row r="157" spans="1:20" ht="15" customHeight="1" x14ac:dyDescent="0.25">
      <c r="A157" s="110">
        <f>'Orderformular Color Kids'!A163</f>
        <v>720460</v>
      </c>
      <c r="B157" s="106" t="str">
        <f>'Orderformular Color Kids'!B163</f>
        <v>Anonymized Item 163</v>
      </c>
      <c r="C157" s="106" t="str">
        <f>'Orderformular Color Kids'!C163</f>
        <v>Anonymized 7946 Baja Blue</v>
      </c>
      <c r="D157" s="108" t="str">
        <f>'Orderformular Color Kids'!D163</f>
        <v>Kids</v>
      </c>
      <c r="E157" s="97">
        <f>'Orderformular Color Kids'!E163</f>
        <v>0</v>
      </c>
      <c r="F157" s="97">
        <f>'Orderformular Color Kids'!F163</f>
        <v>0</v>
      </c>
      <c r="G157" s="97">
        <f>'Orderformular Color Kids'!G163</f>
        <v>0</v>
      </c>
      <c r="H157" s="97">
        <f>'Orderformular Color Kids'!H163</f>
        <v>0</v>
      </c>
      <c r="I157" s="97">
        <f>'Orderformular Color Kids'!I163</f>
        <v>0</v>
      </c>
      <c r="J157" s="97">
        <f>'Orderformular Color Kids'!J163</f>
        <v>0</v>
      </c>
      <c r="K157" s="97">
        <f>'Orderformular Color Kids'!K163</f>
        <v>0</v>
      </c>
      <c r="L157" s="97">
        <f>'Orderformular Color Kids'!L163</f>
        <v>0</v>
      </c>
      <c r="M157" s="97">
        <f>'Orderformular Color Kids'!M163</f>
        <v>0</v>
      </c>
      <c r="N157" s="97">
        <f>'Orderformular Color Kids'!N163</f>
        <v>0</v>
      </c>
      <c r="O157" s="97">
        <f>'Orderformular Color Kids'!O163</f>
        <v>0</v>
      </c>
      <c r="P157" s="97">
        <f>'Orderformular Color Kids'!P163</f>
        <v>0</v>
      </c>
      <c r="Q157" s="97">
        <f>'Orderformular Color Kids'!Q163</f>
        <v>0</v>
      </c>
      <c r="R157" s="97">
        <f>'Orderformular Color Kids'!R163</f>
        <v>0</v>
      </c>
      <c r="S157" s="98">
        <f t="shared" si="2"/>
        <v>0</v>
      </c>
      <c r="T157" s="109">
        <f>'Orderformular Color Kids'!U163</f>
        <v>29.9</v>
      </c>
    </row>
    <row r="158" spans="1:20" ht="15" customHeight="1" x14ac:dyDescent="0.25">
      <c r="A158" s="110">
        <f>'Orderformular Color Kids'!A164</f>
        <v>720464</v>
      </c>
      <c r="B158" s="106" t="str">
        <f>'Orderformular Color Kids'!B164</f>
        <v>Anonymized Item 164</v>
      </c>
      <c r="C158" s="106" t="str">
        <f>'Orderformular Color Kids'!C164</f>
        <v>Anonymized 4173 Cotton Candy</v>
      </c>
      <c r="D158" s="108" t="str">
        <f>'Orderformular Color Kids'!D164</f>
        <v>Kids</v>
      </c>
      <c r="E158" s="97">
        <f>'Orderformular Color Kids'!E164</f>
        <v>0</v>
      </c>
      <c r="F158" s="97">
        <f>'Orderformular Color Kids'!F164</f>
        <v>0</v>
      </c>
      <c r="G158" s="97">
        <f>'Orderformular Color Kids'!G164</f>
        <v>0</v>
      </c>
      <c r="H158" s="97">
        <f>'Orderformular Color Kids'!H164</f>
        <v>0</v>
      </c>
      <c r="I158" s="97">
        <f>'Orderformular Color Kids'!I164</f>
        <v>0</v>
      </c>
      <c r="J158" s="97">
        <f>'Orderformular Color Kids'!J164</f>
        <v>0</v>
      </c>
      <c r="K158" s="97">
        <f>'Orderformular Color Kids'!K164</f>
        <v>0</v>
      </c>
      <c r="L158" s="97">
        <f>'Orderformular Color Kids'!L164</f>
        <v>0</v>
      </c>
      <c r="M158" s="97">
        <f>'Orderformular Color Kids'!M164</f>
        <v>0</v>
      </c>
      <c r="N158" s="97">
        <f>'Orderformular Color Kids'!N164</f>
        <v>0</v>
      </c>
      <c r="O158" s="97">
        <f>'Orderformular Color Kids'!O164</f>
        <v>0</v>
      </c>
      <c r="P158" s="97">
        <f>'Orderformular Color Kids'!P164</f>
        <v>0</v>
      </c>
      <c r="Q158" s="97">
        <f>'Orderformular Color Kids'!Q164</f>
        <v>0</v>
      </c>
      <c r="R158" s="97">
        <f>'Orderformular Color Kids'!R164</f>
        <v>0</v>
      </c>
      <c r="S158" s="98">
        <f t="shared" si="2"/>
        <v>0</v>
      </c>
      <c r="T158" s="109">
        <f>'Orderformular Color Kids'!U164</f>
        <v>32.9</v>
      </c>
    </row>
    <row r="159" spans="1:20" ht="15" customHeight="1" x14ac:dyDescent="0.25">
      <c r="A159" s="110">
        <f>'Orderformular Color Kids'!A165</f>
        <v>720465</v>
      </c>
      <c r="B159" s="106" t="str">
        <f>'Orderformular Color Kids'!B165</f>
        <v>Anonymized Item 165</v>
      </c>
      <c r="C159" s="106" t="str">
        <f>'Orderformular Color Kids'!C165</f>
        <v>Anonymized 4173 Cotton Candy</v>
      </c>
      <c r="D159" s="108" t="str">
        <f>'Orderformular Color Kids'!D165</f>
        <v>Kids</v>
      </c>
      <c r="E159" s="97">
        <f>'Orderformular Color Kids'!E165</f>
        <v>0</v>
      </c>
      <c r="F159" s="97">
        <f>'Orderformular Color Kids'!F165</f>
        <v>0</v>
      </c>
      <c r="G159" s="97">
        <f>'Orderformular Color Kids'!G165</f>
        <v>0</v>
      </c>
      <c r="H159" s="97">
        <f>'Orderformular Color Kids'!H165</f>
        <v>0</v>
      </c>
      <c r="I159" s="97">
        <f>'Orderformular Color Kids'!I165</f>
        <v>0</v>
      </c>
      <c r="J159" s="97">
        <f>'Orderformular Color Kids'!J165</f>
        <v>0</v>
      </c>
      <c r="K159" s="97">
        <f>'Orderformular Color Kids'!K165</f>
        <v>0</v>
      </c>
      <c r="L159" s="97">
        <f>'Orderformular Color Kids'!L165</f>
        <v>0</v>
      </c>
      <c r="M159" s="97">
        <f>'Orderformular Color Kids'!M165</f>
        <v>0</v>
      </c>
      <c r="N159" s="97">
        <f>'Orderformular Color Kids'!N165</f>
        <v>0</v>
      </c>
      <c r="O159" s="97">
        <f>'Orderformular Color Kids'!O165</f>
        <v>0</v>
      </c>
      <c r="P159" s="97">
        <f>'Orderformular Color Kids'!P165</f>
        <v>0</v>
      </c>
      <c r="Q159" s="97">
        <f>'Orderformular Color Kids'!Q165</f>
        <v>0</v>
      </c>
      <c r="R159" s="97">
        <f>'Orderformular Color Kids'!R165</f>
        <v>0</v>
      </c>
      <c r="S159" s="98">
        <f t="shared" si="2"/>
        <v>0</v>
      </c>
      <c r="T159" s="109">
        <f>'Orderformular Color Kids'!U165</f>
        <v>32.9</v>
      </c>
    </row>
    <row r="160" spans="1:20" ht="15" customHeight="1" x14ac:dyDescent="0.25">
      <c r="A160" s="110">
        <f>'Orderformular Color Kids'!A166</f>
        <v>720470</v>
      </c>
      <c r="B160" s="106" t="str">
        <f>'Orderformular Color Kids'!B166</f>
        <v>Anonymized Item 166</v>
      </c>
      <c r="C160" s="106" t="str">
        <f>'Orderformular Color Kids'!C166</f>
        <v>Anonymized 4173 Cotton Candy</v>
      </c>
      <c r="D160" s="108" t="str">
        <f>'Orderformular Color Kids'!D166</f>
        <v>Kids</v>
      </c>
      <c r="E160" s="97">
        <f>'Orderformular Color Kids'!E166</f>
        <v>0</v>
      </c>
      <c r="F160" s="97">
        <f>'Orderformular Color Kids'!F166</f>
        <v>0</v>
      </c>
      <c r="G160" s="97">
        <f>'Orderformular Color Kids'!G166</f>
        <v>0</v>
      </c>
      <c r="H160" s="97">
        <f>'Orderformular Color Kids'!H166</f>
        <v>0</v>
      </c>
      <c r="I160" s="97">
        <f>'Orderformular Color Kids'!I166</f>
        <v>0</v>
      </c>
      <c r="J160" s="97">
        <f>'Orderformular Color Kids'!J166</f>
        <v>0</v>
      </c>
      <c r="K160" s="97">
        <f>'Orderformular Color Kids'!K166</f>
        <v>0</v>
      </c>
      <c r="L160" s="97">
        <f>'Orderformular Color Kids'!L166</f>
        <v>0</v>
      </c>
      <c r="M160" s="97">
        <f>'Orderformular Color Kids'!M166</f>
        <v>0</v>
      </c>
      <c r="N160" s="97">
        <f>'Orderformular Color Kids'!N166</f>
        <v>0</v>
      </c>
      <c r="O160" s="97">
        <f>'Orderformular Color Kids'!O166</f>
        <v>0</v>
      </c>
      <c r="P160" s="97">
        <f>'Orderformular Color Kids'!P166</f>
        <v>0</v>
      </c>
      <c r="Q160" s="97">
        <f>'Orderformular Color Kids'!Q166</f>
        <v>0</v>
      </c>
      <c r="R160" s="97">
        <f>'Orderformular Color Kids'!R166</f>
        <v>0</v>
      </c>
      <c r="S160" s="98">
        <f t="shared" si="2"/>
        <v>0</v>
      </c>
      <c r="T160" s="109">
        <f>'Orderformular Color Kids'!U166</f>
        <v>36.9</v>
      </c>
    </row>
    <row r="161" spans="1:20" ht="15" customHeight="1" x14ac:dyDescent="0.25">
      <c r="A161" s="110">
        <f>'Orderformular Color Kids'!A167</f>
        <v>720470</v>
      </c>
      <c r="B161" s="106" t="str">
        <f>'Orderformular Color Kids'!B167</f>
        <v>Anonymized Item 167</v>
      </c>
      <c r="C161" s="106" t="str">
        <f>'Orderformular Color Kids'!C167</f>
        <v>Anonymized 5036 Peach Pink</v>
      </c>
      <c r="D161" s="108" t="str">
        <f>'Orderformular Color Kids'!D167</f>
        <v>Kids</v>
      </c>
      <c r="E161" s="97">
        <f>'Orderformular Color Kids'!E167</f>
        <v>0</v>
      </c>
      <c r="F161" s="97">
        <f>'Orderformular Color Kids'!F167</f>
        <v>0</v>
      </c>
      <c r="G161" s="97">
        <f>'Orderformular Color Kids'!G167</f>
        <v>0</v>
      </c>
      <c r="H161" s="97">
        <f>'Orderformular Color Kids'!H167</f>
        <v>0</v>
      </c>
      <c r="I161" s="97">
        <f>'Orderformular Color Kids'!I167</f>
        <v>0</v>
      </c>
      <c r="J161" s="97">
        <f>'Orderformular Color Kids'!J167</f>
        <v>0</v>
      </c>
      <c r="K161" s="97">
        <f>'Orderformular Color Kids'!K167</f>
        <v>0</v>
      </c>
      <c r="L161" s="97">
        <f>'Orderformular Color Kids'!L167</f>
        <v>0</v>
      </c>
      <c r="M161" s="97">
        <f>'Orderformular Color Kids'!M167</f>
        <v>0</v>
      </c>
      <c r="N161" s="97">
        <f>'Orderformular Color Kids'!N167</f>
        <v>0</v>
      </c>
      <c r="O161" s="97">
        <f>'Orderformular Color Kids'!O167</f>
        <v>0</v>
      </c>
      <c r="P161" s="97">
        <f>'Orderformular Color Kids'!P167</f>
        <v>0</v>
      </c>
      <c r="Q161" s="97">
        <f>'Orderformular Color Kids'!Q167</f>
        <v>0</v>
      </c>
      <c r="R161" s="97">
        <f>'Orderformular Color Kids'!R167</f>
        <v>0</v>
      </c>
      <c r="S161" s="98">
        <f t="shared" si="2"/>
        <v>0</v>
      </c>
      <c r="T161" s="109">
        <f>'Orderformular Color Kids'!U167</f>
        <v>36.9</v>
      </c>
    </row>
    <row r="162" spans="1:20" ht="15" customHeight="1" x14ac:dyDescent="0.25">
      <c r="A162" s="110">
        <f>'Orderformular Color Kids'!A168</f>
        <v>720470</v>
      </c>
      <c r="B162" s="106" t="str">
        <f>'Orderformular Color Kids'!B168</f>
        <v>Anonymized Item 168</v>
      </c>
      <c r="C162" s="106" t="str">
        <f>'Orderformular Color Kids'!C168</f>
        <v>Anonymized 7946 Baja Blue</v>
      </c>
      <c r="D162" s="108" t="str">
        <f>'Orderformular Color Kids'!D168</f>
        <v>Kids</v>
      </c>
      <c r="E162" s="97">
        <f>'Orderformular Color Kids'!E168</f>
        <v>0</v>
      </c>
      <c r="F162" s="97">
        <f>'Orderformular Color Kids'!F168</f>
        <v>0</v>
      </c>
      <c r="G162" s="97">
        <f>'Orderformular Color Kids'!G168</f>
        <v>0</v>
      </c>
      <c r="H162" s="97">
        <f>'Orderformular Color Kids'!H168</f>
        <v>0</v>
      </c>
      <c r="I162" s="97">
        <f>'Orderformular Color Kids'!I168</f>
        <v>0</v>
      </c>
      <c r="J162" s="97">
        <f>'Orderformular Color Kids'!J168</f>
        <v>0</v>
      </c>
      <c r="K162" s="97">
        <f>'Orderformular Color Kids'!K168</f>
        <v>0</v>
      </c>
      <c r="L162" s="97">
        <f>'Orderformular Color Kids'!L168</f>
        <v>0</v>
      </c>
      <c r="M162" s="97">
        <f>'Orderformular Color Kids'!M168</f>
        <v>0</v>
      </c>
      <c r="N162" s="97">
        <f>'Orderformular Color Kids'!N168</f>
        <v>0</v>
      </c>
      <c r="O162" s="97">
        <f>'Orderformular Color Kids'!O168</f>
        <v>0</v>
      </c>
      <c r="P162" s="97">
        <f>'Orderformular Color Kids'!P168</f>
        <v>0</v>
      </c>
      <c r="Q162" s="97">
        <f>'Orderformular Color Kids'!Q168</f>
        <v>0</v>
      </c>
      <c r="R162" s="97">
        <f>'Orderformular Color Kids'!R168</f>
        <v>0</v>
      </c>
      <c r="S162" s="98">
        <f t="shared" si="2"/>
        <v>0</v>
      </c>
      <c r="T162" s="109">
        <f>'Orderformular Color Kids'!U168</f>
        <v>36.9</v>
      </c>
    </row>
    <row r="163" spans="1:20" ht="15" customHeight="1" x14ac:dyDescent="0.25">
      <c r="A163" s="110">
        <f>'Orderformular Color Kids'!A169</f>
        <v>720471</v>
      </c>
      <c r="B163" s="106" t="str">
        <f>'Orderformular Color Kids'!B169</f>
        <v>Anonymized Item 169</v>
      </c>
      <c r="C163" s="106" t="str">
        <f>'Orderformular Color Kids'!C169</f>
        <v>Anonymized 4173 Cotton Candy</v>
      </c>
      <c r="D163" s="108" t="str">
        <f>'Orderformular Color Kids'!D169</f>
        <v>Kids</v>
      </c>
      <c r="E163" s="97">
        <f>'Orderformular Color Kids'!E169</f>
        <v>0</v>
      </c>
      <c r="F163" s="97">
        <f>'Orderformular Color Kids'!F169</f>
        <v>0</v>
      </c>
      <c r="G163" s="97">
        <f>'Orderformular Color Kids'!G169</f>
        <v>0</v>
      </c>
      <c r="H163" s="97">
        <f>'Orderformular Color Kids'!H169</f>
        <v>0</v>
      </c>
      <c r="I163" s="97">
        <f>'Orderformular Color Kids'!I169</f>
        <v>0</v>
      </c>
      <c r="J163" s="97">
        <f>'Orderformular Color Kids'!J169</f>
        <v>0</v>
      </c>
      <c r="K163" s="97">
        <f>'Orderformular Color Kids'!K169</f>
        <v>0</v>
      </c>
      <c r="L163" s="97">
        <f>'Orderformular Color Kids'!L169</f>
        <v>0</v>
      </c>
      <c r="M163" s="97">
        <f>'Orderformular Color Kids'!M169</f>
        <v>0</v>
      </c>
      <c r="N163" s="97">
        <f>'Orderformular Color Kids'!N169</f>
        <v>0</v>
      </c>
      <c r="O163" s="97">
        <f>'Orderformular Color Kids'!O169</f>
        <v>0</v>
      </c>
      <c r="P163" s="97">
        <f>'Orderformular Color Kids'!P169</f>
        <v>0</v>
      </c>
      <c r="Q163" s="97">
        <f>'Orderformular Color Kids'!Q169</f>
        <v>0</v>
      </c>
      <c r="R163" s="97">
        <f>'Orderformular Color Kids'!R169</f>
        <v>0</v>
      </c>
      <c r="S163" s="98">
        <f t="shared" si="2"/>
        <v>0</v>
      </c>
      <c r="T163" s="109">
        <f>'Orderformular Color Kids'!U169</f>
        <v>36.9</v>
      </c>
    </row>
    <row r="164" spans="1:20" ht="15" customHeight="1" x14ac:dyDescent="0.25">
      <c r="A164" s="110">
        <f>'Orderformular Color Kids'!A170</f>
        <v>720471</v>
      </c>
      <c r="B164" s="106" t="str">
        <f>'Orderformular Color Kids'!B170</f>
        <v>Anonymized Item 170</v>
      </c>
      <c r="C164" s="106" t="str">
        <f>'Orderformular Color Kids'!C170</f>
        <v>Anonymized 5036 Peach Pink</v>
      </c>
      <c r="D164" s="108" t="str">
        <f>'Orderformular Color Kids'!D170</f>
        <v>Kids</v>
      </c>
      <c r="E164" s="97">
        <f>'Orderformular Color Kids'!E170</f>
        <v>0</v>
      </c>
      <c r="F164" s="97">
        <f>'Orderformular Color Kids'!F170</f>
        <v>0</v>
      </c>
      <c r="G164" s="97">
        <f>'Orderformular Color Kids'!G170</f>
        <v>0</v>
      </c>
      <c r="H164" s="97">
        <f>'Orderformular Color Kids'!H170</f>
        <v>0</v>
      </c>
      <c r="I164" s="97">
        <f>'Orderformular Color Kids'!I170</f>
        <v>0</v>
      </c>
      <c r="J164" s="97">
        <f>'Orderformular Color Kids'!J170</f>
        <v>0</v>
      </c>
      <c r="K164" s="97">
        <f>'Orderformular Color Kids'!K170</f>
        <v>0</v>
      </c>
      <c r="L164" s="97">
        <f>'Orderformular Color Kids'!L170</f>
        <v>0</v>
      </c>
      <c r="M164" s="97">
        <f>'Orderformular Color Kids'!M170</f>
        <v>0</v>
      </c>
      <c r="N164" s="97">
        <f>'Orderformular Color Kids'!N170</f>
        <v>0</v>
      </c>
      <c r="O164" s="97">
        <f>'Orderformular Color Kids'!O170</f>
        <v>0</v>
      </c>
      <c r="P164" s="97">
        <f>'Orderformular Color Kids'!P170</f>
        <v>0</v>
      </c>
      <c r="Q164" s="97">
        <f>'Orderformular Color Kids'!Q170</f>
        <v>0</v>
      </c>
      <c r="R164" s="97">
        <f>'Orderformular Color Kids'!R170</f>
        <v>0</v>
      </c>
      <c r="S164" s="98">
        <f t="shared" si="2"/>
        <v>0</v>
      </c>
      <c r="T164" s="109">
        <f>'Orderformular Color Kids'!U170</f>
        <v>36.9</v>
      </c>
    </row>
    <row r="165" spans="1:20" ht="15" customHeight="1" x14ac:dyDescent="0.25">
      <c r="A165" s="110">
        <f>'Orderformular Color Kids'!A171</f>
        <v>720471</v>
      </c>
      <c r="B165" s="106" t="str">
        <f>'Orderformular Color Kids'!B171</f>
        <v>Anonymized Item 171</v>
      </c>
      <c r="C165" s="106" t="str">
        <f>'Orderformular Color Kids'!C171</f>
        <v>Anonymized 7946 Baja Blue</v>
      </c>
      <c r="D165" s="108" t="str">
        <f>'Orderformular Color Kids'!D171</f>
        <v>Kids</v>
      </c>
      <c r="E165" s="97">
        <f>'Orderformular Color Kids'!E171</f>
        <v>0</v>
      </c>
      <c r="F165" s="97">
        <f>'Orderformular Color Kids'!F171</f>
        <v>0</v>
      </c>
      <c r="G165" s="97">
        <f>'Orderformular Color Kids'!G171</f>
        <v>0</v>
      </c>
      <c r="H165" s="97">
        <f>'Orderformular Color Kids'!H171</f>
        <v>0</v>
      </c>
      <c r="I165" s="97">
        <f>'Orderformular Color Kids'!I171</f>
        <v>0</v>
      </c>
      <c r="J165" s="97">
        <f>'Orderformular Color Kids'!J171</f>
        <v>0</v>
      </c>
      <c r="K165" s="97">
        <f>'Orderformular Color Kids'!K171</f>
        <v>0</v>
      </c>
      <c r="L165" s="97">
        <f>'Orderformular Color Kids'!L171</f>
        <v>0</v>
      </c>
      <c r="M165" s="97">
        <f>'Orderformular Color Kids'!M171</f>
        <v>0</v>
      </c>
      <c r="N165" s="97">
        <f>'Orderformular Color Kids'!N171</f>
        <v>0</v>
      </c>
      <c r="O165" s="97">
        <f>'Orderformular Color Kids'!O171</f>
        <v>0</v>
      </c>
      <c r="P165" s="97">
        <f>'Orderformular Color Kids'!P171</f>
        <v>0</v>
      </c>
      <c r="Q165" s="97">
        <f>'Orderformular Color Kids'!Q171</f>
        <v>0</v>
      </c>
      <c r="R165" s="97">
        <f>'Orderformular Color Kids'!R171</f>
        <v>0</v>
      </c>
      <c r="S165" s="98">
        <f t="shared" si="2"/>
        <v>0</v>
      </c>
      <c r="T165" s="109">
        <f>'Orderformular Color Kids'!U171</f>
        <v>36.9</v>
      </c>
    </row>
    <row r="166" spans="1:20" ht="15" customHeight="1" x14ac:dyDescent="0.25">
      <c r="A166" s="110">
        <f>'Orderformular Color Kids'!A172</f>
        <v>720472</v>
      </c>
      <c r="B166" s="106" t="str">
        <f>'Orderformular Color Kids'!B172</f>
        <v>Anonymized Item 172</v>
      </c>
      <c r="C166" s="106" t="str">
        <f>'Orderformular Color Kids'!C172</f>
        <v>Anonymized 6071 Lavender Mist</v>
      </c>
      <c r="D166" s="108" t="str">
        <f>'Orderformular Color Kids'!D172</f>
        <v>Kids</v>
      </c>
      <c r="E166" s="97">
        <f>'Orderformular Color Kids'!E172</f>
        <v>0</v>
      </c>
      <c r="F166" s="97">
        <f>'Orderformular Color Kids'!F172</f>
        <v>0</v>
      </c>
      <c r="G166" s="97">
        <f>'Orderformular Color Kids'!G172</f>
        <v>0</v>
      </c>
      <c r="H166" s="97">
        <f>'Orderformular Color Kids'!H172</f>
        <v>0</v>
      </c>
      <c r="I166" s="97">
        <f>'Orderformular Color Kids'!I172</f>
        <v>0</v>
      </c>
      <c r="J166" s="97">
        <f>'Orderformular Color Kids'!J172</f>
        <v>0</v>
      </c>
      <c r="K166" s="97">
        <f>'Orderformular Color Kids'!K172</f>
        <v>0</v>
      </c>
      <c r="L166" s="97">
        <f>'Orderformular Color Kids'!L172</f>
        <v>0</v>
      </c>
      <c r="M166" s="97">
        <f>'Orderformular Color Kids'!M172</f>
        <v>0</v>
      </c>
      <c r="N166" s="97">
        <f>'Orderformular Color Kids'!N172</f>
        <v>0</v>
      </c>
      <c r="O166" s="97">
        <f>'Orderformular Color Kids'!O172</f>
        <v>0</v>
      </c>
      <c r="P166" s="97">
        <f>'Orderformular Color Kids'!P172</f>
        <v>0</v>
      </c>
      <c r="Q166" s="97">
        <f>'Orderformular Color Kids'!Q172</f>
        <v>0</v>
      </c>
      <c r="R166" s="97">
        <f>'Orderformular Color Kids'!R172</f>
        <v>0</v>
      </c>
      <c r="S166" s="98">
        <f t="shared" si="2"/>
        <v>0</v>
      </c>
      <c r="T166" s="109">
        <f>'Orderformular Color Kids'!U172</f>
        <v>32.9</v>
      </c>
    </row>
    <row r="167" spans="1:20" ht="15" customHeight="1" x14ac:dyDescent="0.25">
      <c r="A167" s="110">
        <f>'Orderformular Color Kids'!A173</f>
        <v>720472</v>
      </c>
      <c r="B167" s="106" t="str">
        <f>'Orderformular Color Kids'!B173</f>
        <v>Anonymized Item 173</v>
      </c>
      <c r="C167" s="106" t="str">
        <f>'Orderformular Color Kids'!C173</f>
        <v>Anonymized 7721 Dress Blues</v>
      </c>
      <c r="D167" s="108" t="str">
        <f>'Orderformular Color Kids'!D173</f>
        <v>Kids</v>
      </c>
      <c r="E167" s="97">
        <f>'Orderformular Color Kids'!E173</f>
        <v>0</v>
      </c>
      <c r="F167" s="97">
        <f>'Orderformular Color Kids'!F173</f>
        <v>0</v>
      </c>
      <c r="G167" s="97">
        <f>'Orderformular Color Kids'!G173</f>
        <v>0</v>
      </c>
      <c r="H167" s="97">
        <f>'Orderformular Color Kids'!H173</f>
        <v>0</v>
      </c>
      <c r="I167" s="97">
        <f>'Orderformular Color Kids'!I173</f>
        <v>0</v>
      </c>
      <c r="J167" s="97">
        <f>'Orderformular Color Kids'!J173</f>
        <v>0</v>
      </c>
      <c r="K167" s="97">
        <f>'Orderformular Color Kids'!K173</f>
        <v>0</v>
      </c>
      <c r="L167" s="97">
        <f>'Orderformular Color Kids'!L173</f>
        <v>0</v>
      </c>
      <c r="M167" s="97">
        <f>'Orderformular Color Kids'!M173</f>
        <v>0</v>
      </c>
      <c r="N167" s="97">
        <f>'Orderformular Color Kids'!N173</f>
        <v>0</v>
      </c>
      <c r="O167" s="97">
        <f>'Orderformular Color Kids'!O173</f>
        <v>0</v>
      </c>
      <c r="P167" s="97">
        <f>'Orderformular Color Kids'!P173</f>
        <v>0</v>
      </c>
      <c r="Q167" s="97">
        <f>'Orderformular Color Kids'!Q173</f>
        <v>0</v>
      </c>
      <c r="R167" s="97">
        <f>'Orderformular Color Kids'!R173</f>
        <v>0</v>
      </c>
      <c r="S167" s="98">
        <f t="shared" si="2"/>
        <v>0</v>
      </c>
      <c r="T167" s="109">
        <f>'Orderformular Color Kids'!U173</f>
        <v>32.9</v>
      </c>
    </row>
    <row r="168" spans="1:20" ht="15" customHeight="1" x14ac:dyDescent="0.25">
      <c r="A168" s="110">
        <f>'Orderformular Color Kids'!A174</f>
        <v>720473</v>
      </c>
      <c r="B168" s="106" t="str">
        <f>'Orderformular Color Kids'!B174</f>
        <v>Anonymized Item 174</v>
      </c>
      <c r="C168" s="106" t="str">
        <f>'Orderformular Color Kids'!C174</f>
        <v>Anonymized 6071 Lavender Mist</v>
      </c>
      <c r="D168" s="108" t="str">
        <f>'Orderformular Color Kids'!D174</f>
        <v>Kids</v>
      </c>
      <c r="E168" s="97">
        <f>'Orderformular Color Kids'!E174</f>
        <v>0</v>
      </c>
      <c r="F168" s="97">
        <f>'Orderformular Color Kids'!F174</f>
        <v>0</v>
      </c>
      <c r="G168" s="97">
        <f>'Orderformular Color Kids'!G174</f>
        <v>0</v>
      </c>
      <c r="H168" s="97">
        <f>'Orderformular Color Kids'!H174</f>
        <v>0</v>
      </c>
      <c r="I168" s="97">
        <f>'Orderformular Color Kids'!I174</f>
        <v>0</v>
      </c>
      <c r="J168" s="97">
        <f>'Orderformular Color Kids'!J174</f>
        <v>0</v>
      </c>
      <c r="K168" s="97">
        <f>'Orderformular Color Kids'!K174</f>
        <v>0</v>
      </c>
      <c r="L168" s="97">
        <f>'Orderformular Color Kids'!L174</f>
        <v>0</v>
      </c>
      <c r="M168" s="97">
        <f>'Orderformular Color Kids'!M174</f>
        <v>0</v>
      </c>
      <c r="N168" s="97">
        <f>'Orderformular Color Kids'!N174</f>
        <v>0</v>
      </c>
      <c r="O168" s="97">
        <f>'Orderformular Color Kids'!O174</f>
        <v>0</v>
      </c>
      <c r="P168" s="97">
        <f>'Orderformular Color Kids'!P174</f>
        <v>0</v>
      </c>
      <c r="Q168" s="97">
        <f>'Orderformular Color Kids'!Q174</f>
        <v>0</v>
      </c>
      <c r="R168" s="97">
        <f>'Orderformular Color Kids'!R174</f>
        <v>0</v>
      </c>
      <c r="S168" s="98">
        <f t="shared" si="2"/>
        <v>0</v>
      </c>
      <c r="T168" s="109">
        <f>'Orderformular Color Kids'!U174</f>
        <v>32.9</v>
      </c>
    </row>
    <row r="169" spans="1:20" ht="15" customHeight="1" x14ac:dyDescent="0.25">
      <c r="A169" s="110">
        <f>'Orderformular Color Kids'!A175</f>
        <v>720473</v>
      </c>
      <c r="B169" s="106" t="str">
        <f>'Orderformular Color Kids'!B175</f>
        <v>Anonymized Item 175</v>
      </c>
      <c r="C169" s="106" t="str">
        <f>'Orderformular Color Kids'!C175</f>
        <v>Anonymized 7721 Dress Blues</v>
      </c>
      <c r="D169" s="108" t="str">
        <f>'Orderformular Color Kids'!D175</f>
        <v>Kids</v>
      </c>
      <c r="E169" s="97">
        <f>'Orderformular Color Kids'!E175</f>
        <v>0</v>
      </c>
      <c r="F169" s="97">
        <f>'Orderformular Color Kids'!F175</f>
        <v>0</v>
      </c>
      <c r="G169" s="97">
        <f>'Orderformular Color Kids'!G175</f>
        <v>0</v>
      </c>
      <c r="H169" s="97">
        <f>'Orderformular Color Kids'!H175</f>
        <v>0</v>
      </c>
      <c r="I169" s="97">
        <f>'Orderformular Color Kids'!I175</f>
        <v>0</v>
      </c>
      <c r="J169" s="97">
        <f>'Orderformular Color Kids'!J175</f>
        <v>0</v>
      </c>
      <c r="K169" s="97">
        <f>'Orderformular Color Kids'!K175</f>
        <v>0</v>
      </c>
      <c r="L169" s="97">
        <f>'Orderformular Color Kids'!L175</f>
        <v>0</v>
      </c>
      <c r="M169" s="97">
        <f>'Orderformular Color Kids'!M175</f>
        <v>0</v>
      </c>
      <c r="N169" s="97">
        <f>'Orderformular Color Kids'!N175</f>
        <v>0</v>
      </c>
      <c r="O169" s="97">
        <f>'Orderformular Color Kids'!O175</f>
        <v>0</v>
      </c>
      <c r="P169" s="97">
        <f>'Orderformular Color Kids'!P175</f>
        <v>0</v>
      </c>
      <c r="Q169" s="97">
        <f>'Orderformular Color Kids'!Q175</f>
        <v>0</v>
      </c>
      <c r="R169" s="97">
        <f>'Orderformular Color Kids'!R175</f>
        <v>0</v>
      </c>
      <c r="S169" s="98">
        <f t="shared" si="2"/>
        <v>0</v>
      </c>
      <c r="T169" s="109">
        <f>'Orderformular Color Kids'!U175</f>
        <v>32.9</v>
      </c>
    </row>
    <row r="170" spans="1:20" ht="15" customHeight="1" x14ac:dyDescent="0.25">
      <c r="A170" s="110">
        <f>'Orderformular Color Kids'!A176</f>
        <v>720481</v>
      </c>
      <c r="B170" s="106" t="str">
        <f>'Orderformular Color Kids'!B176</f>
        <v>Anonymized Item 176</v>
      </c>
      <c r="C170" s="106" t="str">
        <f>'Orderformular Color Kids'!C176</f>
        <v>Anonymized 7721 Dress Blues</v>
      </c>
      <c r="D170" s="108" t="str">
        <f>'Orderformular Color Kids'!D176</f>
        <v>Kids</v>
      </c>
      <c r="E170" s="97">
        <f>'Orderformular Color Kids'!E176</f>
        <v>0</v>
      </c>
      <c r="F170" s="97">
        <f>'Orderformular Color Kids'!F176</f>
        <v>0</v>
      </c>
      <c r="G170" s="97">
        <f>'Orderformular Color Kids'!G176</f>
        <v>0</v>
      </c>
      <c r="H170" s="97">
        <f>'Orderformular Color Kids'!H176</f>
        <v>0</v>
      </c>
      <c r="I170" s="97">
        <f>'Orderformular Color Kids'!I176</f>
        <v>0</v>
      </c>
      <c r="J170" s="97">
        <f>'Orderformular Color Kids'!J176</f>
        <v>0</v>
      </c>
      <c r="K170" s="97">
        <f>'Orderformular Color Kids'!K176</f>
        <v>0</v>
      </c>
      <c r="L170" s="97">
        <f>'Orderformular Color Kids'!L176</f>
        <v>0</v>
      </c>
      <c r="M170" s="97">
        <f>'Orderformular Color Kids'!M176</f>
        <v>0</v>
      </c>
      <c r="N170" s="97">
        <f>'Orderformular Color Kids'!N176</f>
        <v>0</v>
      </c>
      <c r="O170" s="97">
        <f>'Orderformular Color Kids'!O176</f>
        <v>0</v>
      </c>
      <c r="P170" s="97">
        <f>'Orderformular Color Kids'!P176</f>
        <v>0</v>
      </c>
      <c r="Q170" s="97">
        <f>'Orderformular Color Kids'!Q176</f>
        <v>0</v>
      </c>
      <c r="R170" s="97">
        <f>'Orderformular Color Kids'!R176</f>
        <v>0</v>
      </c>
      <c r="S170" s="98">
        <f t="shared" si="2"/>
        <v>0</v>
      </c>
      <c r="T170" s="109">
        <f>'Orderformular Color Kids'!U176</f>
        <v>32.9</v>
      </c>
    </row>
    <row r="171" spans="1:20" ht="15" customHeight="1" x14ac:dyDescent="0.25">
      <c r="A171" s="110">
        <f>'Orderformular Color Kids'!A177</f>
        <v>720481</v>
      </c>
      <c r="B171" s="106" t="str">
        <f>'Orderformular Color Kids'!B177</f>
        <v>Anonymized Item 177</v>
      </c>
      <c r="C171" s="106" t="str">
        <f>'Orderformular Color Kids'!C177</f>
        <v>Anonymized 7946 Baja Blue</v>
      </c>
      <c r="D171" s="108" t="str">
        <f>'Orderformular Color Kids'!D177</f>
        <v>Kids</v>
      </c>
      <c r="E171" s="97">
        <f>'Orderformular Color Kids'!E177</f>
        <v>0</v>
      </c>
      <c r="F171" s="97">
        <f>'Orderformular Color Kids'!F177</f>
        <v>0</v>
      </c>
      <c r="G171" s="97">
        <f>'Orderformular Color Kids'!G177</f>
        <v>0</v>
      </c>
      <c r="H171" s="97">
        <f>'Orderformular Color Kids'!H177</f>
        <v>0</v>
      </c>
      <c r="I171" s="97">
        <f>'Orderformular Color Kids'!I177</f>
        <v>0</v>
      </c>
      <c r="J171" s="97">
        <f>'Orderformular Color Kids'!J177</f>
        <v>0</v>
      </c>
      <c r="K171" s="97">
        <f>'Orderformular Color Kids'!K177</f>
        <v>0</v>
      </c>
      <c r="L171" s="97">
        <f>'Orderformular Color Kids'!L177</f>
        <v>0</v>
      </c>
      <c r="M171" s="97">
        <f>'Orderformular Color Kids'!M177</f>
        <v>0</v>
      </c>
      <c r="N171" s="97">
        <f>'Orderformular Color Kids'!N177</f>
        <v>0</v>
      </c>
      <c r="O171" s="97">
        <f>'Orderformular Color Kids'!O177</f>
        <v>0</v>
      </c>
      <c r="P171" s="97">
        <f>'Orderformular Color Kids'!P177</f>
        <v>0</v>
      </c>
      <c r="Q171" s="97">
        <f>'Orderformular Color Kids'!Q177</f>
        <v>0</v>
      </c>
      <c r="R171" s="97">
        <f>'Orderformular Color Kids'!R177</f>
        <v>0</v>
      </c>
      <c r="S171" s="98">
        <f t="shared" si="2"/>
        <v>0</v>
      </c>
      <c r="T171" s="109">
        <f>'Orderformular Color Kids'!U177</f>
        <v>32.9</v>
      </c>
    </row>
    <row r="172" spans="1:20" ht="15" customHeight="1" x14ac:dyDescent="0.25">
      <c r="A172" s="110">
        <f>'Orderformular Color Kids'!A178</f>
        <v>720482</v>
      </c>
      <c r="B172" s="106" t="str">
        <f>'Orderformular Color Kids'!B178</f>
        <v>Anonymized Item 178</v>
      </c>
      <c r="C172" s="106" t="str">
        <f>'Orderformular Color Kids'!C178</f>
        <v>Anonymized 7721 Dress Blues</v>
      </c>
      <c r="D172" s="108" t="str">
        <f>'Orderformular Color Kids'!D178</f>
        <v>Kids</v>
      </c>
      <c r="E172" s="97">
        <f>'Orderformular Color Kids'!E178</f>
        <v>0</v>
      </c>
      <c r="F172" s="97">
        <f>'Orderformular Color Kids'!F178</f>
        <v>0</v>
      </c>
      <c r="G172" s="97">
        <f>'Orderformular Color Kids'!G178</f>
        <v>0</v>
      </c>
      <c r="H172" s="97">
        <f>'Orderformular Color Kids'!H178</f>
        <v>0</v>
      </c>
      <c r="I172" s="97">
        <f>'Orderformular Color Kids'!I178</f>
        <v>0</v>
      </c>
      <c r="J172" s="97">
        <f>'Orderformular Color Kids'!J178</f>
        <v>0</v>
      </c>
      <c r="K172" s="97">
        <f>'Orderformular Color Kids'!K178</f>
        <v>0</v>
      </c>
      <c r="L172" s="97">
        <f>'Orderformular Color Kids'!L178</f>
        <v>0</v>
      </c>
      <c r="M172" s="97">
        <f>'Orderformular Color Kids'!M178</f>
        <v>0</v>
      </c>
      <c r="N172" s="97">
        <f>'Orderformular Color Kids'!N178</f>
        <v>0</v>
      </c>
      <c r="O172" s="97">
        <f>'Orderformular Color Kids'!O178</f>
        <v>0</v>
      </c>
      <c r="P172" s="97">
        <f>'Orderformular Color Kids'!P178</f>
        <v>0</v>
      </c>
      <c r="Q172" s="97">
        <f>'Orderformular Color Kids'!Q178</f>
        <v>0</v>
      </c>
      <c r="R172" s="97">
        <f>'Orderformular Color Kids'!R178</f>
        <v>0</v>
      </c>
      <c r="S172" s="98">
        <f t="shared" si="2"/>
        <v>0</v>
      </c>
      <c r="T172" s="109">
        <f>'Orderformular Color Kids'!U178</f>
        <v>32.9</v>
      </c>
    </row>
    <row r="173" spans="1:20" ht="15" customHeight="1" x14ac:dyDescent="0.25">
      <c r="A173" s="110">
        <f>'Orderformular Color Kids'!A179</f>
        <v>720482</v>
      </c>
      <c r="B173" s="106" t="str">
        <f>'Orderformular Color Kids'!B179</f>
        <v>Anonymized Item 179</v>
      </c>
      <c r="C173" s="106" t="str">
        <f>'Orderformular Color Kids'!C179</f>
        <v>Anonymized 7946 Baja Blue</v>
      </c>
      <c r="D173" s="108" t="str">
        <f>'Orderformular Color Kids'!D179</f>
        <v>Kids</v>
      </c>
      <c r="E173" s="97">
        <f>'Orderformular Color Kids'!E179</f>
        <v>0</v>
      </c>
      <c r="F173" s="97">
        <f>'Orderformular Color Kids'!F179</f>
        <v>0</v>
      </c>
      <c r="G173" s="97">
        <f>'Orderformular Color Kids'!G179</f>
        <v>0</v>
      </c>
      <c r="H173" s="97">
        <f>'Orderformular Color Kids'!H179</f>
        <v>0</v>
      </c>
      <c r="I173" s="97">
        <f>'Orderformular Color Kids'!I179</f>
        <v>0</v>
      </c>
      <c r="J173" s="97">
        <f>'Orderformular Color Kids'!J179</f>
        <v>0</v>
      </c>
      <c r="K173" s="97">
        <f>'Orderformular Color Kids'!K179</f>
        <v>0</v>
      </c>
      <c r="L173" s="97">
        <f>'Orderformular Color Kids'!L179</f>
        <v>0</v>
      </c>
      <c r="M173" s="97">
        <f>'Orderformular Color Kids'!M179</f>
        <v>0</v>
      </c>
      <c r="N173" s="97">
        <f>'Orderformular Color Kids'!N179</f>
        <v>0</v>
      </c>
      <c r="O173" s="97">
        <f>'Orderformular Color Kids'!O179</f>
        <v>0</v>
      </c>
      <c r="P173" s="97">
        <f>'Orderformular Color Kids'!P179</f>
        <v>0</v>
      </c>
      <c r="Q173" s="97">
        <f>'Orderformular Color Kids'!Q179</f>
        <v>0</v>
      </c>
      <c r="R173" s="97">
        <f>'Orderformular Color Kids'!R179</f>
        <v>0</v>
      </c>
      <c r="S173" s="98">
        <f t="shared" si="2"/>
        <v>0</v>
      </c>
      <c r="T173" s="109">
        <f>'Orderformular Color Kids'!U179</f>
        <v>32.9</v>
      </c>
    </row>
    <row r="174" spans="1:20" ht="15" customHeight="1" x14ac:dyDescent="0.25">
      <c r="A174" s="110">
        <f>'Orderformular Color Kids'!A180</f>
        <v>720487</v>
      </c>
      <c r="B174" s="106" t="str">
        <f>'Orderformular Color Kids'!B180</f>
        <v>Anonymized Item 180</v>
      </c>
      <c r="C174" s="106" t="str">
        <f>'Orderformular Color Kids'!C180</f>
        <v>Anonymized 4173 Cotton Candy</v>
      </c>
      <c r="D174" s="108" t="str">
        <f>'Orderformular Color Kids'!D180</f>
        <v>Kids</v>
      </c>
      <c r="E174" s="97">
        <f>'Orderformular Color Kids'!E180</f>
        <v>0</v>
      </c>
      <c r="F174" s="97">
        <f>'Orderformular Color Kids'!F180</f>
        <v>0</v>
      </c>
      <c r="G174" s="97">
        <f>'Orderformular Color Kids'!G180</f>
        <v>0</v>
      </c>
      <c r="H174" s="97">
        <f>'Orderformular Color Kids'!H180</f>
        <v>0</v>
      </c>
      <c r="I174" s="97">
        <f>'Orderformular Color Kids'!I180</f>
        <v>0</v>
      </c>
      <c r="J174" s="97">
        <f>'Orderformular Color Kids'!J180</f>
        <v>0</v>
      </c>
      <c r="K174" s="97">
        <f>'Orderformular Color Kids'!K180</f>
        <v>0</v>
      </c>
      <c r="L174" s="97">
        <f>'Orderformular Color Kids'!L180</f>
        <v>0</v>
      </c>
      <c r="M174" s="97">
        <f>'Orderformular Color Kids'!M180</f>
        <v>0</v>
      </c>
      <c r="N174" s="97">
        <f>'Orderformular Color Kids'!N180</f>
        <v>0</v>
      </c>
      <c r="O174" s="97">
        <f>'Orderformular Color Kids'!O180</f>
        <v>0</v>
      </c>
      <c r="P174" s="97">
        <f>'Orderformular Color Kids'!P180</f>
        <v>0</v>
      </c>
      <c r="Q174" s="97">
        <f>'Orderformular Color Kids'!Q180</f>
        <v>0</v>
      </c>
      <c r="R174" s="97">
        <f>'Orderformular Color Kids'!R180</f>
        <v>0</v>
      </c>
      <c r="S174" s="98">
        <f t="shared" si="2"/>
        <v>0</v>
      </c>
      <c r="T174" s="109">
        <f>'Orderformular Color Kids'!U180</f>
        <v>32.9</v>
      </c>
    </row>
    <row r="175" spans="1:20" ht="15" customHeight="1" x14ac:dyDescent="0.25">
      <c r="A175" s="110">
        <f>'Orderformular Color Kids'!A181</f>
        <v>720487</v>
      </c>
      <c r="B175" s="106" t="str">
        <f>'Orderformular Color Kids'!B181</f>
        <v>Anonymized Item 181</v>
      </c>
      <c r="C175" s="106" t="str">
        <f>'Orderformular Color Kids'!C181</f>
        <v>Anonymized 7721 Dress Blues</v>
      </c>
      <c r="D175" s="108" t="str">
        <f>'Orderformular Color Kids'!D181</f>
        <v>Kids</v>
      </c>
      <c r="E175" s="97">
        <f>'Orderformular Color Kids'!E181</f>
        <v>0</v>
      </c>
      <c r="F175" s="97">
        <f>'Orderformular Color Kids'!F181</f>
        <v>0</v>
      </c>
      <c r="G175" s="97">
        <f>'Orderformular Color Kids'!G181</f>
        <v>0</v>
      </c>
      <c r="H175" s="97">
        <f>'Orderformular Color Kids'!H181</f>
        <v>0</v>
      </c>
      <c r="I175" s="97">
        <f>'Orderformular Color Kids'!I181</f>
        <v>0</v>
      </c>
      <c r="J175" s="97">
        <f>'Orderformular Color Kids'!J181</f>
        <v>0</v>
      </c>
      <c r="K175" s="97">
        <f>'Orderformular Color Kids'!K181</f>
        <v>0</v>
      </c>
      <c r="L175" s="97">
        <f>'Orderformular Color Kids'!L181</f>
        <v>0</v>
      </c>
      <c r="M175" s="97">
        <f>'Orderformular Color Kids'!M181</f>
        <v>0</v>
      </c>
      <c r="N175" s="97">
        <f>'Orderformular Color Kids'!N181</f>
        <v>0</v>
      </c>
      <c r="O175" s="97">
        <f>'Orderformular Color Kids'!O181</f>
        <v>0</v>
      </c>
      <c r="P175" s="97">
        <f>'Orderformular Color Kids'!P181</f>
        <v>0</v>
      </c>
      <c r="Q175" s="97">
        <f>'Orderformular Color Kids'!Q181</f>
        <v>0</v>
      </c>
      <c r="R175" s="97">
        <f>'Orderformular Color Kids'!R181</f>
        <v>0</v>
      </c>
      <c r="S175" s="98">
        <f t="shared" si="2"/>
        <v>0</v>
      </c>
      <c r="T175" s="109">
        <f>'Orderformular Color Kids'!U181</f>
        <v>32.9</v>
      </c>
    </row>
    <row r="176" spans="1:20" ht="15" customHeight="1" x14ac:dyDescent="0.25">
      <c r="A176" s="110">
        <f>'Orderformular Color Kids'!A182</f>
        <v>720487</v>
      </c>
      <c r="B176" s="106" t="str">
        <f>'Orderformular Color Kids'!B182</f>
        <v>Anonymized Item 182</v>
      </c>
      <c r="C176" s="106" t="str">
        <f>'Orderformular Color Kids'!C182</f>
        <v>Anonymized 7946 Baja Blue</v>
      </c>
      <c r="D176" s="108" t="str">
        <f>'Orderformular Color Kids'!D182</f>
        <v>Kids</v>
      </c>
      <c r="E176" s="97">
        <f>'Orderformular Color Kids'!E182</f>
        <v>0</v>
      </c>
      <c r="F176" s="97">
        <f>'Orderformular Color Kids'!F182</f>
        <v>0</v>
      </c>
      <c r="G176" s="97">
        <f>'Orderformular Color Kids'!G182</f>
        <v>0</v>
      </c>
      <c r="H176" s="97">
        <f>'Orderformular Color Kids'!H182</f>
        <v>0</v>
      </c>
      <c r="I176" s="97">
        <f>'Orderformular Color Kids'!I182</f>
        <v>0</v>
      </c>
      <c r="J176" s="97">
        <f>'Orderformular Color Kids'!J182</f>
        <v>0</v>
      </c>
      <c r="K176" s="97">
        <f>'Orderformular Color Kids'!K182</f>
        <v>0</v>
      </c>
      <c r="L176" s="97">
        <f>'Orderformular Color Kids'!L182</f>
        <v>0</v>
      </c>
      <c r="M176" s="97">
        <f>'Orderformular Color Kids'!M182</f>
        <v>0</v>
      </c>
      <c r="N176" s="97">
        <f>'Orderformular Color Kids'!N182</f>
        <v>0</v>
      </c>
      <c r="O176" s="97">
        <f>'Orderformular Color Kids'!O182</f>
        <v>0</v>
      </c>
      <c r="P176" s="97">
        <f>'Orderformular Color Kids'!P182</f>
        <v>0</v>
      </c>
      <c r="Q176" s="97">
        <f>'Orderformular Color Kids'!Q182</f>
        <v>0</v>
      </c>
      <c r="R176" s="97">
        <f>'Orderformular Color Kids'!R182</f>
        <v>0</v>
      </c>
      <c r="S176" s="98">
        <f t="shared" si="2"/>
        <v>0</v>
      </c>
      <c r="T176" s="109">
        <f>'Orderformular Color Kids'!U182</f>
        <v>32.9</v>
      </c>
    </row>
    <row r="177" spans="1:20" ht="15" customHeight="1" x14ac:dyDescent="0.25">
      <c r="A177" s="110">
        <f>'Orderformular Color Kids'!A183</f>
        <v>720488</v>
      </c>
      <c r="B177" s="106" t="str">
        <f>'Orderformular Color Kids'!B183</f>
        <v>Anonymized Item 183</v>
      </c>
      <c r="C177" s="106" t="str">
        <f>'Orderformular Color Kids'!C183</f>
        <v>Anonymized 4173 Cotton Candy</v>
      </c>
      <c r="D177" s="108" t="str">
        <f>'Orderformular Color Kids'!D183</f>
        <v>Kids</v>
      </c>
      <c r="E177" s="97">
        <f>'Orderformular Color Kids'!E183</f>
        <v>0</v>
      </c>
      <c r="F177" s="97">
        <f>'Orderformular Color Kids'!F183</f>
        <v>0</v>
      </c>
      <c r="G177" s="97">
        <f>'Orderformular Color Kids'!G183</f>
        <v>0</v>
      </c>
      <c r="H177" s="97">
        <f>'Orderformular Color Kids'!H183</f>
        <v>0</v>
      </c>
      <c r="I177" s="97">
        <f>'Orderformular Color Kids'!I183</f>
        <v>0</v>
      </c>
      <c r="J177" s="97">
        <f>'Orderformular Color Kids'!J183</f>
        <v>0</v>
      </c>
      <c r="K177" s="97">
        <f>'Orderformular Color Kids'!K183</f>
        <v>0</v>
      </c>
      <c r="L177" s="97">
        <f>'Orderformular Color Kids'!L183</f>
        <v>0</v>
      </c>
      <c r="M177" s="97">
        <f>'Orderformular Color Kids'!M183</f>
        <v>0</v>
      </c>
      <c r="N177" s="97">
        <f>'Orderformular Color Kids'!N183</f>
        <v>0</v>
      </c>
      <c r="O177" s="97">
        <f>'Orderformular Color Kids'!O183</f>
        <v>0</v>
      </c>
      <c r="P177" s="97">
        <f>'Orderformular Color Kids'!P183</f>
        <v>0</v>
      </c>
      <c r="Q177" s="97">
        <f>'Orderformular Color Kids'!Q183</f>
        <v>0</v>
      </c>
      <c r="R177" s="97">
        <f>'Orderformular Color Kids'!R183</f>
        <v>0</v>
      </c>
      <c r="S177" s="98">
        <f t="shared" si="2"/>
        <v>0</v>
      </c>
      <c r="T177" s="109">
        <f>'Orderformular Color Kids'!U183</f>
        <v>32.9</v>
      </c>
    </row>
    <row r="178" spans="1:20" ht="15" customHeight="1" x14ac:dyDescent="0.25">
      <c r="A178" s="110">
        <f>'Orderformular Color Kids'!A184</f>
        <v>720488</v>
      </c>
      <c r="B178" s="106" t="str">
        <f>'Orderformular Color Kids'!B184</f>
        <v>Anonymized Item 184</v>
      </c>
      <c r="C178" s="106" t="str">
        <f>'Orderformular Color Kids'!C184</f>
        <v>Anonymized 7721 Dress Blues</v>
      </c>
      <c r="D178" s="108" t="str">
        <f>'Orderformular Color Kids'!D184</f>
        <v>Kids</v>
      </c>
      <c r="E178" s="97">
        <f>'Orderformular Color Kids'!E184</f>
        <v>0</v>
      </c>
      <c r="F178" s="97">
        <f>'Orderformular Color Kids'!F184</f>
        <v>0</v>
      </c>
      <c r="G178" s="97">
        <f>'Orderformular Color Kids'!G184</f>
        <v>0</v>
      </c>
      <c r="H178" s="97">
        <f>'Orderformular Color Kids'!H184</f>
        <v>0</v>
      </c>
      <c r="I178" s="97">
        <f>'Orderformular Color Kids'!I184</f>
        <v>0</v>
      </c>
      <c r="J178" s="97">
        <f>'Orderformular Color Kids'!J184</f>
        <v>0</v>
      </c>
      <c r="K178" s="97">
        <f>'Orderformular Color Kids'!K184</f>
        <v>0</v>
      </c>
      <c r="L178" s="97">
        <f>'Orderformular Color Kids'!L184</f>
        <v>0</v>
      </c>
      <c r="M178" s="97">
        <f>'Orderformular Color Kids'!M184</f>
        <v>0</v>
      </c>
      <c r="N178" s="97">
        <f>'Orderformular Color Kids'!N184</f>
        <v>0</v>
      </c>
      <c r="O178" s="97">
        <f>'Orderformular Color Kids'!O184</f>
        <v>0</v>
      </c>
      <c r="P178" s="97">
        <f>'Orderformular Color Kids'!P184</f>
        <v>0</v>
      </c>
      <c r="Q178" s="97">
        <f>'Orderformular Color Kids'!Q184</f>
        <v>0</v>
      </c>
      <c r="R178" s="97">
        <f>'Orderformular Color Kids'!R184</f>
        <v>0</v>
      </c>
      <c r="S178" s="98">
        <f t="shared" si="2"/>
        <v>0</v>
      </c>
      <c r="T178" s="109">
        <f>'Orderformular Color Kids'!U184</f>
        <v>32.9</v>
      </c>
    </row>
    <row r="179" spans="1:20" ht="15" customHeight="1" x14ac:dyDescent="0.25">
      <c r="A179" s="110">
        <f>'Orderformular Color Kids'!A185</f>
        <v>720488</v>
      </c>
      <c r="B179" s="106" t="str">
        <f>'Orderformular Color Kids'!B185</f>
        <v>Anonymized Item 185</v>
      </c>
      <c r="C179" s="106" t="str">
        <f>'Orderformular Color Kids'!C185</f>
        <v>Anonymized 7946 Baja Blue</v>
      </c>
      <c r="D179" s="108" t="str">
        <f>'Orderformular Color Kids'!D185</f>
        <v>Kids</v>
      </c>
      <c r="E179" s="97">
        <f>'Orderformular Color Kids'!E185</f>
        <v>0</v>
      </c>
      <c r="F179" s="97">
        <f>'Orderformular Color Kids'!F185</f>
        <v>0</v>
      </c>
      <c r="G179" s="97">
        <f>'Orderformular Color Kids'!G185</f>
        <v>0</v>
      </c>
      <c r="H179" s="97">
        <f>'Orderformular Color Kids'!H185</f>
        <v>0</v>
      </c>
      <c r="I179" s="97">
        <f>'Orderformular Color Kids'!I185</f>
        <v>0</v>
      </c>
      <c r="J179" s="97">
        <f>'Orderformular Color Kids'!J185</f>
        <v>0</v>
      </c>
      <c r="K179" s="97">
        <f>'Orderformular Color Kids'!K185</f>
        <v>0</v>
      </c>
      <c r="L179" s="97">
        <f>'Orderformular Color Kids'!L185</f>
        <v>0</v>
      </c>
      <c r="M179" s="97">
        <f>'Orderformular Color Kids'!M185</f>
        <v>0</v>
      </c>
      <c r="N179" s="97">
        <f>'Orderformular Color Kids'!N185</f>
        <v>0</v>
      </c>
      <c r="O179" s="97">
        <f>'Orderformular Color Kids'!O185</f>
        <v>0</v>
      </c>
      <c r="P179" s="97">
        <f>'Orderformular Color Kids'!P185</f>
        <v>0</v>
      </c>
      <c r="Q179" s="97">
        <f>'Orderformular Color Kids'!Q185</f>
        <v>0</v>
      </c>
      <c r="R179" s="97">
        <f>'Orderformular Color Kids'!R185</f>
        <v>0</v>
      </c>
      <c r="S179" s="98">
        <f t="shared" si="2"/>
        <v>0</v>
      </c>
      <c r="T179" s="109">
        <f>'Orderformular Color Kids'!U185</f>
        <v>32.9</v>
      </c>
    </row>
    <row r="180" spans="1:20" ht="15" customHeight="1" x14ac:dyDescent="0.25">
      <c r="A180" s="110">
        <f>'Orderformular Color Kids'!A186</f>
        <v>720491</v>
      </c>
      <c r="B180" s="106" t="str">
        <f>'Orderformular Color Kids'!B186</f>
        <v>Anonymized Item 186</v>
      </c>
      <c r="C180" s="106" t="str">
        <f>'Orderformular Color Kids'!C186</f>
        <v>Anonymized 5381 Pink Glo</v>
      </c>
      <c r="D180" s="108" t="str">
        <f>'Orderformular Color Kids'!D186</f>
        <v>Kids</v>
      </c>
      <c r="E180" s="97">
        <f>'Orderformular Color Kids'!E186</f>
        <v>0</v>
      </c>
      <c r="F180" s="97">
        <f>'Orderformular Color Kids'!F186</f>
        <v>0</v>
      </c>
      <c r="G180" s="97">
        <f>'Orderformular Color Kids'!G186</f>
        <v>0</v>
      </c>
      <c r="H180" s="97">
        <f>'Orderformular Color Kids'!H186</f>
        <v>0</v>
      </c>
      <c r="I180" s="97">
        <f>'Orderformular Color Kids'!I186</f>
        <v>0</v>
      </c>
      <c r="J180" s="97">
        <f>'Orderformular Color Kids'!J186</f>
        <v>0</v>
      </c>
      <c r="K180" s="97">
        <f>'Orderformular Color Kids'!K186</f>
        <v>0</v>
      </c>
      <c r="L180" s="97">
        <f>'Orderformular Color Kids'!L186</f>
        <v>0</v>
      </c>
      <c r="M180" s="97">
        <f>'Orderformular Color Kids'!M186</f>
        <v>0</v>
      </c>
      <c r="N180" s="97">
        <f>'Orderformular Color Kids'!N186</f>
        <v>0</v>
      </c>
      <c r="O180" s="97">
        <f>'Orderformular Color Kids'!O186</f>
        <v>0</v>
      </c>
      <c r="P180" s="97">
        <f>'Orderformular Color Kids'!P186</f>
        <v>0</v>
      </c>
      <c r="Q180" s="97">
        <f>'Orderformular Color Kids'!Q186</f>
        <v>0</v>
      </c>
      <c r="R180" s="97">
        <f>'Orderformular Color Kids'!R186</f>
        <v>0</v>
      </c>
      <c r="S180" s="98">
        <f t="shared" si="2"/>
        <v>0</v>
      </c>
      <c r="T180" s="109">
        <f>'Orderformular Color Kids'!U186</f>
        <v>29.9</v>
      </c>
    </row>
    <row r="181" spans="1:20" ht="15" customHeight="1" x14ac:dyDescent="0.25">
      <c r="A181" s="110">
        <f>'Orderformular Color Kids'!A187</f>
        <v>720491</v>
      </c>
      <c r="B181" s="106" t="str">
        <f>'Orderformular Color Kids'!B187</f>
        <v>Anonymized Item 187</v>
      </c>
      <c r="C181" s="106" t="str">
        <f>'Orderformular Color Kids'!C187</f>
        <v>Anonymized 6149 Marlin</v>
      </c>
      <c r="D181" s="108" t="str">
        <f>'Orderformular Color Kids'!D187</f>
        <v>Kids</v>
      </c>
      <c r="E181" s="97">
        <f>'Orderformular Color Kids'!E187</f>
        <v>0</v>
      </c>
      <c r="F181" s="97">
        <f>'Orderformular Color Kids'!F187</f>
        <v>0</v>
      </c>
      <c r="G181" s="97">
        <f>'Orderformular Color Kids'!G187</f>
        <v>0</v>
      </c>
      <c r="H181" s="97">
        <f>'Orderformular Color Kids'!H187</f>
        <v>0</v>
      </c>
      <c r="I181" s="97">
        <f>'Orderformular Color Kids'!I187</f>
        <v>0</v>
      </c>
      <c r="J181" s="97">
        <f>'Orderformular Color Kids'!J187</f>
        <v>0</v>
      </c>
      <c r="K181" s="97">
        <f>'Orderformular Color Kids'!K187</f>
        <v>0</v>
      </c>
      <c r="L181" s="97">
        <f>'Orderformular Color Kids'!L187</f>
        <v>0</v>
      </c>
      <c r="M181" s="97">
        <f>'Orderformular Color Kids'!M187</f>
        <v>0</v>
      </c>
      <c r="N181" s="97">
        <f>'Orderformular Color Kids'!N187</f>
        <v>0</v>
      </c>
      <c r="O181" s="97">
        <f>'Orderformular Color Kids'!O187</f>
        <v>0</v>
      </c>
      <c r="P181" s="97">
        <f>'Orderformular Color Kids'!P187</f>
        <v>0</v>
      </c>
      <c r="Q181" s="97">
        <f>'Orderformular Color Kids'!Q187</f>
        <v>0</v>
      </c>
      <c r="R181" s="97">
        <f>'Orderformular Color Kids'!R187</f>
        <v>0</v>
      </c>
      <c r="S181" s="98">
        <f t="shared" si="2"/>
        <v>0</v>
      </c>
      <c r="T181" s="109">
        <f>'Orderformular Color Kids'!U187</f>
        <v>29.9</v>
      </c>
    </row>
    <row r="182" spans="1:20" ht="15" customHeight="1" x14ac:dyDescent="0.25">
      <c r="A182" s="110">
        <f>'Orderformular Color Kids'!A188</f>
        <v>720492</v>
      </c>
      <c r="B182" s="106" t="str">
        <f>'Orderformular Color Kids'!B188</f>
        <v>Anonymized Item 188</v>
      </c>
      <c r="C182" s="106" t="str">
        <f>'Orderformular Color Kids'!C188</f>
        <v>Anonymized 5381 Pink Glo</v>
      </c>
      <c r="D182" s="108" t="str">
        <f>'Orderformular Color Kids'!D188</f>
        <v>Kids</v>
      </c>
      <c r="E182" s="97">
        <f>'Orderformular Color Kids'!E188</f>
        <v>0</v>
      </c>
      <c r="F182" s="97">
        <f>'Orderformular Color Kids'!F188</f>
        <v>0</v>
      </c>
      <c r="G182" s="97">
        <f>'Orderformular Color Kids'!G188</f>
        <v>0</v>
      </c>
      <c r="H182" s="97">
        <f>'Orderformular Color Kids'!H188</f>
        <v>0</v>
      </c>
      <c r="I182" s="97">
        <f>'Orderformular Color Kids'!I188</f>
        <v>0</v>
      </c>
      <c r="J182" s="97">
        <f>'Orderformular Color Kids'!J188</f>
        <v>0</v>
      </c>
      <c r="K182" s="97">
        <f>'Orderformular Color Kids'!K188</f>
        <v>0</v>
      </c>
      <c r="L182" s="97">
        <f>'Orderformular Color Kids'!L188</f>
        <v>0</v>
      </c>
      <c r="M182" s="97">
        <f>'Orderformular Color Kids'!M188</f>
        <v>0</v>
      </c>
      <c r="N182" s="97">
        <f>'Orderformular Color Kids'!N188</f>
        <v>0</v>
      </c>
      <c r="O182" s="97">
        <f>'Orderformular Color Kids'!O188</f>
        <v>0</v>
      </c>
      <c r="P182" s="97">
        <f>'Orderformular Color Kids'!P188</f>
        <v>0</v>
      </c>
      <c r="Q182" s="97">
        <f>'Orderformular Color Kids'!Q188</f>
        <v>0</v>
      </c>
      <c r="R182" s="97">
        <f>'Orderformular Color Kids'!R188</f>
        <v>0</v>
      </c>
      <c r="S182" s="98">
        <f t="shared" si="2"/>
        <v>0</v>
      </c>
      <c r="T182" s="109">
        <f>'Orderformular Color Kids'!U188</f>
        <v>29.9</v>
      </c>
    </row>
    <row r="183" spans="1:20" ht="15" customHeight="1" x14ac:dyDescent="0.25">
      <c r="A183" s="110">
        <f>'Orderformular Color Kids'!A189</f>
        <v>720492</v>
      </c>
      <c r="B183" s="106" t="str">
        <f>'Orderformular Color Kids'!B189</f>
        <v>Anonymized Item 189</v>
      </c>
      <c r="C183" s="106" t="str">
        <f>'Orderformular Color Kids'!C189</f>
        <v>Anonymized 6149 Marlin</v>
      </c>
      <c r="D183" s="108" t="str">
        <f>'Orderformular Color Kids'!D189</f>
        <v>Kids</v>
      </c>
      <c r="E183" s="97">
        <f>'Orderformular Color Kids'!E189</f>
        <v>0</v>
      </c>
      <c r="F183" s="97">
        <f>'Orderformular Color Kids'!F189</f>
        <v>0</v>
      </c>
      <c r="G183" s="97">
        <f>'Orderformular Color Kids'!G189</f>
        <v>0</v>
      </c>
      <c r="H183" s="97">
        <f>'Orderformular Color Kids'!H189</f>
        <v>0</v>
      </c>
      <c r="I183" s="97">
        <f>'Orderformular Color Kids'!I189</f>
        <v>0</v>
      </c>
      <c r="J183" s="97">
        <f>'Orderformular Color Kids'!J189</f>
        <v>0</v>
      </c>
      <c r="K183" s="97">
        <f>'Orderformular Color Kids'!K189</f>
        <v>0</v>
      </c>
      <c r="L183" s="97">
        <f>'Orderformular Color Kids'!L189</f>
        <v>0</v>
      </c>
      <c r="M183" s="97">
        <f>'Orderformular Color Kids'!M189</f>
        <v>0</v>
      </c>
      <c r="N183" s="97">
        <f>'Orderformular Color Kids'!N189</f>
        <v>0</v>
      </c>
      <c r="O183" s="97">
        <f>'Orderformular Color Kids'!O189</f>
        <v>0</v>
      </c>
      <c r="P183" s="97">
        <f>'Orderformular Color Kids'!P189</f>
        <v>0</v>
      </c>
      <c r="Q183" s="97">
        <f>'Orderformular Color Kids'!Q189</f>
        <v>0</v>
      </c>
      <c r="R183" s="97">
        <f>'Orderformular Color Kids'!R189</f>
        <v>0</v>
      </c>
      <c r="S183" s="98">
        <f t="shared" si="2"/>
        <v>0</v>
      </c>
      <c r="T183" s="109">
        <f>'Orderformular Color Kids'!U189</f>
        <v>29.9</v>
      </c>
    </row>
    <row r="184" spans="1:20" ht="15" customHeight="1" x14ac:dyDescent="0.25">
      <c r="A184" s="110">
        <f>'Orderformular Color Kids'!A190</f>
        <v>720498</v>
      </c>
      <c r="B184" s="106" t="str">
        <f>'Orderformular Color Kids'!B190</f>
        <v>Anonymized Item 190</v>
      </c>
      <c r="C184" s="106" t="str">
        <f>'Orderformular Color Kids'!C190</f>
        <v>Anonymized 3741 Sunny Lime</v>
      </c>
      <c r="D184" s="108" t="str">
        <f>'Orderformular Color Kids'!D190</f>
        <v>Kids</v>
      </c>
      <c r="E184" s="97">
        <f>'Orderformular Color Kids'!E190</f>
        <v>0</v>
      </c>
      <c r="F184" s="97">
        <f>'Orderformular Color Kids'!F190</f>
        <v>0</v>
      </c>
      <c r="G184" s="97">
        <f>'Orderformular Color Kids'!G190</f>
        <v>0</v>
      </c>
      <c r="H184" s="97">
        <f>'Orderformular Color Kids'!H190</f>
        <v>0</v>
      </c>
      <c r="I184" s="97">
        <f>'Orderformular Color Kids'!I190</f>
        <v>0</v>
      </c>
      <c r="J184" s="97">
        <f>'Orderformular Color Kids'!J190</f>
        <v>0</v>
      </c>
      <c r="K184" s="97">
        <f>'Orderformular Color Kids'!K190</f>
        <v>0</v>
      </c>
      <c r="L184" s="97">
        <f>'Orderformular Color Kids'!L190</f>
        <v>0</v>
      </c>
      <c r="M184" s="97">
        <f>'Orderformular Color Kids'!M190</f>
        <v>0</v>
      </c>
      <c r="N184" s="97">
        <f>'Orderformular Color Kids'!N190</f>
        <v>0</v>
      </c>
      <c r="O184" s="97">
        <f>'Orderformular Color Kids'!O190</f>
        <v>0</v>
      </c>
      <c r="P184" s="97">
        <f>'Orderformular Color Kids'!P190</f>
        <v>0</v>
      </c>
      <c r="Q184" s="97">
        <f>'Orderformular Color Kids'!Q190</f>
        <v>0</v>
      </c>
      <c r="R184" s="97">
        <f>'Orderformular Color Kids'!R190</f>
        <v>0</v>
      </c>
      <c r="S184" s="98">
        <f t="shared" si="2"/>
        <v>0</v>
      </c>
      <c r="T184" s="109">
        <f>'Orderformular Color Kids'!U190</f>
        <v>29.9</v>
      </c>
    </row>
    <row r="185" spans="1:20" ht="15" customHeight="1" x14ac:dyDescent="0.25">
      <c r="A185" s="110">
        <f>'Orderformular Color Kids'!A191</f>
        <v>720498</v>
      </c>
      <c r="B185" s="106" t="str">
        <f>'Orderformular Color Kids'!B191</f>
        <v>Anonymized Item 191</v>
      </c>
      <c r="C185" s="106" t="str">
        <f>'Orderformular Color Kids'!C191</f>
        <v>Anonymized 7721 Dress Blues</v>
      </c>
      <c r="D185" s="108" t="str">
        <f>'Orderformular Color Kids'!D191</f>
        <v>Kids</v>
      </c>
      <c r="E185" s="97">
        <f>'Orderformular Color Kids'!E191</f>
        <v>0</v>
      </c>
      <c r="F185" s="97">
        <f>'Orderformular Color Kids'!F191</f>
        <v>0</v>
      </c>
      <c r="G185" s="97">
        <f>'Orderformular Color Kids'!G191</f>
        <v>0</v>
      </c>
      <c r="H185" s="97">
        <f>'Orderformular Color Kids'!H191</f>
        <v>0</v>
      </c>
      <c r="I185" s="97">
        <f>'Orderformular Color Kids'!I191</f>
        <v>0</v>
      </c>
      <c r="J185" s="97">
        <f>'Orderformular Color Kids'!J191</f>
        <v>0</v>
      </c>
      <c r="K185" s="97">
        <f>'Orderformular Color Kids'!K191</f>
        <v>0</v>
      </c>
      <c r="L185" s="97">
        <f>'Orderformular Color Kids'!L191</f>
        <v>0</v>
      </c>
      <c r="M185" s="97">
        <f>'Orderformular Color Kids'!M191</f>
        <v>0</v>
      </c>
      <c r="N185" s="97">
        <f>'Orderformular Color Kids'!N191</f>
        <v>0</v>
      </c>
      <c r="O185" s="97">
        <f>'Orderformular Color Kids'!O191</f>
        <v>0</v>
      </c>
      <c r="P185" s="97">
        <f>'Orderformular Color Kids'!P191</f>
        <v>0</v>
      </c>
      <c r="Q185" s="97">
        <f>'Orderformular Color Kids'!Q191</f>
        <v>0</v>
      </c>
      <c r="R185" s="97">
        <f>'Orderformular Color Kids'!R191</f>
        <v>0</v>
      </c>
      <c r="S185" s="98">
        <f t="shared" si="2"/>
        <v>0</v>
      </c>
      <c r="T185" s="109">
        <f>'Orderformular Color Kids'!U191</f>
        <v>29.9</v>
      </c>
    </row>
    <row r="186" spans="1:20" ht="15" customHeight="1" x14ac:dyDescent="0.25">
      <c r="A186" s="110">
        <f>'Orderformular Color Kids'!A192</f>
        <v>720498</v>
      </c>
      <c r="B186" s="106" t="str">
        <f>'Orderformular Color Kids'!B192</f>
        <v>Anonymized Item 192</v>
      </c>
      <c r="C186" s="106" t="str">
        <f>'Orderformular Color Kids'!C192</f>
        <v>Anonymized 7946 Baja Blue</v>
      </c>
      <c r="D186" s="108" t="str">
        <f>'Orderformular Color Kids'!D192</f>
        <v>Kids</v>
      </c>
      <c r="E186" s="97">
        <f>'Orderformular Color Kids'!E192</f>
        <v>0</v>
      </c>
      <c r="F186" s="97">
        <f>'Orderformular Color Kids'!F192</f>
        <v>0</v>
      </c>
      <c r="G186" s="97">
        <f>'Orderformular Color Kids'!G192</f>
        <v>0</v>
      </c>
      <c r="H186" s="97">
        <f>'Orderformular Color Kids'!H192</f>
        <v>0</v>
      </c>
      <c r="I186" s="97">
        <f>'Orderformular Color Kids'!I192</f>
        <v>0</v>
      </c>
      <c r="J186" s="97">
        <f>'Orderformular Color Kids'!J192</f>
        <v>0</v>
      </c>
      <c r="K186" s="97">
        <f>'Orderformular Color Kids'!K192</f>
        <v>0</v>
      </c>
      <c r="L186" s="97">
        <f>'Orderformular Color Kids'!L192</f>
        <v>0</v>
      </c>
      <c r="M186" s="97">
        <f>'Orderformular Color Kids'!M192</f>
        <v>0</v>
      </c>
      <c r="N186" s="97">
        <f>'Orderformular Color Kids'!N192</f>
        <v>0</v>
      </c>
      <c r="O186" s="97">
        <f>'Orderformular Color Kids'!O192</f>
        <v>0</v>
      </c>
      <c r="P186" s="97">
        <f>'Orderformular Color Kids'!P192</f>
        <v>0</v>
      </c>
      <c r="Q186" s="97">
        <f>'Orderformular Color Kids'!Q192</f>
        <v>0</v>
      </c>
      <c r="R186" s="97">
        <f>'Orderformular Color Kids'!R192</f>
        <v>0</v>
      </c>
      <c r="S186" s="98">
        <f t="shared" si="2"/>
        <v>0</v>
      </c>
      <c r="T186" s="109">
        <f>'Orderformular Color Kids'!U192</f>
        <v>29.9</v>
      </c>
    </row>
    <row r="187" spans="1:20" ht="15" customHeight="1" x14ac:dyDescent="0.25">
      <c r="A187" s="110">
        <f>'Orderformular Color Kids'!A193</f>
        <v>720502</v>
      </c>
      <c r="B187" s="106" t="str">
        <f>'Orderformular Color Kids'!B193</f>
        <v>Anonymized Item 193</v>
      </c>
      <c r="C187" s="106" t="str">
        <f>'Orderformular Color Kids'!C193</f>
        <v>Anonymized 5021 Pale Lilac</v>
      </c>
      <c r="D187" s="108" t="str">
        <f>'Orderformular Color Kids'!D193</f>
        <v>Kids</v>
      </c>
      <c r="E187" s="97">
        <f>'Orderformular Color Kids'!E193</f>
        <v>0</v>
      </c>
      <c r="F187" s="97">
        <f>'Orderformular Color Kids'!F193</f>
        <v>0</v>
      </c>
      <c r="G187" s="97">
        <f>'Orderformular Color Kids'!G193</f>
        <v>0</v>
      </c>
      <c r="H187" s="97">
        <f>'Orderformular Color Kids'!H193</f>
        <v>0</v>
      </c>
      <c r="I187" s="97">
        <f>'Orderformular Color Kids'!I193</f>
        <v>0</v>
      </c>
      <c r="J187" s="97">
        <f>'Orderformular Color Kids'!J193</f>
        <v>0</v>
      </c>
      <c r="K187" s="97">
        <f>'Orderformular Color Kids'!K193</f>
        <v>0</v>
      </c>
      <c r="L187" s="97">
        <f>'Orderformular Color Kids'!L193</f>
        <v>0</v>
      </c>
      <c r="M187" s="97">
        <f>'Orderformular Color Kids'!M193</f>
        <v>0</v>
      </c>
      <c r="N187" s="97">
        <f>'Orderformular Color Kids'!N193</f>
        <v>0</v>
      </c>
      <c r="O187" s="97">
        <f>'Orderformular Color Kids'!O193</f>
        <v>0</v>
      </c>
      <c r="P187" s="97">
        <f>'Orderformular Color Kids'!P193</f>
        <v>0</v>
      </c>
      <c r="Q187" s="97">
        <f>'Orderformular Color Kids'!Q193</f>
        <v>0</v>
      </c>
      <c r="R187" s="97">
        <f>'Orderformular Color Kids'!R193</f>
        <v>0</v>
      </c>
      <c r="S187" s="98">
        <f t="shared" si="2"/>
        <v>0</v>
      </c>
      <c r="T187" s="109">
        <f>'Orderformular Color Kids'!U193</f>
        <v>39.9</v>
      </c>
    </row>
    <row r="188" spans="1:20" ht="15" customHeight="1" x14ac:dyDescent="0.25">
      <c r="A188" s="110">
        <f>'Orderformular Color Kids'!A194</f>
        <v>720502</v>
      </c>
      <c r="B188" s="106" t="str">
        <f>'Orderformular Color Kids'!B194</f>
        <v>Anonymized Item 194</v>
      </c>
      <c r="C188" s="106" t="str">
        <f>'Orderformular Color Kids'!C194</f>
        <v xml:space="preserve">Anonymized 6056 Lilac Breeze </v>
      </c>
      <c r="D188" s="108" t="str">
        <f>'Orderformular Color Kids'!D194</f>
        <v>Kids</v>
      </c>
      <c r="E188" s="97">
        <f>'Orderformular Color Kids'!E194</f>
        <v>0</v>
      </c>
      <c r="F188" s="97">
        <f>'Orderformular Color Kids'!F194</f>
        <v>0</v>
      </c>
      <c r="G188" s="97">
        <f>'Orderformular Color Kids'!G194</f>
        <v>0</v>
      </c>
      <c r="H188" s="97">
        <f>'Orderformular Color Kids'!H194</f>
        <v>0</v>
      </c>
      <c r="I188" s="97">
        <f>'Orderformular Color Kids'!I194</f>
        <v>0</v>
      </c>
      <c r="J188" s="97">
        <f>'Orderformular Color Kids'!J194</f>
        <v>0</v>
      </c>
      <c r="K188" s="97">
        <f>'Orderformular Color Kids'!K194</f>
        <v>0</v>
      </c>
      <c r="L188" s="97">
        <f>'Orderformular Color Kids'!L194</f>
        <v>0</v>
      </c>
      <c r="M188" s="97">
        <f>'Orderformular Color Kids'!M194</f>
        <v>0</v>
      </c>
      <c r="N188" s="97">
        <f>'Orderformular Color Kids'!N194</f>
        <v>0</v>
      </c>
      <c r="O188" s="97">
        <f>'Orderformular Color Kids'!O194</f>
        <v>0</v>
      </c>
      <c r="P188" s="97">
        <f>'Orderformular Color Kids'!P194</f>
        <v>0</v>
      </c>
      <c r="Q188" s="97">
        <f>'Orderformular Color Kids'!Q194</f>
        <v>0</v>
      </c>
      <c r="R188" s="97">
        <f>'Orderformular Color Kids'!R194</f>
        <v>0</v>
      </c>
      <c r="S188" s="98">
        <f t="shared" si="2"/>
        <v>0</v>
      </c>
      <c r="T188" s="109">
        <f>'Orderformular Color Kids'!U194</f>
        <v>39.9</v>
      </c>
    </row>
    <row r="189" spans="1:20" ht="15" customHeight="1" x14ac:dyDescent="0.25">
      <c r="A189" s="110">
        <f>'Orderformular Color Kids'!A195</f>
        <v>720502</v>
      </c>
      <c r="B189" s="106" t="str">
        <f>'Orderformular Color Kids'!B195</f>
        <v>Anonymized Item 195</v>
      </c>
      <c r="C189" s="106" t="str">
        <f>'Orderformular Color Kids'!C195</f>
        <v>Anonymized 7721 Dress Blues</v>
      </c>
      <c r="D189" s="108" t="str">
        <f>'Orderformular Color Kids'!D195</f>
        <v>Kids</v>
      </c>
      <c r="E189" s="97">
        <f>'Orderformular Color Kids'!E195</f>
        <v>0</v>
      </c>
      <c r="F189" s="97">
        <f>'Orderformular Color Kids'!F195</f>
        <v>0</v>
      </c>
      <c r="G189" s="97">
        <f>'Orderformular Color Kids'!G195</f>
        <v>0</v>
      </c>
      <c r="H189" s="97">
        <f>'Orderformular Color Kids'!H195</f>
        <v>0</v>
      </c>
      <c r="I189" s="97">
        <f>'Orderformular Color Kids'!I195</f>
        <v>0</v>
      </c>
      <c r="J189" s="97">
        <f>'Orderformular Color Kids'!J195</f>
        <v>0</v>
      </c>
      <c r="K189" s="97">
        <f>'Orderformular Color Kids'!K195</f>
        <v>0</v>
      </c>
      <c r="L189" s="97">
        <f>'Orderformular Color Kids'!L195</f>
        <v>0</v>
      </c>
      <c r="M189" s="97">
        <f>'Orderformular Color Kids'!M195</f>
        <v>0</v>
      </c>
      <c r="N189" s="97">
        <f>'Orderformular Color Kids'!N195</f>
        <v>0</v>
      </c>
      <c r="O189" s="97">
        <f>'Orderformular Color Kids'!O195</f>
        <v>0</v>
      </c>
      <c r="P189" s="97">
        <f>'Orderformular Color Kids'!P195</f>
        <v>0</v>
      </c>
      <c r="Q189" s="97">
        <f>'Orderformular Color Kids'!Q195</f>
        <v>0</v>
      </c>
      <c r="R189" s="97">
        <f>'Orderformular Color Kids'!R195</f>
        <v>0</v>
      </c>
      <c r="S189" s="98">
        <f t="shared" si="2"/>
        <v>0</v>
      </c>
      <c r="T189" s="109">
        <f>'Orderformular Color Kids'!U195</f>
        <v>39.9</v>
      </c>
    </row>
    <row r="190" spans="1:20" ht="15" customHeight="1" x14ac:dyDescent="0.25">
      <c r="A190" s="110">
        <f>'Orderformular Color Kids'!A196</f>
        <v>720502</v>
      </c>
      <c r="B190" s="106" t="str">
        <f>'Orderformular Color Kids'!B196</f>
        <v>Anonymized Item 196</v>
      </c>
      <c r="C190" s="106" t="str">
        <f>'Orderformular Color Kids'!C196</f>
        <v>Anonymized 7946 Baja Blue</v>
      </c>
      <c r="D190" s="108" t="str">
        <f>'Orderformular Color Kids'!D196</f>
        <v>Kids</v>
      </c>
      <c r="E190" s="97">
        <f>'Orderformular Color Kids'!E196</f>
        <v>0</v>
      </c>
      <c r="F190" s="97">
        <f>'Orderformular Color Kids'!F196</f>
        <v>0</v>
      </c>
      <c r="G190" s="97">
        <f>'Orderformular Color Kids'!G196</f>
        <v>0</v>
      </c>
      <c r="H190" s="97">
        <f>'Orderformular Color Kids'!H196</f>
        <v>0</v>
      </c>
      <c r="I190" s="97">
        <f>'Orderformular Color Kids'!I196</f>
        <v>0</v>
      </c>
      <c r="J190" s="97">
        <f>'Orderformular Color Kids'!J196</f>
        <v>0</v>
      </c>
      <c r="K190" s="97">
        <f>'Orderformular Color Kids'!K196</f>
        <v>0</v>
      </c>
      <c r="L190" s="97">
        <f>'Orderformular Color Kids'!L196</f>
        <v>0</v>
      </c>
      <c r="M190" s="97">
        <f>'Orderformular Color Kids'!M196</f>
        <v>0</v>
      </c>
      <c r="N190" s="97">
        <f>'Orderformular Color Kids'!N196</f>
        <v>0</v>
      </c>
      <c r="O190" s="97">
        <f>'Orderformular Color Kids'!O196</f>
        <v>0</v>
      </c>
      <c r="P190" s="97">
        <f>'Orderformular Color Kids'!P196</f>
        <v>0</v>
      </c>
      <c r="Q190" s="97">
        <f>'Orderformular Color Kids'!Q196</f>
        <v>0</v>
      </c>
      <c r="R190" s="97">
        <f>'Orderformular Color Kids'!R196</f>
        <v>0</v>
      </c>
      <c r="S190" s="98">
        <f t="shared" si="2"/>
        <v>0</v>
      </c>
      <c r="T190" s="109">
        <f>'Orderformular Color Kids'!U196</f>
        <v>39.9</v>
      </c>
    </row>
    <row r="191" spans="1:20" ht="15" customHeight="1" x14ac:dyDescent="0.25">
      <c r="A191" s="110">
        <f>'Orderformular Color Kids'!A197</f>
        <v>720505</v>
      </c>
      <c r="B191" s="106" t="str">
        <f>'Orderformular Color Kids'!B197</f>
        <v>Anonymized Item 197</v>
      </c>
      <c r="C191" s="106" t="str">
        <f>'Orderformular Color Kids'!C197</f>
        <v>Anonymized 3741 Sunny Lime</v>
      </c>
      <c r="D191" s="108" t="str">
        <f>'Orderformular Color Kids'!D197</f>
        <v>Kids</v>
      </c>
      <c r="E191" s="97">
        <f>'Orderformular Color Kids'!E197</f>
        <v>0</v>
      </c>
      <c r="F191" s="97">
        <f>'Orderformular Color Kids'!F197</f>
        <v>0</v>
      </c>
      <c r="G191" s="97">
        <f>'Orderformular Color Kids'!G197</f>
        <v>0</v>
      </c>
      <c r="H191" s="97">
        <f>'Orderformular Color Kids'!H197</f>
        <v>0</v>
      </c>
      <c r="I191" s="97">
        <f>'Orderformular Color Kids'!I197</f>
        <v>0</v>
      </c>
      <c r="J191" s="97">
        <f>'Orderformular Color Kids'!J197</f>
        <v>0</v>
      </c>
      <c r="K191" s="97">
        <f>'Orderformular Color Kids'!K197</f>
        <v>0</v>
      </c>
      <c r="L191" s="97">
        <f>'Orderformular Color Kids'!L197</f>
        <v>0</v>
      </c>
      <c r="M191" s="97">
        <f>'Orderformular Color Kids'!M197</f>
        <v>0</v>
      </c>
      <c r="N191" s="97">
        <f>'Orderformular Color Kids'!N197</f>
        <v>0</v>
      </c>
      <c r="O191" s="97">
        <f>'Orderformular Color Kids'!O197</f>
        <v>0</v>
      </c>
      <c r="P191" s="97">
        <f>'Orderformular Color Kids'!P197</f>
        <v>0</v>
      </c>
      <c r="Q191" s="97">
        <f>'Orderformular Color Kids'!Q197</f>
        <v>0</v>
      </c>
      <c r="R191" s="97">
        <f>'Orderformular Color Kids'!R197</f>
        <v>0</v>
      </c>
      <c r="S191" s="98">
        <f t="shared" si="2"/>
        <v>0</v>
      </c>
      <c r="T191" s="109">
        <f>'Orderformular Color Kids'!U197</f>
        <v>26.9</v>
      </c>
    </row>
    <row r="192" spans="1:20" ht="15" customHeight="1" x14ac:dyDescent="0.25">
      <c r="A192" s="110">
        <f>'Orderformular Color Kids'!A198</f>
        <v>720505</v>
      </c>
      <c r="B192" s="106" t="str">
        <f>'Orderformular Color Kids'!B198</f>
        <v>Anonymized Item 198</v>
      </c>
      <c r="C192" s="106" t="str">
        <f>'Orderformular Color Kids'!C198</f>
        <v>Anonymized 6820 Iris Orchid</v>
      </c>
      <c r="D192" s="108" t="str">
        <f>'Orderformular Color Kids'!D198</f>
        <v>Kids</v>
      </c>
      <c r="E192" s="97">
        <f>'Orderformular Color Kids'!E198</f>
        <v>0</v>
      </c>
      <c r="F192" s="97">
        <f>'Orderformular Color Kids'!F198</f>
        <v>0</v>
      </c>
      <c r="G192" s="97">
        <f>'Orderformular Color Kids'!G198</f>
        <v>0</v>
      </c>
      <c r="H192" s="97">
        <f>'Orderformular Color Kids'!H198</f>
        <v>0</v>
      </c>
      <c r="I192" s="97">
        <f>'Orderformular Color Kids'!I198</f>
        <v>0</v>
      </c>
      <c r="J192" s="97">
        <f>'Orderformular Color Kids'!J198</f>
        <v>0</v>
      </c>
      <c r="K192" s="97">
        <f>'Orderformular Color Kids'!K198</f>
        <v>0</v>
      </c>
      <c r="L192" s="97">
        <f>'Orderformular Color Kids'!L198</f>
        <v>0</v>
      </c>
      <c r="M192" s="97">
        <f>'Orderformular Color Kids'!M198</f>
        <v>0</v>
      </c>
      <c r="N192" s="97">
        <f>'Orderformular Color Kids'!N198</f>
        <v>0</v>
      </c>
      <c r="O192" s="97">
        <f>'Orderformular Color Kids'!O198</f>
        <v>0</v>
      </c>
      <c r="P192" s="97">
        <f>'Orderformular Color Kids'!P198</f>
        <v>0</v>
      </c>
      <c r="Q192" s="97">
        <f>'Orderformular Color Kids'!Q198</f>
        <v>0</v>
      </c>
      <c r="R192" s="97">
        <f>'Orderformular Color Kids'!R198</f>
        <v>0</v>
      </c>
      <c r="S192" s="98">
        <f t="shared" si="2"/>
        <v>0</v>
      </c>
      <c r="T192" s="109">
        <f>'Orderformular Color Kids'!U198</f>
        <v>26.9</v>
      </c>
    </row>
    <row r="193" spans="1:20" ht="15" customHeight="1" x14ac:dyDescent="0.25">
      <c r="A193" s="110">
        <f>'Orderformular Color Kids'!A199</f>
        <v>720505</v>
      </c>
      <c r="B193" s="106" t="str">
        <f>'Orderformular Color Kids'!B199</f>
        <v>Anonymized Item 199</v>
      </c>
      <c r="C193" s="106" t="str">
        <f>'Orderformular Color Kids'!C199</f>
        <v>Anonymized 8425 Pool Green</v>
      </c>
      <c r="D193" s="108" t="str">
        <f>'Orderformular Color Kids'!D199</f>
        <v>Kids</v>
      </c>
      <c r="E193" s="97">
        <f>'Orderformular Color Kids'!E199</f>
        <v>0</v>
      </c>
      <c r="F193" s="97">
        <f>'Orderformular Color Kids'!F199</f>
        <v>0</v>
      </c>
      <c r="G193" s="97">
        <f>'Orderformular Color Kids'!G199</f>
        <v>0</v>
      </c>
      <c r="H193" s="97">
        <f>'Orderformular Color Kids'!H199</f>
        <v>0</v>
      </c>
      <c r="I193" s="97">
        <f>'Orderformular Color Kids'!I199</f>
        <v>0</v>
      </c>
      <c r="J193" s="97">
        <f>'Orderformular Color Kids'!J199</f>
        <v>0</v>
      </c>
      <c r="K193" s="97">
        <f>'Orderformular Color Kids'!K199</f>
        <v>0</v>
      </c>
      <c r="L193" s="97">
        <f>'Orderformular Color Kids'!L199</f>
        <v>0</v>
      </c>
      <c r="M193" s="97">
        <f>'Orderformular Color Kids'!M199</f>
        <v>0</v>
      </c>
      <c r="N193" s="97">
        <f>'Orderformular Color Kids'!N199</f>
        <v>0</v>
      </c>
      <c r="O193" s="97">
        <f>'Orderformular Color Kids'!O199</f>
        <v>0</v>
      </c>
      <c r="P193" s="97">
        <f>'Orderformular Color Kids'!P199</f>
        <v>0</v>
      </c>
      <c r="Q193" s="97">
        <f>'Orderformular Color Kids'!Q199</f>
        <v>0</v>
      </c>
      <c r="R193" s="97">
        <f>'Orderformular Color Kids'!R199</f>
        <v>0</v>
      </c>
      <c r="S193" s="98">
        <f t="shared" si="2"/>
        <v>0</v>
      </c>
      <c r="T193" s="109">
        <f>'Orderformular Color Kids'!U199</f>
        <v>26.9</v>
      </c>
    </row>
    <row r="194" spans="1:20" ht="15" customHeight="1" x14ac:dyDescent="0.25">
      <c r="A194" s="110">
        <f>'Orderformular Color Kids'!A200</f>
        <v>720506</v>
      </c>
      <c r="B194" s="106" t="str">
        <f>'Orderformular Color Kids'!B200</f>
        <v>Anonymized Item 200</v>
      </c>
      <c r="C194" s="106" t="str">
        <f>'Orderformular Color Kids'!C200</f>
        <v>Anonymized 3257 Sun Orange</v>
      </c>
      <c r="D194" s="108" t="str">
        <f>'Orderformular Color Kids'!D200</f>
        <v>Kids</v>
      </c>
      <c r="E194" s="97">
        <f>'Orderformular Color Kids'!E200</f>
        <v>0</v>
      </c>
      <c r="F194" s="97">
        <f>'Orderformular Color Kids'!F200</f>
        <v>0</v>
      </c>
      <c r="G194" s="97">
        <f>'Orderformular Color Kids'!G200</f>
        <v>0</v>
      </c>
      <c r="H194" s="97">
        <f>'Orderformular Color Kids'!H200</f>
        <v>0</v>
      </c>
      <c r="I194" s="97">
        <f>'Orderformular Color Kids'!I200</f>
        <v>0</v>
      </c>
      <c r="J194" s="97">
        <f>'Orderformular Color Kids'!J200</f>
        <v>0</v>
      </c>
      <c r="K194" s="97">
        <f>'Orderformular Color Kids'!K200</f>
        <v>0</v>
      </c>
      <c r="L194" s="97">
        <f>'Orderformular Color Kids'!L200</f>
        <v>0</v>
      </c>
      <c r="M194" s="97">
        <f>'Orderformular Color Kids'!M200</f>
        <v>0</v>
      </c>
      <c r="N194" s="97">
        <f>'Orderformular Color Kids'!N200</f>
        <v>0</v>
      </c>
      <c r="O194" s="97">
        <f>'Orderformular Color Kids'!O200</f>
        <v>0</v>
      </c>
      <c r="P194" s="97">
        <f>'Orderformular Color Kids'!P200</f>
        <v>0</v>
      </c>
      <c r="Q194" s="97">
        <f>'Orderformular Color Kids'!Q200</f>
        <v>0</v>
      </c>
      <c r="R194" s="97">
        <f>'Orderformular Color Kids'!R200</f>
        <v>0</v>
      </c>
      <c r="S194" s="98">
        <f t="shared" si="2"/>
        <v>0</v>
      </c>
      <c r="T194" s="109">
        <f>'Orderformular Color Kids'!U200</f>
        <v>29.9</v>
      </c>
    </row>
    <row r="195" spans="1:20" ht="15" customHeight="1" x14ac:dyDescent="0.25">
      <c r="A195" s="110">
        <f>'Orderformular Color Kids'!A201</f>
        <v>720506</v>
      </c>
      <c r="B195" s="106" t="str">
        <f>'Orderformular Color Kids'!B201</f>
        <v>Anonymized Item 201</v>
      </c>
      <c r="C195" s="106" t="str">
        <f>'Orderformular Color Kids'!C201</f>
        <v>Anonymized 5036 Peach Pink</v>
      </c>
      <c r="D195" s="108" t="str">
        <f>'Orderformular Color Kids'!D201</f>
        <v>Kids</v>
      </c>
      <c r="E195" s="97">
        <f>'Orderformular Color Kids'!E201</f>
        <v>0</v>
      </c>
      <c r="F195" s="97">
        <f>'Orderformular Color Kids'!F201</f>
        <v>0</v>
      </c>
      <c r="G195" s="97">
        <f>'Orderformular Color Kids'!G201</f>
        <v>0</v>
      </c>
      <c r="H195" s="97">
        <f>'Orderformular Color Kids'!H201</f>
        <v>0</v>
      </c>
      <c r="I195" s="97">
        <f>'Orderformular Color Kids'!I201</f>
        <v>0</v>
      </c>
      <c r="J195" s="97">
        <f>'Orderformular Color Kids'!J201</f>
        <v>0</v>
      </c>
      <c r="K195" s="97">
        <f>'Orderformular Color Kids'!K201</f>
        <v>0</v>
      </c>
      <c r="L195" s="97">
        <f>'Orderformular Color Kids'!L201</f>
        <v>0</v>
      </c>
      <c r="M195" s="97">
        <f>'Orderformular Color Kids'!M201</f>
        <v>0</v>
      </c>
      <c r="N195" s="97">
        <f>'Orderformular Color Kids'!N201</f>
        <v>0</v>
      </c>
      <c r="O195" s="97">
        <f>'Orderformular Color Kids'!O201</f>
        <v>0</v>
      </c>
      <c r="P195" s="97">
        <f>'Orderformular Color Kids'!P201</f>
        <v>0</v>
      </c>
      <c r="Q195" s="97">
        <f>'Orderformular Color Kids'!Q201</f>
        <v>0</v>
      </c>
      <c r="R195" s="97">
        <f>'Orderformular Color Kids'!R201</f>
        <v>0</v>
      </c>
      <c r="S195" s="98">
        <f t="shared" si="2"/>
        <v>0</v>
      </c>
      <c r="T195" s="109">
        <f>'Orderformular Color Kids'!U201</f>
        <v>29.9</v>
      </c>
    </row>
    <row r="196" spans="1:20" ht="15" customHeight="1" x14ac:dyDescent="0.25">
      <c r="A196" s="110">
        <f>'Orderformular Color Kids'!A202</f>
        <v>720506</v>
      </c>
      <c r="B196" s="106" t="str">
        <f>'Orderformular Color Kids'!B202</f>
        <v>Anonymized Item 202</v>
      </c>
      <c r="C196" s="106" t="str">
        <f>'Orderformular Color Kids'!C202</f>
        <v>Anonymized 5381 Pink Glo</v>
      </c>
      <c r="D196" s="108" t="str">
        <f>'Orderformular Color Kids'!D202</f>
        <v>Kids</v>
      </c>
      <c r="E196" s="97">
        <f>'Orderformular Color Kids'!E202</f>
        <v>0</v>
      </c>
      <c r="F196" s="97">
        <f>'Orderformular Color Kids'!F202</f>
        <v>0</v>
      </c>
      <c r="G196" s="97">
        <f>'Orderformular Color Kids'!G202</f>
        <v>0</v>
      </c>
      <c r="H196" s="97">
        <f>'Orderformular Color Kids'!H202</f>
        <v>0</v>
      </c>
      <c r="I196" s="97">
        <f>'Orderformular Color Kids'!I202</f>
        <v>0</v>
      </c>
      <c r="J196" s="97">
        <f>'Orderformular Color Kids'!J202</f>
        <v>0</v>
      </c>
      <c r="K196" s="97">
        <f>'Orderformular Color Kids'!K202</f>
        <v>0</v>
      </c>
      <c r="L196" s="97">
        <f>'Orderformular Color Kids'!L202</f>
        <v>0</v>
      </c>
      <c r="M196" s="97">
        <f>'Orderformular Color Kids'!M202</f>
        <v>0</v>
      </c>
      <c r="N196" s="97">
        <f>'Orderformular Color Kids'!N202</f>
        <v>0</v>
      </c>
      <c r="O196" s="97">
        <f>'Orderformular Color Kids'!O202</f>
        <v>0</v>
      </c>
      <c r="P196" s="97">
        <f>'Orderformular Color Kids'!P202</f>
        <v>0</v>
      </c>
      <c r="Q196" s="97">
        <f>'Orderformular Color Kids'!Q202</f>
        <v>0</v>
      </c>
      <c r="R196" s="97">
        <f>'Orderformular Color Kids'!R202</f>
        <v>0</v>
      </c>
      <c r="S196" s="98">
        <f t="shared" si="2"/>
        <v>0</v>
      </c>
      <c r="T196" s="109">
        <f>'Orderformular Color Kids'!U202</f>
        <v>29.9</v>
      </c>
    </row>
    <row r="197" spans="1:20" ht="15" customHeight="1" x14ac:dyDescent="0.25">
      <c r="A197" s="110">
        <f>'Orderformular Color Kids'!A203</f>
        <v>720506</v>
      </c>
      <c r="B197" s="106" t="str">
        <f>'Orderformular Color Kids'!B203</f>
        <v>Anonymized Item 203</v>
      </c>
      <c r="C197" s="106" t="str">
        <f>'Orderformular Color Kids'!C203</f>
        <v>Anonymized 7054 Nouvean Navy</v>
      </c>
      <c r="D197" s="108" t="str">
        <f>'Orderformular Color Kids'!D203</f>
        <v>Kids</v>
      </c>
      <c r="E197" s="97">
        <f>'Orderformular Color Kids'!E203</f>
        <v>0</v>
      </c>
      <c r="F197" s="97">
        <f>'Orderformular Color Kids'!F203</f>
        <v>0</v>
      </c>
      <c r="G197" s="97">
        <f>'Orderformular Color Kids'!G203</f>
        <v>0</v>
      </c>
      <c r="H197" s="97">
        <f>'Orderformular Color Kids'!H203</f>
        <v>0</v>
      </c>
      <c r="I197" s="97">
        <f>'Orderformular Color Kids'!I203</f>
        <v>0</v>
      </c>
      <c r="J197" s="97">
        <f>'Orderformular Color Kids'!J203</f>
        <v>0</v>
      </c>
      <c r="K197" s="97">
        <f>'Orderformular Color Kids'!K203</f>
        <v>0</v>
      </c>
      <c r="L197" s="97">
        <f>'Orderformular Color Kids'!L203</f>
        <v>0</v>
      </c>
      <c r="M197" s="97">
        <f>'Orderformular Color Kids'!M203</f>
        <v>0</v>
      </c>
      <c r="N197" s="97">
        <f>'Orderformular Color Kids'!N203</f>
        <v>0</v>
      </c>
      <c r="O197" s="97">
        <f>'Orderformular Color Kids'!O203</f>
        <v>0</v>
      </c>
      <c r="P197" s="97">
        <f>'Orderformular Color Kids'!P203</f>
        <v>0</v>
      </c>
      <c r="Q197" s="97">
        <f>'Orderformular Color Kids'!Q203</f>
        <v>0</v>
      </c>
      <c r="R197" s="97">
        <f>'Orderformular Color Kids'!R203</f>
        <v>0</v>
      </c>
      <c r="S197" s="98">
        <f t="shared" si="2"/>
        <v>0</v>
      </c>
      <c r="T197" s="109">
        <f>'Orderformular Color Kids'!U203</f>
        <v>29.9</v>
      </c>
    </row>
    <row r="198" spans="1:20" ht="15" customHeight="1" x14ac:dyDescent="0.25">
      <c r="A198" s="110">
        <f>'Orderformular Color Kids'!A204</f>
        <v>720506</v>
      </c>
      <c r="B198" s="106" t="str">
        <f>'Orderformular Color Kids'!B204</f>
        <v>Anonymized Item 204</v>
      </c>
      <c r="C198" s="106" t="str">
        <f>'Orderformular Color Kids'!C204</f>
        <v>Anonymized 7946 Baja Blue</v>
      </c>
      <c r="D198" s="108" t="str">
        <f>'Orderformular Color Kids'!D204</f>
        <v>Kids</v>
      </c>
      <c r="E198" s="97">
        <f>'Orderformular Color Kids'!E204</f>
        <v>0</v>
      </c>
      <c r="F198" s="97">
        <f>'Orderformular Color Kids'!F204</f>
        <v>0</v>
      </c>
      <c r="G198" s="97">
        <f>'Orderformular Color Kids'!G204</f>
        <v>0</v>
      </c>
      <c r="H198" s="97">
        <f>'Orderformular Color Kids'!H204</f>
        <v>0</v>
      </c>
      <c r="I198" s="97">
        <f>'Orderformular Color Kids'!I204</f>
        <v>0</v>
      </c>
      <c r="J198" s="97">
        <f>'Orderformular Color Kids'!J204</f>
        <v>0</v>
      </c>
      <c r="K198" s="97">
        <f>'Orderformular Color Kids'!K204</f>
        <v>0</v>
      </c>
      <c r="L198" s="97">
        <f>'Orderformular Color Kids'!L204</f>
        <v>0</v>
      </c>
      <c r="M198" s="97">
        <f>'Orderformular Color Kids'!M204</f>
        <v>0</v>
      </c>
      <c r="N198" s="97">
        <f>'Orderformular Color Kids'!N204</f>
        <v>0</v>
      </c>
      <c r="O198" s="97">
        <f>'Orderformular Color Kids'!O204</f>
        <v>0</v>
      </c>
      <c r="P198" s="97">
        <f>'Orderformular Color Kids'!P204</f>
        <v>0</v>
      </c>
      <c r="Q198" s="97">
        <f>'Orderformular Color Kids'!Q204</f>
        <v>0</v>
      </c>
      <c r="R198" s="97">
        <f>'Orderformular Color Kids'!R204</f>
        <v>0</v>
      </c>
      <c r="S198" s="98">
        <f t="shared" si="2"/>
        <v>0</v>
      </c>
      <c r="T198" s="109">
        <f>'Orderformular Color Kids'!U204</f>
        <v>29.9</v>
      </c>
    </row>
    <row r="199" spans="1:20" ht="15" customHeight="1" x14ac:dyDescent="0.25">
      <c r="A199" s="110">
        <f>'Orderformular Color Kids'!A205</f>
        <v>720506</v>
      </c>
      <c r="B199" s="106" t="str">
        <f>'Orderformular Color Kids'!B205</f>
        <v>Anonymized Item 205</v>
      </c>
      <c r="C199" s="106" t="str">
        <f>'Orderformular Color Kids'!C205</f>
        <v>Anonymized 9118 Tea</v>
      </c>
      <c r="D199" s="108" t="str">
        <f>'Orderformular Color Kids'!D205</f>
        <v>Kids</v>
      </c>
      <c r="E199" s="97">
        <f>'Orderformular Color Kids'!E205</f>
        <v>0</v>
      </c>
      <c r="F199" s="97">
        <f>'Orderformular Color Kids'!F205</f>
        <v>0</v>
      </c>
      <c r="G199" s="97">
        <f>'Orderformular Color Kids'!G205</f>
        <v>0</v>
      </c>
      <c r="H199" s="97">
        <f>'Orderformular Color Kids'!H205</f>
        <v>0</v>
      </c>
      <c r="I199" s="97">
        <f>'Orderformular Color Kids'!I205</f>
        <v>0</v>
      </c>
      <c r="J199" s="97">
        <f>'Orderformular Color Kids'!J205</f>
        <v>0</v>
      </c>
      <c r="K199" s="97">
        <f>'Orderformular Color Kids'!K205</f>
        <v>0</v>
      </c>
      <c r="L199" s="97">
        <f>'Orderformular Color Kids'!L205</f>
        <v>0</v>
      </c>
      <c r="M199" s="97">
        <f>'Orderformular Color Kids'!M205</f>
        <v>0</v>
      </c>
      <c r="N199" s="97">
        <f>'Orderformular Color Kids'!N205</f>
        <v>0</v>
      </c>
      <c r="O199" s="97">
        <f>'Orderformular Color Kids'!O205</f>
        <v>0</v>
      </c>
      <c r="P199" s="97">
        <f>'Orderformular Color Kids'!P205</f>
        <v>0</v>
      </c>
      <c r="Q199" s="97">
        <f>'Orderformular Color Kids'!Q205</f>
        <v>0</v>
      </c>
      <c r="R199" s="97">
        <f>'Orderformular Color Kids'!R205</f>
        <v>0</v>
      </c>
      <c r="S199" s="98">
        <f t="shared" si="2"/>
        <v>0</v>
      </c>
      <c r="T199" s="109">
        <f>'Orderformular Color Kids'!U205</f>
        <v>29.9</v>
      </c>
    </row>
    <row r="200" spans="1:20" ht="15" customHeight="1" x14ac:dyDescent="0.25">
      <c r="A200" s="110">
        <f>'Orderformular Color Kids'!A206</f>
        <v>720509</v>
      </c>
      <c r="B200" s="106" t="str">
        <f>'Orderformular Color Kids'!B206</f>
        <v>Anonymized Item 206</v>
      </c>
      <c r="C200" s="106" t="str">
        <f>'Orderformular Color Kids'!C206</f>
        <v>Anonymized 3741 Sunny Lime</v>
      </c>
      <c r="D200" s="108" t="str">
        <f>'Orderformular Color Kids'!D206</f>
        <v>Kids</v>
      </c>
      <c r="E200" s="97">
        <f>'Orderformular Color Kids'!E206</f>
        <v>0</v>
      </c>
      <c r="F200" s="97">
        <f>'Orderformular Color Kids'!F206</f>
        <v>0</v>
      </c>
      <c r="G200" s="97">
        <f>'Orderformular Color Kids'!G206</f>
        <v>0</v>
      </c>
      <c r="H200" s="97">
        <f>'Orderformular Color Kids'!H206</f>
        <v>0</v>
      </c>
      <c r="I200" s="97">
        <f>'Orderformular Color Kids'!I206</f>
        <v>0</v>
      </c>
      <c r="J200" s="97">
        <f>'Orderformular Color Kids'!J206</f>
        <v>0</v>
      </c>
      <c r="K200" s="97">
        <f>'Orderformular Color Kids'!K206</f>
        <v>0</v>
      </c>
      <c r="L200" s="97">
        <f>'Orderformular Color Kids'!L206</f>
        <v>0</v>
      </c>
      <c r="M200" s="97">
        <f>'Orderformular Color Kids'!M206</f>
        <v>0</v>
      </c>
      <c r="N200" s="97">
        <f>'Orderformular Color Kids'!N206</f>
        <v>0</v>
      </c>
      <c r="O200" s="97">
        <f>'Orderformular Color Kids'!O206</f>
        <v>0</v>
      </c>
      <c r="P200" s="97">
        <f>'Orderformular Color Kids'!P206</f>
        <v>0</v>
      </c>
      <c r="Q200" s="97">
        <f>'Orderformular Color Kids'!Q206</f>
        <v>0</v>
      </c>
      <c r="R200" s="97">
        <f>'Orderformular Color Kids'!R206</f>
        <v>0</v>
      </c>
      <c r="S200" s="98">
        <f t="shared" si="2"/>
        <v>0</v>
      </c>
      <c r="T200" s="109">
        <f>'Orderformular Color Kids'!U206</f>
        <v>32.9</v>
      </c>
    </row>
    <row r="201" spans="1:20" ht="15" customHeight="1" x14ac:dyDescent="0.25">
      <c r="A201" s="110">
        <f>'Orderformular Color Kids'!A207</f>
        <v>720509</v>
      </c>
      <c r="B201" s="106" t="str">
        <f>'Orderformular Color Kids'!B207</f>
        <v>Anonymized Item 207</v>
      </c>
      <c r="C201" s="106" t="str">
        <f>'Orderformular Color Kids'!C207</f>
        <v>Anonymized 5381 Pink Glo</v>
      </c>
      <c r="D201" s="108" t="str">
        <f>'Orderformular Color Kids'!D207</f>
        <v>Kids</v>
      </c>
      <c r="E201" s="97">
        <f>'Orderformular Color Kids'!E207</f>
        <v>0</v>
      </c>
      <c r="F201" s="97">
        <f>'Orderformular Color Kids'!F207</f>
        <v>0</v>
      </c>
      <c r="G201" s="97">
        <f>'Orderformular Color Kids'!G207</f>
        <v>0</v>
      </c>
      <c r="H201" s="97">
        <f>'Orderformular Color Kids'!H207</f>
        <v>0</v>
      </c>
      <c r="I201" s="97">
        <f>'Orderformular Color Kids'!I207</f>
        <v>0</v>
      </c>
      <c r="J201" s="97">
        <f>'Orderformular Color Kids'!J207</f>
        <v>0</v>
      </c>
      <c r="K201" s="97">
        <f>'Orderformular Color Kids'!K207</f>
        <v>0</v>
      </c>
      <c r="L201" s="97">
        <f>'Orderformular Color Kids'!L207</f>
        <v>0</v>
      </c>
      <c r="M201" s="97">
        <f>'Orderformular Color Kids'!M207</f>
        <v>0</v>
      </c>
      <c r="N201" s="97">
        <f>'Orderformular Color Kids'!N207</f>
        <v>0</v>
      </c>
      <c r="O201" s="97">
        <f>'Orderformular Color Kids'!O207</f>
        <v>0</v>
      </c>
      <c r="P201" s="97">
        <f>'Orderformular Color Kids'!P207</f>
        <v>0</v>
      </c>
      <c r="Q201" s="97">
        <f>'Orderformular Color Kids'!Q207</f>
        <v>0</v>
      </c>
      <c r="R201" s="97">
        <f>'Orderformular Color Kids'!R207</f>
        <v>0</v>
      </c>
      <c r="S201" s="98">
        <f t="shared" si="2"/>
        <v>0</v>
      </c>
      <c r="T201" s="109">
        <f>'Orderformular Color Kids'!U207</f>
        <v>32.9</v>
      </c>
    </row>
    <row r="202" spans="1:20" ht="15" customHeight="1" x14ac:dyDescent="0.25">
      <c r="A202" s="110">
        <f>'Orderformular Color Kids'!A208</f>
        <v>720509</v>
      </c>
      <c r="B202" s="106" t="str">
        <f>'Orderformular Color Kids'!B208</f>
        <v>Anonymized Item 208</v>
      </c>
      <c r="C202" s="106" t="str">
        <f>'Orderformular Color Kids'!C208</f>
        <v>Anonymized 7054 Nouvean Navy</v>
      </c>
      <c r="D202" s="108" t="str">
        <f>'Orderformular Color Kids'!D208</f>
        <v>Kids</v>
      </c>
      <c r="E202" s="97">
        <f>'Orderformular Color Kids'!E208</f>
        <v>0</v>
      </c>
      <c r="F202" s="97">
        <f>'Orderformular Color Kids'!F208</f>
        <v>0</v>
      </c>
      <c r="G202" s="97">
        <f>'Orderformular Color Kids'!G208</f>
        <v>0</v>
      </c>
      <c r="H202" s="97">
        <f>'Orderformular Color Kids'!H208</f>
        <v>0</v>
      </c>
      <c r="I202" s="97">
        <f>'Orderformular Color Kids'!I208</f>
        <v>0</v>
      </c>
      <c r="J202" s="97">
        <f>'Orderformular Color Kids'!J208</f>
        <v>0</v>
      </c>
      <c r="K202" s="97">
        <f>'Orderformular Color Kids'!K208</f>
        <v>0</v>
      </c>
      <c r="L202" s="97">
        <f>'Orderformular Color Kids'!L208</f>
        <v>0</v>
      </c>
      <c r="M202" s="97">
        <f>'Orderformular Color Kids'!M208</f>
        <v>0</v>
      </c>
      <c r="N202" s="97">
        <f>'Orderformular Color Kids'!N208</f>
        <v>0</v>
      </c>
      <c r="O202" s="97">
        <f>'Orderformular Color Kids'!O208</f>
        <v>0</v>
      </c>
      <c r="P202" s="97">
        <f>'Orderformular Color Kids'!P208</f>
        <v>0</v>
      </c>
      <c r="Q202" s="97">
        <f>'Orderformular Color Kids'!Q208</f>
        <v>0</v>
      </c>
      <c r="R202" s="97">
        <f>'Orderformular Color Kids'!R208</f>
        <v>0</v>
      </c>
      <c r="S202" s="98">
        <f t="shared" si="2"/>
        <v>0</v>
      </c>
      <c r="T202" s="109">
        <f>'Orderformular Color Kids'!U208</f>
        <v>32.9</v>
      </c>
    </row>
    <row r="203" spans="1:20" ht="15" customHeight="1" x14ac:dyDescent="0.25">
      <c r="A203" s="110">
        <f>'Orderformular Color Kids'!A209</f>
        <v>720509</v>
      </c>
      <c r="B203" s="106" t="str">
        <f>'Orderformular Color Kids'!B209</f>
        <v>Anonymized Item 209</v>
      </c>
      <c r="C203" s="106" t="str">
        <f>'Orderformular Color Kids'!C209</f>
        <v>Anonymized 9651 Dark Forest</v>
      </c>
      <c r="D203" s="108" t="str">
        <f>'Orderformular Color Kids'!D209</f>
        <v>Kids</v>
      </c>
      <c r="E203" s="97">
        <f>'Orderformular Color Kids'!E209</f>
        <v>0</v>
      </c>
      <c r="F203" s="97">
        <f>'Orderformular Color Kids'!F209</f>
        <v>0</v>
      </c>
      <c r="G203" s="97">
        <f>'Orderformular Color Kids'!G209</f>
        <v>0</v>
      </c>
      <c r="H203" s="97">
        <f>'Orderformular Color Kids'!H209</f>
        <v>0</v>
      </c>
      <c r="I203" s="97">
        <f>'Orderformular Color Kids'!I209</f>
        <v>0</v>
      </c>
      <c r="J203" s="97">
        <f>'Orderformular Color Kids'!J209</f>
        <v>0</v>
      </c>
      <c r="K203" s="97">
        <f>'Orderformular Color Kids'!K209</f>
        <v>0</v>
      </c>
      <c r="L203" s="97">
        <f>'Orderformular Color Kids'!L209</f>
        <v>0</v>
      </c>
      <c r="M203" s="97">
        <f>'Orderformular Color Kids'!M209</f>
        <v>0</v>
      </c>
      <c r="N203" s="97">
        <f>'Orderformular Color Kids'!N209</f>
        <v>0</v>
      </c>
      <c r="O203" s="97">
        <f>'Orderformular Color Kids'!O209</f>
        <v>0</v>
      </c>
      <c r="P203" s="97">
        <f>'Orderformular Color Kids'!P209</f>
        <v>0</v>
      </c>
      <c r="Q203" s="97">
        <f>'Orderformular Color Kids'!Q209</f>
        <v>0</v>
      </c>
      <c r="R203" s="97">
        <f>'Orderformular Color Kids'!R209</f>
        <v>0</v>
      </c>
      <c r="S203" s="98">
        <f t="shared" si="2"/>
        <v>0</v>
      </c>
      <c r="T203" s="109">
        <f>'Orderformular Color Kids'!U209</f>
        <v>32.9</v>
      </c>
    </row>
    <row r="204" spans="1:20" ht="15" customHeight="1" x14ac:dyDescent="0.25">
      <c r="A204" s="110">
        <f>'Orderformular Color Kids'!A210</f>
        <v>720515</v>
      </c>
      <c r="B204" s="106" t="str">
        <f>'Orderformular Color Kids'!B210</f>
        <v>Anonymized Item 210</v>
      </c>
      <c r="C204" s="106" t="str">
        <f>'Orderformular Color Kids'!C210</f>
        <v>Anonymized 3257 Sun Orange</v>
      </c>
      <c r="D204" s="108" t="str">
        <f>'Orderformular Color Kids'!D210</f>
        <v>Kids</v>
      </c>
      <c r="E204" s="97">
        <f>'Orderformular Color Kids'!E210</f>
        <v>0</v>
      </c>
      <c r="F204" s="97">
        <f>'Orderformular Color Kids'!F210</f>
        <v>0</v>
      </c>
      <c r="G204" s="97">
        <f>'Orderformular Color Kids'!G210</f>
        <v>0</v>
      </c>
      <c r="H204" s="97">
        <f>'Orderformular Color Kids'!H210</f>
        <v>0</v>
      </c>
      <c r="I204" s="97">
        <f>'Orderformular Color Kids'!I210</f>
        <v>0</v>
      </c>
      <c r="J204" s="97">
        <f>'Orderformular Color Kids'!J210</f>
        <v>0</v>
      </c>
      <c r="K204" s="97">
        <f>'Orderformular Color Kids'!K210</f>
        <v>0</v>
      </c>
      <c r="L204" s="97">
        <f>'Orderformular Color Kids'!L210</f>
        <v>0</v>
      </c>
      <c r="M204" s="97">
        <f>'Orderformular Color Kids'!M210</f>
        <v>0</v>
      </c>
      <c r="N204" s="97">
        <f>'Orderformular Color Kids'!N210</f>
        <v>0</v>
      </c>
      <c r="O204" s="97">
        <f>'Orderformular Color Kids'!O210</f>
        <v>0</v>
      </c>
      <c r="P204" s="97">
        <f>'Orderformular Color Kids'!P210</f>
        <v>0</v>
      </c>
      <c r="Q204" s="97">
        <f>'Orderformular Color Kids'!Q210</f>
        <v>0</v>
      </c>
      <c r="R204" s="97">
        <f>'Orderformular Color Kids'!R210</f>
        <v>0</v>
      </c>
      <c r="S204" s="98">
        <f t="shared" ref="S204:S267" si="3">SUM(E204:R204)</f>
        <v>0</v>
      </c>
      <c r="T204" s="109">
        <f>'Orderformular Color Kids'!U210</f>
        <v>23.9</v>
      </c>
    </row>
    <row r="205" spans="1:20" ht="15" customHeight="1" x14ac:dyDescent="0.25">
      <c r="A205" s="110">
        <f>'Orderformular Color Kids'!A211</f>
        <v>720515</v>
      </c>
      <c r="B205" s="106" t="str">
        <f>'Orderformular Color Kids'!B211</f>
        <v>Anonymized Item 211</v>
      </c>
      <c r="C205" s="106" t="str">
        <f>'Orderformular Color Kids'!C211</f>
        <v>Anonymized 7054 Nouvean Navy</v>
      </c>
      <c r="D205" s="108" t="str">
        <f>'Orderformular Color Kids'!D211</f>
        <v>Kids</v>
      </c>
      <c r="E205" s="97">
        <f>'Orderformular Color Kids'!E211</f>
        <v>0</v>
      </c>
      <c r="F205" s="97">
        <f>'Orderformular Color Kids'!F211</f>
        <v>0</v>
      </c>
      <c r="G205" s="97">
        <f>'Orderformular Color Kids'!G211</f>
        <v>0</v>
      </c>
      <c r="H205" s="97">
        <f>'Orderformular Color Kids'!H211</f>
        <v>0</v>
      </c>
      <c r="I205" s="97">
        <f>'Orderformular Color Kids'!I211</f>
        <v>0</v>
      </c>
      <c r="J205" s="97">
        <f>'Orderformular Color Kids'!J211</f>
        <v>0</v>
      </c>
      <c r="K205" s="97">
        <f>'Orderformular Color Kids'!K211</f>
        <v>0</v>
      </c>
      <c r="L205" s="97">
        <f>'Orderformular Color Kids'!L211</f>
        <v>0</v>
      </c>
      <c r="M205" s="97">
        <f>'Orderformular Color Kids'!M211</f>
        <v>0</v>
      </c>
      <c r="N205" s="97">
        <f>'Orderformular Color Kids'!N211</f>
        <v>0</v>
      </c>
      <c r="O205" s="97">
        <f>'Orderformular Color Kids'!O211</f>
        <v>0</v>
      </c>
      <c r="P205" s="97">
        <f>'Orderformular Color Kids'!P211</f>
        <v>0</v>
      </c>
      <c r="Q205" s="97">
        <f>'Orderformular Color Kids'!Q211</f>
        <v>0</v>
      </c>
      <c r="R205" s="97">
        <f>'Orderformular Color Kids'!R211</f>
        <v>0</v>
      </c>
      <c r="S205" s="98">
        <f t="shared" si="3"/>
        <v>0</v>
      </c>
      <c r="T205" s="109">
        <f>'Orderformular Color Kids'!U211</f>
        <v>23.9</v>
      </c>
    </row>
    <row r="206" spans="1:20" ht="15" customHeight="1" x14ac:dyDescent="0.25">
      <c r="A206" s="110">
        <f>'Orderformular Color Kids'!A212</f>
        <v>720515</v>
      </c>
      <c r="B206" s="106" t="str">
        <f>'Orderformular Color Kids'!B212</f>
        <v>Anonymized Item 212</v>
      </c>
      <c r="C206" s="106" t="str">
        <f>'Orderformular Color Kids'!C212</f>
        <v>Anonymized 7721 Dress Blues</v>
      </c>
      <c r="D206" s="108" t="str">
        <f>'Orderformular Color Kids'!D212</f>
        <v>Kids</v>
      </c>
      <c r="E206" s="97">
        <f>'Orderformular Color Kids'!E212</f>
        <v>0</v>
      </c>
      <c r="F206" s="97">
        <f>'Orderformular Color Kids'!F212</f>
        <v>0</v>
      </c>
      <c r="G206" s="97">
        <f>'Orderformular Color Kids'!G212</f>
        <v>0</v>
      </c>
      <c r="H206" s="97">
        <f>'Orderformular Color Kids'!H212</f>
        <v>0</v>
      </c>
      <c r="I206" s="97">
        <f>'Orderformular Color Kids'!I212</f>
        <v>0</v>
      </c>
      <c r="J206" s="97">
        <f>'Orderformular Color Kids'!J212</f>
        <v>0</v>
      </c>
      <c r="K206" s="97">
        <f>'Orderformular Color Kids'!K212</f>
        <v>0</v>
      </c>
      <c r="L206" s="97">
        <f>'Orderformular Color Kids'!L212</f>
        <v>0</v>
      </c>
      <c r="M206" s="97">
        <f>'Orderformular Color Kids'!M212</f>
        <v>0</v>
      </c>
      <c r="N206" s="97">
        <f>'Orderformular Color Kids'!N212</f>
        <v>0</v>
      </c>
      <c r="O206" s="97">
        <f>'Orderformular Color Kids'!O212</f>
        <v>0</v>
      </c>
      <c r="P206" s="97">
        <f>'Orderformular Color Kids'!P212</f>
        <v>0</v>
      </c>
      <c r="Q206" s="97">
        <f>'Orderformular Color Kids'!Q212</f>
        <v>0</v>
      </c>
      <c r="R206" s="97">
        <f>'Orderformular Color Kids'!R212</f>
        <v>0</v>
      </c>
      <c r="S206" s="98">
        <f t="shared" si="3"/>
        <v>0</v>
      </c>
      <c r="T206" s="109">
        <f>'Orderformular Color Kids'!U212</f>
        <v>23.9</v>
      </c>
    </row>
    <row r="207" spans="1:20" ht="15" customHeight="1" x14ac:dyDescent="0.25">
      <c r="A207" s="110">
        <f>'Orderformular Color Kids'!A213</f>
        <v>720515</v>
      </c>
      <c r="B207" s="106" t="str">
        <f>'Orderformular Color Kids'!B213</f>
        <v>Anonymized Item 213</v>
      </c>
      <c r="C207" s="106" t="str">
        <f>'Orderformular Color Kids'!C213</f>
        <v>Anonymized 9899 Gras Green</v>
      </c>
      <c r="D207" s="108" t="str">
        <f>'Orderformular Color Kids'!D213</f>
        <v>Kids</v>
      </c>
      <c r="E207" s="97">
        <f>'Orderformular Color Kids'!E213</f>
        <v>0</v>
      </c>
      <c r="F207" s="97">
        <f>'Orderformular Color Kids'!F213</f>
        <v>0</v>
      </c>
      <c r="G207" s="97">
        <f>'Orderformular Color Kids'!G213</f>
        <v>0</v>
      </c>
      <c r="H207" s="97">
        <f>'Orderformular Color Kids'!H213</f>
        <v>0</v>
      </c>
      <c r="I207" s="97">
        <f>'Orderformular Color Kids'!I213</f>
        <v>0</v>
      </c>
      <c r="J207" s="97">
        <f>'Orderformular Color Kids'!J213</f>
        <v>0</v>
      </c>
      <c r="K207" s="97">
        <f>'Orderformular Color Kids'!K213</f>
        <v>0</v>
      </c>
      <c r="L207" s="97">
        <f>'Orderformular Color Kids'!L213</f>
        <v>0</v>
      </c>
      <c r="M207" s="97">
        <f>'Orderformular Color Kids'!M213</f>
        <v>0</v>
      </c>
      <c r="N207" s="97">
        <f>'Orderformular Color Kids'!N213</f>
        <v>0</v>
      </c>
      <c r="O207" s="97">
        <f>'Orderformular Color Kids'!O213</f>
        <v>0</v>
      </c>
      <c r="P207" s="97">
        <f>'Orderformular Color Kids'!P213</f>
        <v>0</v>
      </c>
      <c r="Q207" s="97">
        <f>'Orderformular Color Kids'!Q213</f>
        <v>0</v>
      </c>
      <c r="R207" s="97">
        <f>'Orderformular Color Kids'!R213</f>
        <v>0</v>
      </c>
      <c r="S207" s="98">
        <f t="shared" si="3"/>
        <v>0</v>
      </c>
      <c r="T207" s="109">
        <f>'Orderformular Color Kids'!U213</f>
        <v>23.9</v>
      </c>
    </row>
    <row r="208" spans="1:20" ht="15" customHeight="1" x14ac:dyDescent="0.25">
      <c r="A208" s="110">
        <f>'Orderformular Color Kids'!A214</f>
        <v>720517</v>
      </c>
      <c r="B208" s="106" t="str">
        <f>'Orderformular Color Kids'!B214</f>
        <v>Anonymized Item 214</v>
      </c>
      <c r="C208" s="106" t="str">
        <f>'Orderformular Color Kids'!C214</f>
        <v>Anonymized 3257 Sun Orange</v>
      </c>
      <c r="D208" s="108" t="str">
        <f>'Orderformular Color Kids'!D214</f>
        <v>Kids</v>
      </c>
      <c r="E208" s="97">
        <f>'Orderformular Color Kids'!E214</f>
        <v>0</v>
      </c>
      <c r="F208" s="97">
        <f>'Orderformular Color Kids'!F214</f>
        <v>0</v>
      </c>
      <c r="G208" s="97">
        <f>'Orderformular Color Kids'!G214</f>
        <v>0</v>
      </c>
      <c r="H208" s="97">
        <f>'Orderformular Color Kids'!H214</f>
        <v>0</v>
      </c>
      <c r="I208" s="97">
        <f>'Orderformular Color Kids'!I214</f>
        <v>0</v>
      </c>
      <c r="J208" s="97">
        <f>'Orderformular Color Kids'!J214</f>
        <v>0</v>
      </c>
      <c r="K208" s="97">
        <f>'Orderformular Color Kids'!K214</f>
        <v>0</v>
      </c>
      <c r="L208" s="97">
        <f>'Orderformular Color Kids'!L214</f>
        <v>0</v>
      </c>
      <c r="M208" s="97">
        <f>'Orderformular Color Kids'!M214</f>
        <v>0</v>
      </c>
      <c r="N208" s="97">
        <f>'Orderformular Color Kids'!N214</f>
        <v>0</v>
      </c>
      <c r="O208" s="97">
        <f>'Orderformular Color Kids'!O214</f>
        <v>0</v>
      </c>
      <c r="P208" s="97">
        <f>'Orderformular Color Kids'!P214</f>
        <v>0</v>
      </c>
      <c r="Q208" s="97">
        <f>'Orderformular Color Kids'!Q214</f>
        <v>0</v>
      </c>
      <c r="R208" s="97">
        <f>'Orderformular Color Kids'!R214</f>
        <v>0</v>
      </c>
      <c r="S208" s="98">
        <f t="shared" si="3"/>
        <v>0</v>
      </c>
      <c r="T208" s="109">
        <f>'Orderformular Color Kids'!U214</f>
        <v>29.9</v>
      </c>
    </row>
    <row r="209" spans="1:20" ht="15" customHeight="1" x14ac:dyDescent="0.25">
      <c r="A209" s="110">
        <f>'Orderformular Color Kids'!A215</f>
        <v>720517</v>
      </c>
      <c r="B209" s="106" t="str">
        <f>'Orderformular Color Kids'!B215</f>
        <v>Anonymized Item 215</v>
      </c>
      <c r="C209" s="106" t="str">
        <f>'Orderformular Color Kids'!C215</f>
        <v>Anonymized 5381 Pink Glo</v>
      </c>
      <c r="D209" s="108" t="str">
        <f>'Orderformular Color Kids'!D215</f>
        <v>Kids</v>
      </c>
      <c r="E209" s="97">
        <f>'Orderformular Color Kids'!E215</f>
        <v>0</v>
      </c>
      <c r="F209" s="97">
        <f>'Orderformular Color Kids'!F215</f>
        <v>0</v>
      </c>
      <c r="G209" s="97">
        <f>'Orderformular Color Kids'!G215</f>
        <v>0</v>
      </c>
      <c r="H209" s="97">
        <f>'Orderformular Color Kids'!H215</f>
        <v>0</v>
      </c>
      <c r="I209" s="97">
        <f>'Orderformular Color Kids'!I215</f>
        <v>0</v>
      </c>
      <c r="J209" s="97">
        <f>'Orderformular Color Kids'!J215</f>
        <v>0</v>
      </c>
      <c r="K209" s="97">
        <f>'Orderformular Color Kids'!K215</f>
        <v>0</v>
      </c>
      <c r="L209" s="97">
        <f>'Orderformular Color Kids'!L215</f>
        <v>0</v>
      </c>
      <c r="M209" s="97">
        <f>'Orderformular Color Kids'!M215</f>
        <v>0</v>
      </c>
      <c r="N209" s="97">
        <f>'Orderformular Color Kids'!N215</f>
        <v>0</v>
      </c>
      <c r="O209" s="97">
        <f>'Orderformular Color Kids'!O215</f>
        <v>0</v>
      </c>
      <c r="P209" s="97">
        <f>'Orderformular Color Kids'!P215</f>
        <v>0</v>
      </c>
      <c r="Q209" s="97">
        <f>'Orderformular Color Kids'!Q215</f>
        <v>0</v>
      </c>
      <c r="R209" s="97">
        <f>'Orderformular Color Kids'!R215</f>
        <v>0</v>
      </c>
      <c r="S209" s="98">
        <f t="shared" si="3"/>
        <v>0</v>
      </c>
      <c r="T209" s="109">
        <f>'Orderformular Color Kids'!U215</f>
        <v>29.9</v>
      </c>
    </row>
    <row r="210" spans="1:20" ht="15" customHeight="1" x14ac:dyDescent="0.25">
      <c r="A210" s="110">
        <f>'Orderformular Color Kids'!A216</f>
        <v>720517</v>
      </c>
      <c r="B210" s="106" t="str">
        <f>'Orderformular Color Kids'!B216</f>
        <v>Anonymized Item 216</v>
      </c>
      <c r="C210" s="106" t="str">
        <f>'Orderformular Color Kids'!C216</f>
        <v>Anonymized 7054 Nouvean Navy</v>
      </c>
      <c r="D210" s="108" t="str">
        <f>'Orderformular Color Kids'!D216</f>
        <v>Kids</v>
      </c>
      <c r="E210" s="97">
        <f>'Orderformular Color Kids'!E216</f>
        <v>0</v>
      </c>
      <c r="F210" s="97">
        <f>'Orderformular Color Kids'!F216</f>
        <v>0</v>
      </c>
      <c r="G210" s="97">
        <f>'Orderformular Color Kids'!G216</f>
        <v>0</v>
      </c>
      <c r="H210" s="97">
        <f>'Orderformular Color Kids'!H216</f>
        <v>0</v>
      </c>
      <c r="I210" s="97">
        <f>'Orderformular Color Kids'!I216</f>
        <v>0</v>
      </c>
      <c r="J210" s="97">
        <f>'Orderformular Color Kids'!J216</f>
        <v>0</v>
      </c>
      <c r="K210" s="97">
        <f>'Orderformular Color Kids'!K216</f>
        <v>0</v>
      </c>
      <c r="L210" s="97">
        <f>'Orderformular Color Kids'!L216</f>
        <v>0</v>
      </c>
      <c r="M210" s="97">
        <f>'Orderformular Color Kids'!M216</f>
        <v>0</v>
      </c>
      <c r="N210" s="97">
        <f>'Orderformular Color Kids'!N216</f>
        <v>0</v>
      </c>
      <c r="O210" s="97">
        <f>'Orderformular Color Kids'!O216</f>
        <v>0</v>
      </c>
      <c r="P210" s="97">
        <f>'Orderformular Color Kids'!P216</f>
        <v>0</v>
      </c>
      <c r="Q210" s="97">
        <f>'Orderformular Color Kids'!Q216</f>
        <v>0</v>
      </c>
      <c r="R210" s="97">
        <f>'Orderformular Color Kids'!R216</f>
        <v>0</v>
      </c>
      <c r="S210" s="98">
        <f t="shared" si="3"/>
        <v>0</v>
      </c>
      <c r="T210" s="109">
        <f>'Orderformular Color Kids'!U216</f>
        <v>29.9</v>
      </c>
    </row>
    <row r="211" spans="1:20" ht="15" customHeight="1" x14ac:dyDescent="0.25">
      <c r="A211" s="110">
        <f>'Orderformular Color Kids'!A217</f>
        <v>720517</v>
      </c>
      <c r="B211" s="106" t="str">
        <f>'Orderformular Color Kids'!B217</f>
        <v>Anonymized Item 217</v>
      </c>
      <c r="C211" s="106" t="str">
        <f>'Orderformular Color Kids'!C217</f>
        <v>Anonymized 8425 Pool Green</v>
      </c>
      <c r="D211" s="108" t="str">
        <f>'Orderformular Color Kids'!D217</f>
        <v>Kids</v>
      </c>
      <c r="E211" s="97">
        <f>'Orderformular Color Kids'!E217</f>
        <v>0</v>
      </c>
      <c r="F211" s="97">
        <f>'Orderformular Color Kids'!F217</f>
        <v>0</v>
      </c>
      <c r="G211" s="97">
        <f>'Orderformular Color Kids'!G217</f>
        <v>0</v>
      </c>
      <c r="H211" s="97">
        <f>'Orderformular Color Kids'!H217</f>
        <v>0</v>
      </c>
      <c r="I211" s="97">
        <f>'Orderformular Color Kids'!I217</f>
        <v>0</v>
      </c>
      <c r="J211" s="97">
        <f>'Orderformular Color Kids'!J217</f>
        <v>0</v>
      </c>
      <c r="K211" s="97">
        <f>'Orderformular Color Kids'!K217</f>
        <v>0</v>
      </c>
      <c r="L211" s="97">
        <f>'Orderformular Color Kids'!L217</f>
        <v>0</v>
      </c>
      <c r="M211" s="97">
        <f>'Orderformular Color Kids'!M217</f>
        <v>0</v>
      </c>
      <c r="N211" s="97">
        <f>'Orderformular Color Kids'!N217</f>
        <v>0</v>
      </c>
      <c r="O211" s="97">
        <f>'Orderformular Color Kids'!O217</f>
        <v>0</v>
      </c>
      <c r="P211" s="97">
        <f>'Orderformular Color Kids'!P217</f>
        <v>0</v>
      </c>
      <c r="Q211" s="97">
        <f>'Orderformular Color Kids'!Q217</f>
        <v>0</v>
      </c>
      <c r="R211" s="97">
        <f>'Orderformular Color Kids'!R217</f>
        <v>0</v>
      </c>
      <c r="S211" s="98">
        <f t="shared" si="3"/>
        <v>0</v>
      </c>
      <c r="T211" s="109">
        <f>'Orderformular Color Kids'!U217</f>
        <v>29.9</v>
      </c>
    </row>
    <row r="212" spans="1:20" ht="15" customHeight="1" x14ac:dyDescent="0.25">
      <c r="A212" s="110">
        <f>'Orderformular Color Kids'!A218</f>
        <v>720519</v>
      </c>
      <c r="B212" s="106" t="str">
        <f>'Orderformular Color Kids'!B218</f>
        <v>Anonymized Item 218</v>
      </c>
      <c r="C212" s="106" t="str">
        <f>'Orderformular Color Kids'!C218</f>
        <v>Anonymized 7721 Dress Blues</v>
      </c>
      <c r="D212" s="108" t="str">
        <f>'Orderformular Color Kids'!D218</f>
        <v>Kids</v>
      </c>
      <c r="E212" s="97">
        <f>'Orderformular Color Kids'!E218</f>
        <v>0</v>
      </c>
      <c r="F212" s="97">
        <f>'Orderformular Color Kids'!F218</f>
        <v>0</v>
      </c>
      <c r="G212" s="97">
        <f>'Orderformular Color Kids'!G218</f>
        <v>0</v>
      </c>
      <c r="H212" s="97">
        <f>'Orderformular Color Kids'!H218</f>
        <v>0</v>
      </c>
      <c r="I212" s="97">
        <f>'Orderformular Color Kids'!I218</f>
        <v>0</v>
      </c>
      <c r="J212" s="97">
        <f>'Orderformular Color Kids'!J218</f>
        <v>0</v>
      </c>
      <c r="K212" s="97">
        <f>'Orderformular Color Kids'!K218</f>
        <v>0</v>
      </c>
      <c r="L212" s="97">
        <f>'Orderformular Color Kids'!L218</f>
        <v>0</v>
      </c>
      <c r="M212" s="97">
        <f>'Orderformular Color Kids'!M218</f>
        <v>0</v>
      </c>
      <c r="N212" s="97">
        <f>'Orderformular Color Kids'!N218</f>
        <v>0</v>
      </c>
      <c r="O212" s="97">
        <f>'Orderformular Color Kids'!O218</f>
        <v>0</v>
      </c>
      <c r="P212" s="97">
        <f>'Orderformular Color Kids'!P218</f>
        <v>0</v>
      </c>
      <c r="Q212" s="97">
        <f>'Orderformular Color Kids'!Q218</f>
        <v>0</v>
      </c>
      <c r="R212" s="97">
        <f>'Orderformular Color Kids'!R218</f>
        <v>0</v>
      </c>
      <c r="S212" s="98">
        <f t="shared" si="3"/>
        <v>0</v>
      </c>
      <c r="T212" s="109">
        <f>'Orderformular Color Kids'!U218</f>
        <v>32.9</v>
      </c>
    </row>
    <row r="213" spans="1:20" ht="15" customHeight="1" x14ac:dyDescent="0.25">
      <c r="A213" s="110">
        <f>'Orderformular Color Kids'!A219</f>
        <v>720519</v>
      </c>
      <c r="B213" s="106" t="str">
        <f>'Orderformular Color Kids'!B219</f>
        <v>Anonymized Item 219</v>
      </c>
      <c r="C213" s="106" t="str">
        <f>'Orderformular Color Kids'!C219</f>
        <v>Anonymized 9651 Dark Forest</v>
      </c>
      <c r="D213" s="108" t="str">
        <f>'Orderformular Color Kids'!D219</f>
        <v>Kids</v>
      </c>
      <c r="E213" s="97">
        <f>'Orderformular Color Kids'!E219</f>
        <v>0</v>
      </c>
      <c r="F213" s="97">
        <f>'Orderformular Color Kids'!F219</f>
        <v>0</v>
      </c>
      <c r="G213" s="97">
        <f>'Orderformular Color Kids'!G219</f>
        <v>0</v>
      </c>
      <c r="H213" s="97">
        <f>'Orderformular Color Kids'!H219</f>
        <v>0</v>
      </c>
      <c r="I213" s="97">
        <f>'Orderformular Color Kids'!I219</f>
        <v>0</v>
      </c>
      <c r="J213" s="97">
        <f>'Orderformular Color Kids'!J219</f>
        <v>0</v>
      </c>
      <c r="K213" s="97">
        <f>'Orderformular Color Kids'!K219</f>
        <v>0</v>
      </c>
      <c r="L213" s="97">
        <f>'Orderformular Color Kids'!L219</f>
        <v>0</v>
      </c>
      <c r="M213" s="97">
        <f>'Orderformular Color Kids'!M219</f>
        <v>0</v>
      </c>
      <c r="N213" s="97">
        <f>'Orderformular Color Kids'!N219</f>
        <v>0</v>
      </c>
      <c r="O213" s="97">
        <f>'Orderformular Color Kids'!O219</f>
        <v>0</v>
      </c>
      <c r="P213" s="97">
        <f>'Orderformular Color Kids'!P219</f>
        <v>0</v>
      </c>
      <c r="Q213" s="97">
        <f>'Orderformular Color Kids'!Q219</f>
        <v>0</v>
      </c>
      <c r="R213" s="97">
        <f>'Orderformular Color Kids'!R219</f>
        <v>0</v>
      </c>
      <c r="S213" s="98">
        <f t="shared" si="3"/>
        <v>0</v>
      </c>
      <c r="T213" s="109">
        <f>'Orderformular Color Kids'!U219</f>
        <v>32.9</v>
      </c>
    </row>
    <row r="214" spans="1:20" ht="15" customHeight="1" x14ac:dyDescent="0.25">
      <c r="A214" s="110">
        <f>'Orderformular Color Kids'!A220</f>
        <v>720521</v>
      </c>
      <c r="B214" s="106" t="str">
        <f>'Orderformular Color Kids'!B220</f>
        <v>Anonymized Item 220</v>
      </c>
      <c r="C214" s="106" t="str">
        <f>'Orderformular Color Kids'!C220</f>
        <v>Anonymized 7721 Dress Blues</v>
      </c>
      <c r="D214" s="108" t="str">
        <f>'Orderformular Color Kids'!D220</f>
        <v>Kids</v>
      </c>
      <c r="E214" s="97">
        <f>'Orderformular Color Kids'!E220</f>
        <v>0</v>
      </c>
      <c r="F214" s="97">
        <f>'Orderformular Color Kids'!F220</f>
        <v>0</v>
      </c>
      <c r="G214" s="97">
        <f>'Orderformular Color Kids'!G220</f>
        <v>0</v>
      </c>
      <c r="H214" s="97">
        <f>'Orderformular Color Kids'!H220</f>
        <v>0</v>
      </c>
      <c r="I214" s="97">
        <f>'Orderformular Color Kids'!I220</f>
        <v>0</v>
      </c>
      <c r="J214" s="97">
        <f>'Orderformular Color Kids'!J220</f>
        <v>0</v>
      </c>
      <c r="K214" s="97">
        <f>'Orderformular Color Kids'!K220</f>
        <v>0</v>
      </c>
      <c r="L214" s="97">
        <f>'Orderformular Color Kids'!L220</f>
        <v>0</v>
      </c>
      <c r="M214" s="97">
        <f>'Orderformular Color Kids'!M220</f>
        <v>0</v>
      </c>
      <c r="N214" s="97">
        <f>'Orderformular Color Kids'!N220</f>
        <v>0</v>
      </c>
      <c r="O214" s="97">
        <f>'Orderformular Color Kids'!O220</f>
        <v>0</v>
      </c>
      <c r="P214" s="97">
        <f>'Orderformular Color Kids'!P220</f>
        <v>0</v>
      </c>
      <c r="Q214" s="97">
        <f>'Orderformular Color Kids'!Q220</f>
        <v>0</v>
      </c>
      <c r="R214" s="97">
        <f>'Orderformular Color Kids'!R220</f>
        <v>0</v>
      </c>
      <c r="S214" s="98">
        <f t="shared" si="3"/>
        <v>0</v>
      </c>
      <c r="T214" s="109">
        <f>'Orderformular Color Kids'!U220</f>
        <v>29.9</v>
      </c>
    </row>
    <row r="215" spans="1:20" ht="15" customHeight="1" x14ac:dyDescent="0.25">
      <c r="A215" s="110">
        <f>'Orderformular Color Kids'!A221</f>
        <v>720521</v>
      </c>
      <c r="B215" s="106" t="str">
        <f>'Orderformular Color Kids'!B221</f>
        <v>Anonymized Item 221</v>
      </c>
      <c r="C215" s="106" t="str">
        <f>'Orderformular Color Kids'!C221</f>
        <v>Anonymized 9651 Dark Forest</v>
      </c>
      <c r="D215" s="108" t="str">
        <f>'Orderformular Color Kids'!D221</f>
        <v>Kids</v>
      </c>
      <c r="E215" s="97">
        <f>'Orderformular Color Kids'!E221</f>
        <v>0</v>
      </c>
      <c r="F215" s="97">
        <f>'Orderformular Color Kids'!F221</f>
        <v>0</v>
      </c>
      <c r="G215" s="97">
        <f>'Orderformular Color Kids'!G221</f>
        <v>0</v>
      </c>
      <c r="H215" s="97">
        <f>'Orderformular Color Kids'!H221</f>
        <v>0</v>
      </c>
      <c r="I215" s="97">
        <f>'Orderformular Color Kids'!I221</f>
        <v>0</v>
      </c>
      <c r="J215" s="97">
        <f>'Orderformular Color Kids'!J221</f>
        <v>0</v>
      </c>
      <c r="K215" s="97">
        <f>'Orderformular Color Kids'!K221</f>
        <v>0</v>
      </c>
      <c r="L215" s="97">
        <f>'Orderformular Color Kids'!L221</f>
        <v>0</v>
      </c>
      <c r="M215" s="97">
        <f>'Orderformular Color Kids'!M221</f>
        <v>0</v>
      </c>
      <c r="N215" s="97">
        <f>'Orderformular Color Kids'!N221</f>
        <v>0</v>
      </c>
      <c r="O215" s="97">
        <f>'Orderformular Color Kids'!O221</f>
        <v>0</v>
      </c>
      <c r="P215" s="97">
        <f>'Orderformular Color Kids'!P221</f>
        <v>0</v>
      </c>
      <c r="Q215" s="97">
        <f>'Orderformular Color Kids'!Q221</f>
        <v>0</v>
      </c>
      <c r="R215" s="97">
        <f>'Orderformular Color Kids'!R221</f>
        <v>0</v>
      </c>
      <c r="S215" s="98">
        <f t="shared" si="3"/>
        <v>0</v>
      </c>
      <c r="T215" s="109">
        <f>'Orderformular Color Kids'!U221</f>
        <v>29.9</v>
      </c>
    </row>
    <row r="216" spans="1:20" ht="15" customHeight="1" x14ac:dyDescent="0.25">
      <c r="A216" s="110">
        <f>'Orderformular Color Kids'!A222</f>
        <v>720523</v>
      </c>
      <c r="B216" s="106" t="str">
        <f>'Orderformular Color Kids'!B222</f>
        <v>Anonymized Item 222</v>
      </c>
      <c r="C216" s="106" t="str">
        <f>'Orderformular Color Kids'!C222</f>
        <v>Anonymized 3257 Sun Orange</v>
      </c>
      <c r="D216" s="108" t="str">
        <f>'Orderformular Color Kids'!D222</f>
        <v>Kids</v>
      </c>
      <c r="E216" s="97">
        <f>'Orderformular Color Kids'!E222</f>
        <v>0</v>
      </c>
      <c r="F216" s="97">
        <f>'Orderformular Color Kids'!F222</f>
        <v>0</v>
      </c>
      <c r="G216" s="97">
        <f>'Orderformular Color Kids'!G222</f>
        <v>0</v>
      </c>
      <c r="H216" s="97">
        <f>'Orderformular Color Kids'!H222</f>
        <v>0</v>
      </c>
      <c r="I216" s="97">
        <f>'Orderformular Color Kids'!I222</f>
        <v>0</v>
      </c>
      <c r="J216" s="97">
        <f>'Orderformular Color Kids'!J222</f>
        <v>0</v>
      </c>
      <c r="K216" s="97">
        <f>'Orderformular Color Kids'!K222</f>
        <v>0</v>
      </c>
      <c r="L216" s="97">
        <f>'Orderformular Color Kids'!L222</f>
        <v>0</v>
      </c>
      <c r="M216" s="97">
        <f>'Orderformular Color Kids'!M222</f>
        <v>0</v>
      </c>
      <c r="N216" s="97">
        <f>'Orderformular Color Kids'!N222</f>
        <v>0</v>
      </c>
      <c r="O216" s="97">
        <f>'Orderformular Color Kids'!O222</f>
        <v>0</v>
      </c>
      <c r="P216" s="97">
        <f>'Orderformular Color Kids'!P222</f>
        <v>0</v>
      </c>
      <c r="Q216" s="97">
        <f>'Orderformular Color Kids'!Q222</f>
        <v>0</v>
      </c>
      <c r="R216" s="97">
        <f>'Orderformular Color Kids'!R222</f>
        <v>0</v>
      </c>
      <c r="S216" s="98">
        <f t="shared" si="3"/>
        <v>0</v>
      </c>
      <c r="T216" s="109">
        <f>'Orderformular Color Kids'!U222</f>
        <v>29.9</v>
      </c>
    </row>
    <row r="217" spans="1:20" ht="15" customHeight="1" x14ac:dyDescent="0.25">
      <c r="A217" s="110">
        <f>'Orderformular Color Kids'!A223</f>
        <v>720523</v>
      </c>
      <c r="B217" s="106" t="str">
        <f>'Orderformular Color Kids'!B223</f>
        <v>Anonymized Item 223</v>
      </c>
      <c r="C217" s="106" t="str">
        <f>'Orderformular Color Kids'!C223</f>
        <v>Anonymized 7054 Nouvean Navy</v>
      </c>
      <c r="D217" s="108" t="str">
        <f>'Orderformular Color Kids'!D223</f>
        <v>Kids</v>
      </c>
      <c r="E217" s="97">
        <f>'Orderformular Color Kids'!E223</f>
        <v>0</v>
      </c>
      <c r="F217" s="97">
        <f>'Orderformular Color Kids'!F223</f>
        <v>0</v>
      </c>
      <c r="G217" s="97">
        <f>'Orderformular Color Kids'!G223</f>
        <v>0</v>
      </c>
      <c r="H217" s="97">
        <f>'Orderformular Color Kids'!H223</f>
        <v>0</v>
      </c>
      <c r="I217" s="97">
        <f>'Orderformular Color Kids'!I223</f>
        <v>0</v>
      </c>
      <c r="J217" s="97">
        <f>'Orderformular Color Kids'!J223</f>
        <v>0</v>
      </c>
      <c r="K217" s="97">
        <f>'Orderformular Color Kids'!K223</f>
        <v>0</v>
      </c>
      <c r="L217" s="97">
        <f>'Orderformular Color Kids'!L223</f>
        <v>0</v>
      </c>
      <c r="M217" s="97">
        <f>'Orderformular Color Kids'!M223</f>
        <v>0</v>
      </c>
      <c r="N217" s="97">
        <f>'Orderformular Color Kids'!N223</f>
        <v>0</v>
      </c>
      <c r="O217" s="97">
        <f>'Orderformular Color Kids'!O223</f>
        <v>0</v>
      </c>
      <c r="P217" s="97">
        <f>'Orderformular Color Kids'!P223</f>
        <v>0</v>
      </c>
      <c r="Q217" s="97">
        <f>'Orderformular Color Kids'!Q223</f>
        <v>0</v>
      </c>
      <c r="R217" s="97">
        <f>'Orderformular Color Kids'!R223</f>
        <v>0</v>
      </c>
      <c r="S217" s="98">
        <f t="shared" si="3"/>
        <v>0</v>
      </c>
      <c r="T217" s="109">
        <f>'Orderformular Color Kids'!U223</f>
        <v>29.9</v>
      </c>
    </row>
    <row r="218" spans="1:20" ht="15" customHeight="1" x14ac:dyDescent="0.25">
      <c r="A218" s="110">
        <f>'Orderformular Color Kids'!A224</f>
        <v>720523</v>
      </c>
      <c r="B218" s="106" t="str">
        <f>'Orderformular Color Kids'!B224</f>
        <v>Anonymized Item 224</v>
      </c>
      <c r="C218" s="106" t="str">
        <f>'Orderformular Color Kids'!C224</f>
        <v>Anonymized 7450 Coronet Blue</v>
      </c>
      <c r="D218" s="108" t="str">
        <f>'Orderformular Color Kids'!D224</f>
        <v>Kids</v>
      </c>
      <c r="E218" s="97">
        <f>'Orderformular Color Kids'!E224</f>
        <v>0</v>
      </c>
      <c r="F218" s="97">
        <f>'Orderformular Color Kids'!F224</f>
        <v>0</v>
      </c>
      <c r="G218" s="97">
        <f>'Orderformular Color Kids'!G224</f>
        <v>0</v>
      </c>
      <c r="H218" s="97">
        <f>'Orderformular Color Kids'!H224</f>
        <v>0</v>
      </c>
      <c r="I218" s="97">
        <f>'Orderformular Color Kids'!I224</f>
        <v>0</v>
      </c>
      <c r="J218" s="97">
        <f>'Orderformular Color Kids'!J224</f>
        <v>0</v>
      </c>
      <c r="K218" s="97">
        <f>'Orderformular Color Kids'!K224</f>
        <v>0</v>
      </c>
      <c r="L218" s="97">
        <f>'Orderformular Color Kids'!L224</f>
        <v>0</v>
      </c>
      <c r="M218" s="97">
        <f>'Orderformular Color Kids'!M224</f>
        <v>0</v>
      </c>
      <c r="N218" s="97">
        <f>'Orderformular Color Kids'!N224</f>
        <v>0</v>
      </c>
      <c r="O218" s="97">
        <f>'Orderformular Color Kids'!O224</f>
        <v>0</v>
      </c>
      <c r="P218" s="97">
        <f>'Orderformular Color Kids'!P224</f>
        <v>0</v>
      </c>
      <c r="Q218" s="97">
        <f>'Orderformular Color Kids'!Q224</f>
        <v>0</v>
      </c>
      <c r="R218" s="97">
        <f>'Orderformular Color Kids'!R224</f>
        <v>0</v>
      </c>
      <c r="S218" s="98">
        <f t="shared" si="3"/>
        <v>0</v>
      </c>
      <c r="T218" s="109">
        <f>'Orderformular Color Kids'!U224</f>
        <v>29.9</v>
      </c>
    </row>
    <row r="219" spans="1:20" ht="15" customHeight="1" x14ac:dyDescent="0.25">
      <c r="A219" s="110">
        <f>'Orderformular Color Kids'!A225</f>
        <v>720523</v>
      </c>
      <c r="B219" s="106" t="str">
        <f>'Orderformular Color Kids'!B225</f>
        <v>Anonymized Item 225</v>
      </c>
      <c r="C219" s="106" t="str">
        <f>'Orderformular Color Kids'!C225</f>
        <v>Anonymized 7721 Dress Blues</v>
      </c>
      <c r="D219" s="108" t="str">
        <f>'Orderformular Color Kids'!D225</f>
        <v>Kids</v>
      </c>
      <c r="E219" s="97">
        <f>'Orderformular Color Kids'!E225</f>
        <v>0</v>
      </c>
      <c r="F219" s="97">
        <f>'Orderformular Color Kids'!F225</f>
        <v>0</v>
      </c>
      <c r="G219" s="97">
        <f>'Orderformular Color Kids'!G225</f>
        <v>0</v>
      </c>
      <c r="H219" s="97">
        <f>'Orderformular Color Kids'!H225</f>
        <v>0</v>
      </c>
      <c r="I219" s="97">
        <f>'Orderformular Color Kids'!I225</f>
        <v>0</v>
      </c>
      <c r="J219" s="97">
        <f>'Orderformular Color Kids'!J225</f>
        <v>0</v>
      </c>
      <c r="K219" s="97">
        <f>'Orderformular Color Kids'!K225</f>
        <v>0</v>
      </c>
      <c r="L219" s="97">
        <f>'Orderformular Color Kids'!L225</f>
        <v>0</v>
      </c>
      <c r="M219" s="97">
        <f>'Orderformular Color Kids'!M225</f>
        <v>0</v>
      </c>
      <c r="N219" s="97">
        <f>'Orderformular Color Kids'!N225</f>
        <v>0</v>
      </c>
      <c r="O219" s="97">
        <f>'Orderformular Color Kids'!O225</f>
        <v>0</v>
      </c>
      <c r="P219" s="97">
        <f>'Orderformular Color Kids'!P225</f>
        <v>0</v>
      </c>
      <c r="Q219" s="97">
        <f>'Orderformular Color Kids'!Q225</f>
        <v>0</v>
      </c>
      <c r="R219" s="97">
        <f>'Orderformular Color Kids'!R225</f>
        <v>0</v>
      </c>
      <c r="S219" s="98">
        <f t="shared" si="3"/>
        <v>0</v>
      </c>
      <c r="T219" s="109">
        <f>'Orderformular Color Kids'!U225</f>
        <v>29.9</v>
      </c>
    </row>
    <row r="220" spans="1:20" ht="15" customHeight="1" x14ac:dyDescent="0.25">
      <c r="A220" s="110">
        <f>'Orderformular Color Kids'!A226</f>
        <v>720523</v>
      </c>
      <c r="B220" s="106" t="str">
        <f>'Orderformular Color Kids'!B226</f>
        <v>Anonymized Item 226</v>
      </c>
      <c r="C220" s="106" t="str">
        <f>'Orderformular Color Kids'!C226</f>
        <v>Anonymized 8025 Quetzal Green</v>
      </c>
      <c r="D220" s="108" t="str">
        <f>'Orderformular Color Kids'!D226</f>
        <v>Kids</v>
      </c>
      <c r="E220" s="97">
        <f>'Orderformular Color Kids'!E226</f>
        <v>0</v>
      </c>
      <c r="F220" s="97">
        <f>'Orderformular Color Kids'!F226</f>
        <v>0</v>
      </c>
      <c r="G220" s="97">
        <f>'Orderformular Color Kids'!G226</f>
        <v>0</v>
      </c>
      <c r="H220" s="97">
        <f>'Orderformular Color Kids'!H226</f>
        <v>0</v>
      </c>
      <c r="I220" s="97">
        <f>'Orderformular Color Kids'!I226</f>
        <v>0</v>
      </c>
      <c r="J220" s="97">
        <f>'Orderformular Color Kids'!J226</f>
        <v>0</v>
      </c>
      <c r="K220" s="97">
        <f>'Orderformular Color Kids'!K226</f>
        <v>0</v>
      </c>
      <c r="L220" s="97">
        <f>'Orderformular Color Kids'!L226</f>
        <v>0</v>
      </c>
      <c r="M220" s="97">
        <f>'Orderformular Color Kids'!M226</f>
        <v>0</v>
      </c>
      <c r="N220" s="97">
        <f>'Orderformular Color Kids'!N226</f>
        <v>0</v>
      </c>
      <c r="O220" s="97">
        <f>'Orderformular Color Kids'!O226</f>
        <v>0</v>
      </c>
      <c r="P220" s="97">
        <f>'Orderformular Color Kids'!P226</f>
        <v>0</v>
      </c>
      <c r="Q220" s="97">
        <f>'Orderformular Color Kids'!Q226</f>
        <v>0</v>
      </c>
      <c r="R220" s="97">
        <f>'Orderformular Color Kids'!R226</f>
        <v>0</v>
      </c>
      <c r="S220" s="98">
        <f t="shared" si="3"/>
        <v>0</v>
      </c>
      <c r="T220" s="109">
        <f>'Orderformular Color Kids'!U226</f>
        <v>29.9</v>
      </c>
    </row>
    <row r="221" spans="1:20" ht="15" customHeight="1" x14ac:dyDescent="0.25">
      <c r="A221" s="110">
        <f>'Orderformular Color Kids'!A227</f>
        <v>720527</v>
      </c>
      <c r="B221" s="106" t="str">
        <f>'Orderformular Color Kids'!B227</f>
        <v>Anonymized Item 227</v>
      </c>
      <c r="C221" s="106" t="str">
        <f>'Orderformular Color Kids'!C227</f>
        <v>Anonymized 3257 Sun Orange</v>
      </c>
      <c r="D221" s="108" t="str">
        <f>'Orderformular Color Kids'!D227</f>
        <v>Kids</v>
      </c>
      <c r="E221" s="97">
        <f>'Orderformular Color Kids'!E227</f>
        <v>0</v>
      </c>
      <c r="F221" s="97">
        <f>'Orderformular Color Kids'!F227</f>
        <v>0</v>
      </c>
      <c r="G221" s="97">
        <f>'Orderformular Color Kids'!G227</f>
        <v>0</v>
      </c>
      <c r="H221" s="97">
        <f>'Orderformular Color Kids'!H227</f>
        <v>0</v>
      </c>
      <c r="I221" s="97">
        <f>'Orderformular Color Kids'!I227</f>
        <v>0</v>
      </c>
      <c r="J221" s="97">
        <f>'Orderformular Color Kids'!J227</f>
        <v>0</v>
      </c>
      <c r="K221" s="97">
        <f>'Orderformular Color Kids'!K227</f>
        <v>0</v>
      </c>
      <c r="L221" s="97">
        <f>'Orderformular Color Kids'!L227</f>
        <v>0</v>
      </c>
      <c r="M221" s="97">
        <f>'Orderformular Color Kids'!M227</f>
        <v>0</v>
      </c>
      <c r="N221" s="97">
        <f>'Orderformular Color Kids'!N227</f>
        <v>0</v>
      </c>
      <c r="O221" s="97">
        <f>'Orderformular Color Kids'!O227</f>
        <v>0</v>
      </c>
      <c r="P221" s="97">
        <f>'Orderformular Color Kids'!P227</f>
        <v>0</v>
      </c>
      <c r="Q221" s="97">
        <f>'Orderformular Color Kids'!Q227</f>
        <v>0</v>
      </c>
      <c r="R221" s="97">
        <f>'Orderformular Color Kids'!R227</f>
        <v>0</v>
      </c>
      <c r="S221" s="98">
        <f t="shared" si="3"/>
        <v>0</v>
      </c>
      <c r="T221" s="109">
        <f>'Orderformular Color Kids'!U227</f>
        <v>36.9</v>
      </c>
    </row>
    <row r="222" spans="1:20" ht="15" customHeight="1" x14ac:dyDescent="0.25">
      <c r="A222" s="110">
        <f>'Orderformular Color Kids'!A228</f>
        <v>720527</v>
      </c>
      <c r="B222" s="106" t="str">
        <f>'Orderformular Color Kids'!B228</f>
        <v>Anonymized Item 228</v>
      </c>
      <c r="C222" s="106" t="str">
        <f>'Orderformular Color Kids'!C228</f>
        <v>Anonymized 3741 Sunny Lime</v>
      </c>
      <c r="D222" s="108" t="str">
        <f>'Orderformular Color Kids'!D228</f>
        <v>Kids</v>
      </c>
      <c r="E222" s="97">
        <f>'Orderformular Color Kids'!E228</f>
        <v>0</v>
      </c>
      <c r="F222" s="97">
        <f>'Orderformular Color Kids'!F228</f>
        <v>0</v>
      </c>
      <c r="G222" s="97">
        <f>'Orderformular Color Kids'!G228</f>
        <v>0</v>
      </c>
      <c r="H222" s="97">
        <f>'Orderformular Color Kids'!H228</f>
        <v>0</v>
      </c>
      <c r="I222" s="97">
        <f>'Orderformular Color Kids'!I228</f>
        <v>0</v>
      </c>
      <c r="J222" s="97">
        <f>'Orderformular Color Kids'!J228</f>
        <v>0</v>
      </c>
      <c r="K222" s="97">
        <f>'Orderformular Color Kids'!K228</f>
        <v>0</v>
      </c>
      <c r="L222" s="97">
        <f>'Orderformular Color Kids'!L228</f>
        <v>0</v>
      </c>
      <c r="M222" s="97">
        <f>'Orderformular Color Kids'!M228</f>
        <v>0</v>
      </c>
      <c r="N222" s="97">
        <f>'Orderformular Color Kids'!N228</f>
        <v>0</v>
      </c>
      <c r="O222" s="97">
        <f>'Orderformular Color Kids'!O228</f>
        <v>0</v>
      </c>
      <c r="P222" s="97">
        <f>'Orderformular Color Kids'!P228</f>
        <v>0</v>
      </c>
      <c r="Q222" s="97">
        <f>'Orderformular Color Kids'!Q228</f>
        <v>0</v>
      </c>
      <c r="R222" s="97">
        <f>'Orderformular Color Kids'!R228</f>
        <v>0</v>
      </c>
      <c r="S222" s="98">
        <f t="shared" si="3"/>
        <v>0</v>
      </c>
      <c r="T222" s="109">
        <f>'Orderformular Color Kids'!U228</f>
        <v>36.9</v>
      </c>
    </row>
    <row r="223" spans="1:20" ht="15" customHeight="1" x14ac:dyDescent="0.25">
      <c r="A223" s="110">
        <f>'Orderformular Color Kids'!A229</f>
        <v>720527</v>
      </c>
      <c r="B223" s="106" t="str">
        <f>'Orderformular Color Kids'!B229</f>
        <v>Anonymized Item 229</v>
      </c>
      <c r="C223" s="106" t="str">
        <f>'Orderformular Color Kids'!C229</f>
        <v>Anonymized 8425 Pool Green</v>
      </c>
      <c r="D223" s="108" t="str">
        <f>'Orderformular Color Kids'!D229</f>
        <v>Kids</v>
      </c>
      <c r="E223" s="97">
        <f>'Orderformular Color Kids'!E229</f>
        <v>0</v>
      </c>
      <c r="F223" s="97">
        <f>'Orderformular Color Kids'!F229</f>
        <v>0</v>
      </c>
      <c r="G223" s="97">
        <f>'Orderformular Color Kids'!G229</f>
        <v>0</v>
      </c>
      <c r="H223" s="97">
        <f>'Orderformular Color Kids'!H229</f>
        <v>0</v>
      </c>
      <c r="I223" s="97">
        <f>'Orderformular Color Kids'!I229</f>
        <v>0</v>
      </c>
      <c r="J223" s="97">
        <f>'Orderformular Color Kids'!J229</f>
        <v>0</v>
      </c>
      <c r="K223" s="97">
        <f>'Orderformular Color Kids'!K229</f>
        <v>0</v>
      </c>
      <c r="L223" s="97">
        <f>'Orderformular Color Kids'!L229</f>
        <v>0</v>
      </c>
      <c r="M223" s="97">
        <f>'Orderformular Color Kids'!M229</f>
        <v>0</v>
      </c>
      <c r="N223" s="97">
        <f>'Orderformular Color Kids'!N229</f>
        <v>0</v>
      </c>
      <c r="O223" s="97">
        <f>'Orderformular Color Kids'!O229</f>
        <v>0</v>
      </c>
      <c r="P223" s="97">
        <f>'Orderformular Color Kids'!P229</f>
        <v>0</v>
      </c>
      <c r="Q223" s="97">
        <f>'Orderformular Color Kids'!Q229</f>
        <v>0</v>
      </c>
      <c r="R223" s="97">
        <f>'Orderformular Color Kids'!R229</f>
        <v>0</v>
      </c>
      <c r="S223" s="98">
        <f t="shared" si="3"/>
        <v>0</v>
      </c>
      <c r="T223" s="109">
        <f>'Orderformular Color Kids'!U229</f>
        <v>36.9</v>
      </c>
    </row>
    <row r="224" spans="1:20" ht="15" customHeight="1" x14ac:dyDescent="0.25">
      <c r="A224" s="110">
        <f>'Orderformular Color Kids'!A230</f>
        <v>720529</v>
      </c>
      <c r="B224" s="106" t="str">
        <f>'Orderformular Color Kids'!B230</f>
        <v>Anonymized Item 230</v>
      </c>
      <c r="C224" s="106" t="str">
        <f>'Orderformular Color Kids'!C230</f>
        <v>Anonymized 3741 Sunny Lime</v>
      </c>
      <c r="D224" s="108" t="str">
        <f>'Orderformular Color Kids'!D230</f>
        <v>Kids</v>
      </c>
      <c r="E224" s="97">
        <f>'Orderformular Color Kids'!E230</f>
        <v>0</v>
      </c>
      <c r="F224" s="97">
        <f>'Orderformular Color Kids'!F230</f>
        <v>0</v>
      </c>
      <c r="G224" s="97">
        <f>'Orderformular Color Kids'!G230</f>
        <v>0</v>
      </c>
      <c r="H224" s="97">
        <f>'Orderformular Color Kids'!H230</f>
        <v>0</v>
      </c>
      <c r="I224" s="97">
        <f>'Orderformular Color Kids'!I230</f>
        <v>0</v>
      </c>
      <c r="J224" s="97">
        <f>'Orderformular Color Kids'!J230</f>
        <v>0</v>
      </c>
      <c r="K224" s="97">
        <f>'Orderformular Color Kids'!K230</f>
        <v>0</v>
      </c>
      <c r="L224" s="97">
        <f>'Orderformular Color Kids'!L230</f>
        <v>0</v>
      </c>
      <c r="M224" s="97">
        <f>'Orderformular Color Kids'!M230</f>
        <v>0</v>
      </c>
      <c r="N224" s="97">
        <f>'Orderformular Color Kids'!N230</f>
        <v>0</v>
      </c>
      <c r="O224" s="97">
        <f>'Orderformular Color Kids'!O230</f>
        <v>0</v>
      </c>
      <c r="P224" s="97">
        <f>'Orderformular Color Kids'!P230</f>
        <v>0</v>
      </c>
      <c r="Q224" s="97">
        <f>'Orderformular Color Kids'!Q230</f>
        <v>0</v>
      </c>
      <c r="R224" s="97">
        <f>'Orderformular Color Kids'!R230</f>
        <v>0</v>
      </c>
      <c r="S224" s="98">
        <f t="shared" si="3"/>
        <v>0</v>
      </c>
      <c r="T224" s="109">
        <f>'Orderformular Color Kids'!U230</f>
        <v>39.9</v>
      </c>
    </row>
    <row r="225" spans="1:20" ht="15" customHeight="1" x14ac:dyDescent="0.25">
      <c r="A225" s="110">
        <f>'Orderformular Color Kids'!A231</f>
        <v>720529</v>
      </c>
      <c r="B225" s="106" t="str">
        <f>'Orderformular Color Kids'!B231</f>
        <v>Anonymized Item 231</v>
      </c>
      <c r="C225" s="106" t="str">
        <f>'Orderformular Color Kids'!C231</f>
        <v>Anonymized 8425 Pool Green</v>
      </c>
      <c r="D225" s="108" t="str">
        <f>'Orderformular Color Kids'!D231</f>
        <v>Kids</v>
      </c>
      <c r="E225" s="97">
        <f>'Orderformular Color Kids'!E231</f>
        <v>0</v>
      </c>
      <c r="F225" s="97">
        <f>'Orderformular Color Kids'!F231</f>
        <v>0</v>
      </c>
      <c r="G225" s="97">
        <f>'Orderformular Color Kids'!G231</f>
        <v>0</v>
      </c>
      <c r="H225" s="97">
        <f>'Orderformular Color Kids'!H231</f>
        <v>0</v>
      </c>
      <c r="I225" s="97">
        <f>'Orderformular Color Kids'!I231</f>
        <v>0</v>
      </c>
      <c r="J225" s="97">
        <f>'Orderformular Color Kids'!J231</f>
        <v>0</v>
      </c>
      <c r="K225" s="97">
        <f>'Orderformular Color Kids'!K231</f>
        <v>0</v>
      </c>
      <c r="L225" s="97">
        <f>'Orderformular Color Kids'!L231</f>
        <v>0</v>
      </c>
      <c r="M225" s="97">
        <f>'Orderformular Color Kids'!M231</f>
        <v>0</v>
      </c>
      <c r="N225" s="97">
        <f>'Orderformular Color Kids'!N231</f>
        <v>0</v>
      </c>
      <c r="O225" s="97">
        <f>'Orderformular Color Kids'!O231</f>
        <v>0</v>
      </c>
      <c r="P225" s="97">
        <f>'Orderformular Color Kids'!P231</f>
        <v>0</v>
      </c>
      <c r="Q225" s="97">
        <f>'Orderformular Color Kids'!Q231</f>
        <v>0</v>
      </c>
      <c r="R225" s="97">
        <f>'Orderformular Color Kids'!R231</f>
        <v>0</v>
      </c>
      <c r="S225" s="98">
        <f t="shared" si="3"/>
        <v>0</v>
      </c>
      <c r="T225" s="109">
        <f>'Orderformular Color Kids'!U231</f>
        <v>39.9</v>
      </c>
    </row>
    <row r="226" spans="1:20" ht="15" customHeight="1" x14ac:dyDescent="0.25">
      <c r="A226" s="110">
        <f>'Orderformular Color Kids'!A232</f>
        <v>720529</v>
      </c>
      <c r="B226" s="106" t="str">
        <f>'Orderformular Color Kids'!B232</f>
        <v>Anonymized Item 232</v>
      </c>
      <c r="C226" s="106" t="str">
        <f>'Orderformular Color Kids'!C232</f>
        <v>Anonymized 9651 Dark Forest</v>
      </c>
      <c r="D226" s="108" t="str">
        <f>'Orderformular Color Kids'!D232</f>
        <v>Kids</v>
      </c>
      <c r="E226" s="97">
        <f>'Orderformular Color Kids'!E232</f>
        <v>0</v>
      </c>
      <c r="F226" s="97">
        <f>'Orderformular Color Kids'!F232</f>
        <v>0</v>
      </c>
      <c r="G226" s="97">
        <f>'Orderformular Color Kids'!G232</f>
        <v>0</v>
      </c>
      <c r="H226" s="97">
        <f>'Orderformular Color Kids'!H232</f>
        <v>0</v>
      </c>
      <c r="I226" s="97">
        <f>'Orderformular Color Kids'!I232</f>
        <v>0</v>
      </c>
      <c r="J226" s="97">
        <f>'Orderformular Color Kids'!J232</f>
        <v>0</v>
      </c>
      <c r="K226" s="97">
        <f>'Orderformular Color Kids'!K232</f>
        <v>0</v>
      </c>
      <c r="L226" s="97">
        <f>'Orderformular Color Kids'!L232</f>
        <v>0</v>
      </c>
      <c r="M226" s="97">
        <f>'Orderformular Color Kids'!M232</f>
        <v>0</v>
      </c>
      <c r="N226" s="97">
        <f>'Orderformular Color Kids'!N232</f>
        <v>0</v>
      </c>
      <c r="O226" s="97">
        <f>'Orderformular Color Kids'!O232</f>
        <v>0</v>
      </c>
      <c r="P226" s="97">
        <f>'Orderformular Color Kids'!P232</f>
        <v>0</v>
      </c>
      <c r="Q226" s="97">
        <f>'Orderformular Color Kids'!Q232</f>
        <v>0</v>
      </c>
      <c r="R226" s="97">
        <f>'Orderformular Color Kids'!R232</f>
        <v>0</v>
      </c>
      <c r="S226" s="98">
        <f t="shared" si="3"/>
        <v>0</v>
      </c>
      <c r="T226" s="109">
        <f>'Orderformular Color Kids'!U232</f>
        <v>39.9</v>
      </c>
    </row>
    <row r="227" spans="1:20" ht="15" customHeight="1" x14ac:dyDescent="0.25">
      <c r="A227" s="110">
        <f>'Orderformular Color Kids'!A233</f>
        <v>743030</v>
      </c>
      <c r="B227" s="106" t="str">
        <f>'Orderformular Color Kids'!B233</f>
        <v>Anonymized Item 233</v>
      </c>
      <c r="C227" s="106" t="str">
        <f>'Orderformular Color Kids'!C233</f>
        <v>Anonymized 2159 Seagrass</v>
      </c>
      <c r="D227" s="108" t="str">
        <f>'Orderformular Color Kids'!D233</f>
        <v>Mini</v>
      </c>
      <c r="E227" s="97">
        <f>'Orderformular Color Kids'!E233</f>
        <v>0</v>
      </c>
      <c r="F227" s="97">
        <f>'Orderformular Color Kids'!F233</f>
        <v>0</v>
      </c>
      <c r="G227" s="97">
        <f>'Orderformular Color Kids'!G233</f>
        <v>0</v>
      </c>
      <c r="H227" s="97">
        <f>'Orderformular Color Kids'!H233</f>
        <v>0</v>
      </c>
      <c r="I227" s="97">
        <f>'Orderformular Color Kids'!I233</f>
        <v>0</v>
      </c>
      <c r="J227" s="97">
        <f>'Orderformular Color Kids'!J233</f>
        <v>0</v>
      </c>
      <c r="K227" s="97">
        <f>'Orderformular Color Kids'!K233</f>
        <v>0</v>
      </c>
      <c r="L227" s="97">
        <f>'Orderformular Color Kids'!L233</f>
        <v>0</v>
      </c>
      <c r="M227" s="97">
        <f>'Orderformular Color Kids'!M233</f>
        <v>0</v>
      </c>
      <c r="N227" s="97">
        <f>'Orderformular Color Kids'!N233</f>
        <v>0</v>
      </c>
      <c r="O227" s="97">
        <f>'Orderformular Color Kids'!O233</f>
        <v>0</v>
      </c>
      <c r="P227" s="97">
        <f>'Orderformular Color Kids'!P233</f>
        <v>0</v>
      </c>
      <c r="Q227" s="97">
        <f>'Orderformular Color Kids'!Q233</f>
        <v>0</v>
      </c>
      <c r="R227" s="97">
        <f>'Orderformular Color Kids'!R233</f>
        <v>0</v>
      </c>
      <c r="S227" s="98">
        <f t="shared" si="3"/>
        <v>0</v>
      </c>
      <c r="T227" s="109">
        <f>'Orderformular Color Kids'!U233</f>
        <v>79.900000000000006</v>
      </c>
    </row>
    <row r="228" spans="1:20" ht="15" customHeight="1" x14ac:dyDescent="0.25">
      <c r="A228" s="110">
        <f>'Orderformular Color Kids'!A234</f>
        <v>743030</v>
      </c>
      <c r="B228" s="106" t="str">
        <f>'Orderformular Color Kids'!B234</f>
        <v>Anonymized Item 234</v>
      </c>
      <c r="C228" s="106" t="str">
        <f>'Orderformular Color Kids'!C234</f>
        <v>Anonymized 6685 Violet Tulle</v>
      </c>
      <c r="D228" s="108" t="str">
        <f>'Orderformular Color Kids'!D234</f>
        <v>Mini</v>
      </c>
      <c r="E228" s="97">
        <f>'Orderformular Color Kids'!E234</f>
        <v>0</v>
      </c>
      <c r="F228" s="97">
        <f>'Orderformular Color Kids'!F234</f>
        <v>0</v>
      </c>
      <c r="G228" s="97">
        <f>'Orderformular Color Kids'!G234</f>
        <v>0</v>
      </c>
      <c r="H228" s="97">
        <f>'Orderformular Color Kids'!H234</f>
        <v>0</v>
      </c>
      <c r="I228" s="97">
        <f>'Orderformular Color Kids'!I234</f>
        <v>0</v>
      </c>
      <c r="J228" s="97">
        <f>'Orderformular Color Kids'!J234</f>
        <v>0</v>
      </c>
      <c r="K228" s="97">
        <f>'Orderformular Color Kids'!K234</f>
        <v>0</v>
      </c>
      <c r="L228" s="97">
        <f>'Orderformular Color Kids'!L234</f>
        <v>0</v>
      </c>
      <c r="M228" s="97">
        <f>'Orderformular Color Kids'!M234</f>
        <v>0</v>
      </c>
      <c r="N228" s="97">
        <f>'Orderformular Color Kids'!N234</f>
        <v>0</v>
      </c>
      <c r="O228" s="97">
        <f>'Orderformular Color Kids'!O234</f>
        <v>0</v>
      </c>
      <c r="P228" s="97">
        <f>'Orderformular Color Kids'!P234</f>
        <v>0</v>
      </c>
      <c r="Q228" s="97">
        <f>'Orderformular Color Kids'!Q234</f>
        <v>0</v>
      </c>
      <c r="R228" s="97">
        <f>'Orderformular Color Kids'!R234</f>
        <v>0</v>
      </c>
      <c r="S228" s="98">
        <f t="shared" si="3"/>
        <v>0</v>
      </c>
      <c r="T228" s="109">
        <f>'Orderformular Color Kids'!U234</f>
        <v>79.900000000000006</v>
      </c>
    </row>
    <row r="229" spans="1:20" ht="15" customHeight="1" x14ac:dyDescent="0.25">
      <c r="A229" s="110">
        <f>'Orderformular Color Kids'!A235</f>
        <v>743034</v>
      </c>
      <c r="B229" s="106" t="str">
        <f>'Orderformular Color Kids'!B235</f>
        <v>Anonymized Item 235</v>
      </c>
      <c r="C229" s="106" t="str">
        <f>'Orderformular Color Kids'!C235</f>
        <v>Anonymized 1161 Snow White</v>
      </c>
      <c r="D229" s="108" t="str">
        <f>'Orderformular Color Kids'!D235</f>
        <v>Mini</v>
      </c>
      <c r="E229" s="97">
        <f>'Orderformular Color Kids'!E235</f>
        <v>0</v>
      </c>
      <c r="F229" s="97">
        <f>'Orderformular Color Kids'!F235</f>
        <v>0</v>
      </c>
      <c r="G229" s="97">
        <f>'Orderformular Color Kids'!G235</f>
        <v>1</v>
      </c>
      <c r="H229" s="97">
        <f>'Orderformular Color Kids'!H235</f>
        <v>1</v>
      </c>
      <c r="I229" s="97">
        <f>'Orderformular Color Kids'!I235</f>
        <v>1</v>
      </c>
      <c r="J229" s="97">
        <f>'Orderformular Color Kids'!J235</f>
        <v>1</v>
      </c>
      <c r="K229" s="97">
        <f>'Orderformular Color Kids'!K235</f>
        <v>0</v>
      </c>
      <c r="L229" s="97">
        <f>'Orderformular Color Kids'!L235</f>
        <v>0</v>
      </c>
      <c r="M229" s="97">
        <f>'Orderformular Color Kids'!M235</f>
        <v>0</v>
      </c>
      <c r="N229" s="97">
        <f>'Orderformular Color Kids'!N235</f>
        <v>0</v>
      </c>
      <c r="O229" s="97">
        <f>'Orderformular Color Kids'!O235</f>
        <v>0</v>
      </c>
      <c r="P229" s="97">
        <f>'Orderformular Color Kids'!P235</f>
        <v>0</v>
      </c>
      <c r="Q229" s="97">
        <f>'Orderformular Color Kids'!Q235</f>
        <v>0</v>
      </c>
      <c r="R229" s="97">
        <f>'Orderformular Color Kids'!R235</f>
        <v>0</v>
      </c>
      <c r="S229" s="98">
        <f t="shared" si="3"/>
        <v>4</v>
      </c>
      <c r="T229" s="109">
        <f>'Orderformular Color Kids'!U235</f>
        <v>65.900000000000006</v>
      </c>
    </row>
    <row r="230" spans="1:20" ht="15" customHeight="1" x14ac:dyDescent="0.25">
      <c r="A230" s="110">
        <f>'Orderformular Color Kids'!A236</f>
        <v>743034</v>
      </c>
      <c r="B230" s="106" t="str">
        <f>'Orderformular Color Kids'!B236</f>
        <v>Anonymized Item 236</v>
      </c>
      <c r="C230" s="106" t="str">
        <f>'Orderformular Color Kids'!C236</f>
        <v>Anonymized 6685 Violet Tulle</v>
      </c>
      <c r="D230" s="108" t="str">
        <f>'Orderformular Color Kids'!D236</f>
        <v>Mini</v>
      </c>
      <c r="E230" s="97">
        <f>'Orderformular Color Kids'!E236</f>
        <v>0</v>
      </c>
      <c r="F230" s="97">
        <f>'Orderformular Color Kids'!F236</f>
        <v>0</v>
      </c>
      <c r="G230" s="97">
        <f>'Orderformular Color Kids'!G236</f>
        <v>1</v>
      </c>
      <c r="H230" s="97">
        <f>'Orderformular Color Kids'!H236</f>
        <v>1</v>
      </c>
      <c r="I230" s="97">
        <f>'Orderformular Color Kids'!I236</f>
        <v>1</v>
      </c>
      <c r="J230" s="97">
        <f>'Orderformular Color Kids'!J236</f>
        <v>1</v>
      </c>
      <c r="K230" s="97">
        <f>'Orderformular Color Kids'!K236</f>
        <v>1</v>
      </c>
      <c r="L230" s="97">
        <f>'Orderformular Color Kids'!L236</f>
        <v>0</v>
      </c>
      <c r="M230" s="97">
        <f>'Orderformular Color Kids'!M236</f>
        <v>0</v>
      </c>
      <c r="N230" s="97">
        <f>'Orderformular Color Kids'!N236</f>
        <v>0</v>
      </c>
      <c r="O230" s="97">
        <f>'Orderformular Color Kids'!O236</f>
        <v>0</v>
      </c>
      <c r="P230" s="97">
        <f>'Orderformular Color Kids'!P236</f>
        <v>0</v>
      </c>
      <c r="Q230" s="97">
        <f>'Orderformular Color Kids'!Q236</f>
        <v>0</v>
      </c>
      <c r="R230" s="97">
        <f>'Orderformular Color Kids'!R236</f>
        <v>0</v>
      </c>
      <c r="S230" s="98">
        <f t="shared" si="3"/>
        <v>5</v>
      </c>
      <c r="T230" s="109">
        <f>'Orderformular Color Kids'!U236</f>
        <v>65.900000000000006</v>
      </c>
    </row>
    <row r="231" spans="1:20" ht="15" customHeight="1" x14ac:dyDescent="0.25">
      <c r="A231" s="110">
        <f>'Orderformular Color Kids'!A237</f>
        <v>743035</v>
      </c>
      <c r="B231" s="106" t="str">
        <f>'Orderformular Color Kids'!B237</f>
        <v>Anonymized Item 237</v>
      </c>
      <c r="C231" s="106" t="str">
        <f>'Orderformular Color Kids'!C237</f>
        <v>Anonymized 2159 Seagrass</v>
      </c>
      <c r="D231" s="108" t="str">
        <f>'Orderformular Color Kids'!D237</f>
        <v>Mini</v>
      </c>
      <c r="E231" s="97">
        <f>'Orderformular Color Kids'!E237</f>
        <v>0</v>
      </c>
      <c r="F231" s="97">
        <f>'Orderformular Color Kids'!F237</f>
        <v>0</v>
      </c>
      <c r="G231" s="97">
        <f>'Orderformular Color Kids'!G237</f>
        <v>1</v>
      </c>
      <c r="H231" s="97">
        <f>'Orderformular Color Kids'!H237</f>
        <v>1</v>
      </c>
      <c r="I231" s="97">
        <f>'Orderformular Color Kids'!I237</f>
        <v>1</v>
      </c>
      <c r="J231" s="97">
        <f>'Orderformular Color Kids'!J237</f>
        <v>1</v>
      </c>
      <c r="K231" s="97">
        <f>'Orderformular Color Kids'!K237</f>
        <v>1</v>
      </c>
      <c r="L231" s="97">
        <f>'Orderformular Color Kids'!L237</f>
        <v>0</v>
      </c>
      <c r="M231" s="97">
        <f>'Orderformular Color Kids'!M237</f>
        <v>0</v>
      </c>
      <c r="N231" s="97">
        <f>'Orderformular Color Kids'!N237</f>
        <v>0</v>
      </c>
      <c r="O231" s="97">
        <f>'Orderformular Color Kids'!O237</f>
        <v>0</v>
      </c>
      <c r="P231" s="97">
        <f>'Orderformular Color Kids'!P237</f>
        <v>0</v>
      </c>
      <c r="Q231" s="97">
        <f>'Orderformular Color Kids'!Q237</f>
        <v>0</v>
      </c>
      <c r="R231" s="97">
        <f>'Orderformular Color Kids'!R237</f>
        <v>0</v>
      </c>
      <c r="S231" s="98">
        <f t="shared" si="3"/>
        <v>5</v>
      </c>
      <c r="T231" s="109">
        <f>'Orderformular Color Kids'!U237</f>
        <v>65.900000000000006</v>
      </c>
    </row>
    <row r="232" spans="1:20" ht="15" customHeight="1" x14ac:dyDescent="0.25">
      <c r="A232" s="110">
        <f>'Orderformular Color Kids'!A238</f>
        <v>743035</v>
      </c>
      <c r="B232" s="106" t="str">
        <f>'Orderformular Color Kids'!B238</f>
        <v>Anonymized Item 238</v>
      </c>
      <c r="C232" s="106" t="str">
        <f>'Orderformular Color Kids'!C238</f>
        <v>Anonymized 7850 Total Eclipse</v>
      </c>
      <c r="D232" s="108" t="str">
        <f>'Orderformular Color Kids'!D238</f>
        <v>Mini</v>
      </c>
      <c r="E232" s="97">
        <f>'Orderformular Color Kids'!E238</f>
        <v>0</v>
      </c>
      <c r="F232" s="97">
        <f>'Orderformular Color Kids'!F238</f>
        <v>0</v>
      </c>
      <c r="G232" s="97">
        <f>'Orderformular Color Kids'!G238</f>
        <v>1</v>
      </c>
      <c r="H232" s="97">
        <f>'Orderformular Color Kids'!H238</f>
        <v>1</v>
      </c>
      <c r="I232" s="97">
        <f>'Orderformular Color Kids'!I238</f>
        <v>1</v>
      </c>
      <c r="J232" s="97">
        <f>'Orderformular Color Kids'!J238</f>
        <v>1</v>
      </c>
      <c r="K232" s="97">
        <f>'Orderformular Color Kids'!K238</f>
        <v>1</v>
      </c>
      <c r="L232" s="97">
        <f>'Orderformular Color Kids'!L238</f>
        <v>0</v>
      </c>
      <c r="M232" s="97">
        <f>'Orderformular Color Kids'!M238</f>
        <v>0</v>
      </c>
      <c r="N232" s="97">
        <f>'Orderformular Color Kids'!N238</f>
        <v>0</v>
      </c>
      <c r="O232" s="97">
        <f>'Orderformular Color Kids'!O238</f>
        <v>0</v>
      </c>
      <c r="P232" s="97">
        <f>'Orderformular Color Kids'!P238</f>
        <v>0</v>
      </c>
      <c r="Q232" s="97">
        <f>'Orderformular Color Kids'!Q238</f>
        <v>0</v>
      </c>
      <c r="R232" s="97">
        <f>'Orderformular Color Kids'!R238</f>
        <v>0</v>
      </c>
      <c r="S232" s="98">
        <f t="shared" si="3"/>
        <v>5</v>
      </c>
      <c r="T232" s="109">
        <f>'Orderformular Color Kids'!U238</f>
        <v>65.900000000000006</v>
      </c>
    </row>
    <row r="233" spans="1:20" ht="15" customHeight="1" x14ac:dyDescent="0.25">
      <c r="A233" s="110">
        <f>'Orderformular Color Kids'!A239</f>
        <v>743037</v>
      </c>
      <c r="B233" s="106" t="str">
        <f>'Orderformular Color Kids'!B239</f>
        <v>Anonymized Item 239</v>
      </c>
      <c r="C233" s="106" t="str">
        <f>'Orderformular Color Kids'!C239</f>
        <v>Anonymized 2159 Seagrass</v>
      </c>
      <c r="D233" s="108" t="str">
        <f>'Orderformular Color Kids'!D239</f>
        <v>Mini</v>
      </c>
      <c r="E233" s="97">
        <f>'Orderformular Color Kids'!E239</f>
        <v>0</v>
      </c>
      <c r="F233" s="97">
        <f>'Orderformular Color Kids'!F239</f>
        <v>0</v>
      </c>
      <c r="G233" s="97">
        <f>'Orderformular Color Kids'!G239</f>
        <v>0</v>
      </c>
      <c r="H233" s="97">
        <f>'Orderformular Color Kids'!H239</f>
        <v>0</v>
      </c>
      <c r="I233" s="97">
        <f>'Orderformular Color Kids'!I239</f>
        <v>0</v>
      </c>
      <c r="J233" s="97">
        <f>'Orderformular Color Kids'!J239</f>
        <v>0</v>
      </c>
      <c r="K233" s="97">
        <f>'Orderformular Color Kids'!K239</f>
        <v>0</v>
      </c>
      <c r="L233" s="97">
        <f>'Orderformular Color Kids'!L239</f>
        <v>0</v>
      </c>
      <c r="M233" s="97">
        <f>'Orderformular Color Kids'!M239</f>
        <v>0</v>
      </c>
      <c r="N233" s="97">
        <f>'Orderformular Color Kids'!N239</f>
        <v>0</v>
      </c>
      <c r="O233" s="97">
        <f>'Orderformular Color Kids'!O239</f>
        <v>0</v>
      </c>
      <c r="P233" s="97">
        <f>'Orderformular Color Kids'!P239</f>
        <v>0</v>
      </c>
      <c r="Q233" s="97">
        <f>'Orderformular Color Kids'!Q239</f>
        <v>0</v>
      </c>
      <c r="R233" s="97">
        <f>'Orderformular Color Kids'!R239</f>
        <v>0</v>
      </c>
      <c r="S233" s="98">
        <f t="shared" si="3"/>
        <v>0</v>
      </c>
      <c r="T233" s="109">
        <f>'Orderformular Color Kids'!U239</f>
        <v>59.9</v>
      </c>
    </row>
    <row r="234" spans="1:20" ht="15" customHeight="1" x14ac:dyDescent="0.25">
      <c r="A234" s="110">
        <f>'Orderformular Color Kids'!A240</f>
        <v>743037</v>
      </c>
      <c r="B234" s="106" t="str">
        <f>'Orderformular Color Kids'!B240</f>
        <v>Anonymized Item 240</v>
      </c>
      <c r="C234" s="106" t="str">
        <f>'Orderformular Color Kids'!C240</f>
        <v>Anonymized 6685 Violet Tulle</v>
      </c>
      <c r="D234" s="108" t="str">
        <f>'Orderformular Color Kids'!D240</f>
        <v>Mini</v>
      </c>
      <c r="E234" s="97">
        <f>'Orderformular Color Kids'!E240</f>
        <v>0</v>
      </c>
      <c r="F234" s="97">
        <f>'Orderformular Color Kids'!F240</f>
        <v>0</v>
      </c>
      <c r="G234" s="97">
        <f>'Orderformular Color Kids'!G240</f>
        <v>0</v>
      </c>
      <c r="H234" s="97">
        <f>'Orderformular Color Kids'!H240</f>
        <v>0</v>
      </c>
      <c r="I234" s="97">
        <f>'Orderformular Color Kids'!I240</f>
        <v>0</v>
      </c>
      <c r="J234" s="97">
        <f>'Orderformular Color Kids'!J240</f>
        <v>0</v>
      </c>
      <c r="K234" s="97">
        <f>'Orderformular Color Kids'!K240</f>
        <v>0</v>
      </c>
      <c r="L234" s="97">
        <f>'Orderformular Color Kids'!L240</f>
        <v>0</v>
      </c>
      <c r="M234" s="97">
        <f>'Orderformular Color Kids'!M240</f>
        <v>0</v>
      </c>
      <c r="N234" s="97">
        <f>'Orderformular Color Kids'!N240</f>
        <v>0</v>
      </c>
      <c r="O234" s="97">
        <f>'Orderformular Color Kids'!O240</f>
        <v>0</v>
      </c>
      <c r="P234" s="97">
        <f>'Orderformular Color Kids'!P240</f>
        <v>0</v>
      </c>
      <c r="Q234" s="97">
        <f>'Orderformular Color Kids'!Q240</f>
        <v>0</v>
      </c>
      <c r="R234" s="97">
        <f>'Orderformular Color Kids'!R240</f>
        <v>0</v>
      </c>
      <c r="S234" s="98">
        <f t="shared" si="3"/>
        <v>0</v>
      </c>
      <c r="T234" s="109">
        <f>'Orderformular Color Kids'!U240</f>
        <v>59.9</v>
      </c>
    </row>
    <row r="235" spans="1:20" ht="15" customHeight="1" x14ac:dyDescent="0.25">
      <c r="A235" s="110">
        <f>'Orderformular Color Kids'!A241</f>
        <v>743041</v>
      </c>
      <c r="B235" s="106" t="str">
        <f>'Orderformular Color Kids'!B241</f>
        <v>Anonymized Item 241</v>
      </c>
      <c r="C235" s="106" t="str">
        <f>'Orderformular Color Kids'!C241</f>
        <v>Anonymized 2159 Seagrass</v>
      </c>
      <c r="D235" s="108" t="str">
        <f>'Orderformular Color Kids'!D241</f>
        <v>Mini</v>
      </c>
      <c r="E235" s="97">
        <f>'Orderformular Color Kids'!E241</f>
        <v>0</v>
      </c>
      <c r="F235" s="97">
        <f>'Orderformular Color Kids'!F241</f>
        <v>0</v>
      </c>
      <c r="G235" s="97">
        <f>'Orderformular Color Kids'!G241</f>
        <v>0</v>
      </c>
      <c r="H235" s="97">
        <f>'Orderformular Color Kids'!H241</f>
        <v>0</v>
      </c>
      <c r="I235" s="97">
        <f>'Orderformular Color Kids'!I241</f>
        <v>0</v>
      </c>
      <c r="J235" s="97">
        <f>'Orderformular Color Kids'!J241</f>
        <v>0</v>
      </c>
      <c r="K235" s="97">
        <f>'Orderformular Color Kids'!K241</f>
        <v>0</v>
      </c>
      <c r="L235" s="97">
        <f>'Orderformular Color Kids'!L241</f>
        <v>0</v>
      </c>
      <c r="M235" s="97">
        <f>'Orderformular Color Kids'!M241</f>
        <v>0</v>
      </c>
      <c r="N235" s="97">
        <f>'Orderformular Color Kids'!N241</f>
        <v>0</v>
      </c>
      <c r="O235" s="97">
        <f>'Orderformular Color Kids'!O241</f>
        <v>0</v>
      </c>
      <c r="P235" s="97">
        <f>'Orderformular Color Kids'!P241</f>
        <v>0</v>
      </c>
      <c r="Q235" s="97">
        <f>'Orderformular Color Kids'!Q241</f>
        <v>0</v>
      </c>
      <c r="R235" s="97">
        <f>'Orderformular Color Kids'!R241</f>
        <v>0</v>
      </c>
      <c r="S235" s="98">
        <f t="shared" si="3"/>
        <v>0</v>
      </c>
      <c r="T235" s="109">
        <f>'Orderformular Color Kids'!U241</f>
        <v>59.9</v>
      </c>
    </row>
    <row r="236" spans="1:20" ht="15" customHeight="1" x14ac:dyDescent="0.25">
      <c r="A236" s="110">
        <f>'Orderformular Color Kids'!A242</f>
        <v>743041</v>
      </c>
      <c r="B236" s="106" t="str">
        <f>'Orderformular Color Kids'!B242</f>
        <v>Anonymized Item 242</v>
      </c>
      <c r="C236" s="106" t="str">
        <f>'Orderformular Color Kids'!C242</f>
        <v>Anonymized 6685 Violet Tulle</v>
      </c>
      <c r="D236" s="108" t="str">
        <f>'Orderformular Color Kids'!D242</f>
        <v>Mini</v>
      </c>
      <c r="E236" s="97">
        <f>'Orderformular Color Kids'!E242</f>
        <v>0</v>
      </c>
      <c r="F236" s="97">
        <f>'Orderformular Color Kids'!F242</f>
        <v>0</v>
      </c>
      <c r="G236" s="97">
        <f>'Orderformular Color Kids'!G242</f>
        <v>0</v>
      </c>
      <c r="H236" s="97">
        <f>'Orderformular Color Kids'!H242</f>
        <v>0</v>
      </c>
      <c r="I236" s="97">
        <f>'Orderformular Color Kids'!I242</f>
        <v>0</v>
      </c>
      <c r="J236" s="97">
        <f>'Orderformular Color Kids'!J242</f>
        <v>0</v>
      </c>
      <c r="K236" s="97">
        <f>'Orderformular Color Kids'!K242</f>
        <v>0</v>
      </c>
      <c r="L236" s="97">
        <f>'Orderformular Color Kids'!L242</f>
        <v>0</v>
      </c>
      <c r="M236" s="97">
        <f>'Orderformular Color Kids'!M242</f>
        <v>0</v>
      </c>
      <c r="N236" s="97">
        <f>'Orderformular Color Kids'!N242</f>
        <v>0</v>
      </c>
      <c r="O236" s="97">
        <f>'Orderformular Color Kids'!O242</f>
        <v>0</v>
      </c>
      <c r="P236" s="97">
        <f>'Orderformular Color Kids'!P242</f>
        <v>0</v>
      </c>
      <c r="Q236" s="97">
        <f>'Orderformular Color Kids'!Q242</f>
        <v>0</v>
      </c>
      <c r="R236" s="97">
        <f>'Orderformular Color Kids'!R242</f>
        <v>0</v>
      </c>
      <c r="S236" s="98">
        <f t="shared" si="3"/>
        <v>0</v>
      </c>
      <c r="T236" s="109">
        <f>'Orderformular Color Kids'!U242</f>
        <v>59.9</v>
      </c>
    </row>
    <row r="237" spans="1:20" ht="15" customHeight="1" x14ac:dyDescent="0.25">
      <c r="A237" s="110">
        <f>'Orderformular Color Kids'!A243</f>
        <v>743041</v>
      </c>
      <c r="B237" s="106" t="str">
        <f>'Orderformular Color Kids'!B243</f>
        <v>Anonymized Item 243</v>
      </c>
      <c r="C237" s="106" t="str">
        <f>'Orderformular Color Kids'!C243</f>
        <v>Anonymized 7850 Total Eclipse</v>
      </c>
      <c r="D237" s="108" t="str">
        <f>'Orderformular Color Kids'!D243</f>
        <v>Mini</v>
      </c>
      <c r="E237" s="97">
        <f>'Orderformular Color Kids'!E243</f>
        <v>0</v>
      </c>
      <c r="F237" s="97">
        <f>'Orderformular Color Kids'!F243</f>
        <v>0</v>
      </c>
      <c r="G237" s="97">
        <f>'Orderformular Color Kids'!G243</f>
        <v>0</v>
      </c>
      <c r="H237" s="97">
        <f>'Orderformular Color Kids'!H243</f>
        <v>0</v>
      </c>
      <c r="I237" s="97">
        <f>'Orderformular Color Kids'!I243</f>
        <v>0</v>
      </c>
      <c r="J237" s="97">
        <f>'Orderformular Color Kids'!J243</f>
        <v>0</v>
      </c>
      <c r="K237" s="97">
        <f>'Orderformular Color Kids'!K243</f>
        <v>0</v>
      </c>
      <c r="L237" s="97">
        <f>'Orderformular Color Kids'!L243</f>
        <v>0</v>
      </c>
      <c r="M237" s="97">
        <f>'Orderformular Color Kids'!M243</f>
        <v>0</v>
      </c>
      <c r="N237" s="97">
        <f>'Orderformular Color Kids'!N243</f>
        <v>0</v>
      </c>
      <c r="O237" s="97">
        <f>'Orderformular Color Kids'!O243</f>
        <v>0</v>
      </c>
      <c r="P237" s="97">
        <f>'Orderformular Color Kids'!P243</f>
        <v>0</v>
      </c>
      <c r="Q237" s="97">
        <f>'Orderformular Color Kids'!Q243</f>
        <v>0</v>
      </c>
      <c r="R237" s="97">
        <f>'Orderformular Color Kids'!R243</f>
        <v>0</v>
      </c>
      <c r="S237" s="98">
        <f t="shared" si="3"/>
        <v>0</v>
      </c>
      <c r="T237" s="109">
        <f>'Orderformular Color Kids'!U243</f>
        <v>59.9</v>
      </c>
    </row>
    <row r="238" spans="1:20" ht="15" customHeight="1" x14ac:dyDescent="0.25">
      <c r="A238" s="110">
        <f>'Orderformular Color Kids'!A244</f>
        <v>743049</v>
      </c>
      <c r="B238" s="106" t="str">
        <f>'Orderformular Color Kids'!B244</f>
        <v>Anonymized Item 244</v>
      </c>
      <c r="C238" s="106" t="str">
        <f>'Orderformular Color Kids'!C244</f>
        <v>Anonymized 2159 Seagrass</v>
      </c>
      <c r="D238" s="108" t="str">
        <f>'Orderformular Color Kids'!D244</f>
        <v>Mini</v>
      </c>
      <c r="E238" s="97">
        <f>'Orderformular Color Kids'!E244</f>
        <v>0</v>
      </c>
      <c r="F238" s="97">
        <f>'Orderformular Color Kids'!F244</f>
        <v>0</v>
      </c>
      <c r="G238" s="97">
        <f>'Orderformular Color Kids'!G244</f>
        <v>0</v>
      </c>
      <c r="H238" s="97">
        <f>'Orderformular Color Kids'!H244</f>
        <v>0</v>
      </c>
      <c r="I238" s="97">
        <f>'Orderformular Color Kids'!I244</f>
        <v>0</v>
      </c>
      <c r="J238" s="97">
        <f>'Orderformular Color Kids'!J244</f>
        <v>0</v>
      </c>
      <c r="K238" s="97">
        <f>'Orderformular Color Kids'!K244</f>
        <v>0</v>
      </c>
      <c r="L238" s="97">
        <f>'Orderformular Color Kids'!L244</f>
        <v>0</v>
      </c>
      <c r="M238" s="97">
        <f>'Orderformular Color Kids'!M244</f>
        <v>0</v>
      </c>
      <c r="N238" s="97">
        <f>'Orderformular Color Kids'!N244</f>
        <v>0</v>
      </c>
      <c r="O238" s="97">
        <f>'Orderformular Color Kids'!O244</f>
        <v>0</v>
      </c>
      <c r="P238" s="97">
        <f>'Orderformular Color Kids'!P244</f>
        <v>0</v>
      </c>
      <c r="Q238" s="97">
        <f>'Orderformular Color Kids'!Q244</f>
        <v>0</v>
      </c>
      <c r="R238" s="97">
        <f>'Orderformular Color Kids'!R244</f>
        <v>0</v>
      </c>
      <c r="S238" s="98">
        <f t="shared" si="3"/>
        <v>0</v>
      </c>
      <c r="T238" s="109">
        <f>'Orderformular Color Kids'!U244</f>
        <v>39.9</v>
      </c>
    </row>
    <row r="239" spans="1:20" ht="15" customHeight="1" x14ac:dyDescent="0.25">
      <c r="A239" s="110">
        <f>'Orderformular Color Kids'!A245</f>
        <v>743049</v>
      </c>
      <c r="B239" s="106" t="str">
        <f>'Orderformular Color Kids'!B245</f>
        <v>Anonymized Item 245</v>
      </c>
      <c r="C239" s="106" t="str">
        <f>'Orderformular Color Kids'!C245</f>
        <v>Anonymized 6685 Violet Tulle</v>
      </c>
      <c r="D239" s="108" t="str">
        <f>'Orderformular Color Kids'!D245</f>
        <v>Mini</v>
      </c>
      <c r="E239" s="97">
        <f>'Orderformular Color Kids'!E245</f>
        <v>0</v>
      </c>
      <c r="F239" s="97">
        <f>'Orderformular Color Kids'!F245</f>
        <v>0</v>
      </c>
      <c r="G239" s="97">
        <f>'Orderformular Color Kids'!G245</f>
        <v>1</v>
      </c>
      <c r="H239" s="97">
        <f>'Orderformular Color Kids'!H245</f>
        <v>1</v>
      </c>
      <c r="I239" s="97">
        <f>'Orderformular Color Kids'!I245</f>
        <v>1</v>
      </c>
      <c r="J239" s="97">
        <f>'Orderformular Color Kids'!J245</f>
        <v>1</v>
      </c>
      <c r="K239" s="97">
        <f>'Orderformular Color Kids'!K245</f>
        <v>0</v>
      </c>
      <c r="L239" s="97">
        <f>'Orderformular Color Kids'!L245</f>
        <v>0</v>
      </c>
      <c r="M239" s="97">
        <f>'Orderformular Color Kids'!M245</f>
        <v>0</v>
      </c>
      <c r="N239" s="97">
        <f>'Orderformular Color Kids'!N245</f>
        <v>0</v>
      </c>
      <c r="O239" s="97">
        <f>'Orderformular Color Kids'!O245</f>
        <v>0</v>
      </c>
      <c r="P239" s="97">
        <f>'Orderformular Color Kids'!P245</f>
        <v>0</v>
      </c>
      <c r="Q239" s="97">
        <f>'Orderformular Color Kids'!Q245</f>
        <v>0</v>
      </c>
      <c r="R239" s="97">
        <f>'Orderformular Color Kids'!R245</f>
        <v>0</v>
      </c>
      <c r="S239" s="98">
        <f t="shared" si="3"/>
        <v>4</v>
      </c>
      <c r="T239" s="109">
        <f>'Orderformular Color Kids'!U245</f>
        <v>39.9</v>
      </c>
    </row>
    <row r="240" spans="1:20" ht="15" customHeight="1" x14ac:dyDescent="0.25">
      <c r="A240" s="110">
        <f>'Orderformular Color Kids'!A246</f>
        <v>743055</v>
      </c>
      <c r="B240" s="106" t="str">
        <f>'Orderformular Color Kids'!B246</f>
        <v>Anonymized Item 246</v>
      </c>
      <c r="C240" s="106" t="str">
        <f>'Orderformular Color Kids'!C246</f>
        <v>Anonymized 6685 Violet Tulle</v>
      </c>
      <c r="D240" s="108" t="str">
        <f>'Orderformular Color Kids'!D246</f>
        <v>Mini</v>
      </c>
      <c r="E240" s="97">
        <f>'Orderformular Color Kids'!E246</f>
        <v>0</v>
      </c>
      <c r="F240" s="97">
        <f>'Orderformular Color Kids'!F246</f>
        <v>0</v>
      </c>
      <c r="G240" s="97">
        <f>'Orderformular Color Kids'!G246</f>
        <v>1</v>
      </c>
      <c r="H240" s="97">
        <f>'Orderformular Color Kids'!H246</f>
        <v>1</v>
      </c>
      <c r="I240" s="97">
        <f>'Orderformular Color Kids'!I246</f>
        <v>1</v>
      </c>
      <c r="J240" s="97">
        <f>'Orderformular Color Kids'!J246</f>
        <v>1</v>
      </c>
      <c r="K240" s="97">
        <f>'Orderformular Color Kids'!K246</f>
        <v>1</v>
      </c>
      <c r="L240" s="97">
        <f>'Orderformular Color Kids'!L246</f>
        <v>0</v>
      </c>
      <c r="M240" s="97">
        <f>'Orderformular Color Kids'!M246</f>
        <v>0</v>
      </c>
      <c r="N240" s="97">
        <f>'Orderformular Color Kids'!N246</f>
        <v>0</v>
      </c>
      <c r="O240" s="97">
        <f>'Orderformular Color Kids'!O246</f>
        <v>0</v>
      </c>
      <c r="P240" s="97">
        <f>'Orderformular Color Kids'!P246</f>
        <v>0</v>
      </c>
      <c r="Q240" s="97">
        <f>'Orderformular Color Kids'!Q246</f>
        <v>0</v>
      </c>
      <c r="R240" s="97">
        <f>'Orderformular Color Kids'!R246</f>
        <v>0</v>
      </c>
      <c r="S240" s="98">
        <f t="shared" si="3"/>
        <v>5</v>
      </c>
      <c r="T240" s="109">
        <f>'Orderformular Color Kids'!U246</f>
        <v>39.9</v>
      </c>
    </row>
    <row r="241" spans="1:20" ht="15" customHeight="1" x14ac:dyDescent="0.25">
      <c r="A241" s="110">
        <f>'Orderformular Color Kids'!A247</f>
        <v>743055</v>
      </c>
      <c r="B241" s="106" t="str">
        <f>'Orderformular Color Kids'!B247</f>
        <v>Anonymized Item 247</v>
      </c>
      <c r="C241" s="106" t="str">
        <f>'Orderformular Color Kids'!C247</f>
        <v>Anonymized 7850 Total Eclipse</v>
      </c>
      <c r="D241" s="108" t="str">
        <f>'Orderformular Color Kids'!D247</f>
        <v>Mini</v>
      </c>
      <c r="E241" s="97">
        <f>'Orderformular Color Kids'!E247</f>
        <v>0</v>
      </c>
      <c r="F241" s="97">
        <f>'Orderformular Color Kids'!F247</f>
        <v>0</v>
      </c>
      <c r="G241" s="97">
        <f>'Orderformular Color Kids'!G247</f>
        <v>1</v>
      </c>
      <c r="H241" s="97">
        <f>'Orderformular Color Kids'!H247</f>
        <v>1</v>
      </c>
      <c r="I241" s="97">
        <f>'Orderformular Color Kids'!I247</f>
        <v>1</v>
      </c>
      <c r="J241" s="97">
        <f>'Orderformular Color Kids'!J247</f>
        <v>1</v>
      </c>
      <c r="K241" s="97">
        <f>'Orderformular Color Kids'!K247</f>
        <v>1</v>
      </c>
      <c r="L241" s="97">
        <f>'Orderformular Color Kids'!L247</f>
        <v>0</v>
      </c>
      <c r="M241" s="97">
        <f>'Orderformular Color Kids'!M247</f>
        <v>0</v>
      </c>
      <c r="N241" s="97">
        <f>'Orderformular Color Kids'!N247</f>
        <v>0</v>
      </c>
      <c r="O241" s="97">
        <f>'Orderformular Color Kids'!O247</f>
        <v>0</v>
      </c>
      <c r="P241" s="97">
        <f>'Orderformular Color Kids'!P247</f>
        <v>0</v>
      </c>
      <c r="Q241" s="97">
        <f>'Orderformular Color Kids'!Q247</f>
        <v>0</v>
      </c>
      <c r="R241" s="97">
        <f>'Orderformular Color Kids'!R247</f>
        <v>0</v>
      </c>
      <c r="S241" s="98">
        <f t="shared" si="3"/>
        <v>5</v>
      </c>
      <c r="T241" s="109">
        <f>'Orderformular Color Kids'!U247</f>
        <v>39.9</v>
      </c>
    </row>
    <row r="242" spans="1:20" ht="15" customHeight="1" x14ac:dyDescent="0.25">
      <c r="A242" s="110">
        <f>'Orderformular Color Kids'!A248</f>
        <v>743059</v>
      </c>
      <c r="B242" s="106" t="str">
        <f>'Orderformular Color Kids'!B248</f>
        <v>Anonymized Item 248</v>
      </c>
      <c r="C242" s="106" t="str">
        <f>'Orderformular Color Kids'!C248</f>
        <v>Anonymized 1108 Castle Wall</v>
      </c>
      <c r="D242" s="108" t="str">
        <f>'Orderformular Color Kids'!D248</f>
        <v>Mini</v>
      </c>
      <c r="E242" s="97">
        <f>'Orderformular Color Kids'!E248</f>
        <v>0</v>
      </c>
      <c r="F242" s="97">
        <f>'Orderformular Color Kids'!F248</f>
        <v>0</v>
      </c>
      <c r="G242" s="97">
        <f>'Orderformular Color Kids'!G248</f>
        <v>0</v>
      </c>
      <c r="H242" s="97">
        <f>'Orderformular Color Kids'!H248</f>
        <v>0</v>
      </c>
      <c r="I242" s="97">
        <f>'Orderformular Color Kids'!I248</f>
        <v>0</v>
      </c>
      <c r="J242" s="97">
        <f>'Orderformular Color Kids'!J248</f>
        <v>0</v>
      </c>
      <c r="K242" s="97">
        <f>'Orderformular Color Kids'!K248</f>
        <v>0</v>
      </c>
      <c r="L242" s="97">
        <f>'Orderformular Color Kids'!L248</f>
        <v>0</v>
      </c>
      <c r="M242" s="97">
        <f>'Orderformular Color Kids'!M248</f>
        <v>0</v>
      </c>
      <c r="N242" s="97">
        <f>'Orderformular Color Kids'!N248</f>
        <v>0</v>
      </c>
      <c r="O242" s="97">
        <f>'Orderformular Color Kids'!O248</f>
        <v>0</v>
      </c>
      <c r="P242" s="97">
        <f>'Orderformular Color Kids'!P248</f>
        <v>0</v>
      </c>
      <c r="Q242" s="97">
        <f>'Orderformular Color Kids'!Q248</f>
        <v>0</v>
      </c>
      <c r="R242" s="97">
        <f>'Orderformular Color Kids'!R248</f>
        <v>0</v>
      </c>
      <c r="S242" s="98">
        <f t="shared" si="3"/>
        <v>0</v>
      </c>
      <c r="T242" s="109">
        <f>'Orderformular Color Kids'!U248</f>
        <v>23.9</v>
      </c>
    </row>
    <row r="243" spans="1:20" ht="15" customHeight="1" x14ac:dyDescent="0.25">
      <c r="A243" s="110">
        <f>'Orderformular Color Kids'!A249</f>
        <v>743059</v>
      </c>
      <c r="B243" s="106" t="str">
        <f>'Orderformular Color Kids'!B249</f>
        <v>Anonymized Item 249</v>
      </c>
      <c r="C243" s="106" t="str">
        <f>'Orderformular Color Kids'!C249</f>
        <v>Anonymized 1161 Snow White</v>
      </c>
      <c r="D243" s="108" t="str">
        <f>'Orderformular Color Kids'!D249</f>
        <v>Mini</v>
      </c>
      <c r="E243" s="97">
        <f>'Orderformular Color Kids'!E249</f>
        <v>0</v>
      </c>
      <c r="F243" s="97">
        <f>'Orderformular Color Kids'!F249</f>
        <v>0</v>
      </c>
      <c r="G243" s="97">
        <f>'Orderformular Color Kids'!G249</f>
        <v>0</v>
      </c>
      <c r="H243" s="97">
        <f>'Orderformular Color Kids'!H249</f>
        <v>0</v>
      </c>
      <c r="I243" s="97">
        <f>'Orderformular Color Kids'!I249</f>
        <v>0</v>
      </c>
      <c r="J243" s="97">
        <f>'Orderformular Color Kids'!J249</f>
        <v>0</v>
      </c>
      <c r="K243" s="97">
        <f>'Orderformular Color Kids'!K249</f>
        <v>0</v>
      </c>
      <c r="L243" s="97">
        <f>'Orderformular Color Kids'!L249</f>
        <v>0</v>
      </c>
      <c r="M243" s="97">
        <f>'Orderformular Color Kids'!M249</f>
        <v>0</v>
      </c>
      <c r="N243" s="97">
        <f>'Orderformular Color Kids'!N249</f>
        <v>0</v>
      </c>
      <c r="O243" s="97">
        <f>'Orderformular Color Kids'!O249</f>
        <v>0</v>
      </c>
      <c r="P243" s="97">
        <f>'Orderformular Color Kids'!P249</f>
        <v>0</v>
      </c>
      <c r="Q243" s="97">
        <f>'Orderformular Color Kids'!Q249</f>
        <v>0</v>
      </c>
      <c r="R243" s="97">
        <f>'Orderformular Color Kids'!R249</f>
        <v>0</v>
      </c>
      <c r="S243" s="98">
        <f t="shared" si="3"/>
        <v>0</v>
      </c>
      <c r="T243" s="109">
        <f>'Orderformular Color Kids'!U249</f>
        <v>23.9</v>
      </c>
    </row>
    <row r="244" spans="1:20" ht="15" customHeight="1" x14ac:dyDescent="0.25">
      <c r="A244" s="110">
        <f>'Orderformular Color Kids'!A250</f>
        <v>743059</v>
      </c>
      <c r="B244" s="106" t="str">
        <f>'Orderformular Color Kids'!B250</f>
        <v>Anonymized Item 250</v>
      </c>
      <c r="C244" s="106" t="str">
        <f>'Orderformular Color Kids'!C250</f>
        <v>Anonymized 2159 Seagrass</v>
      </c>
      <c r="D244" s="108" t="str">
        <f>'Orderformular Color Kids'!D250</f>
        <v>Mini</v>
      </c>
      <c r="E244" s="97">
        <f>'Orderformular Color Kids'!E250</f>
        <v>0</v>
      </c>
      <c r="F244" s="97">
        <f>'Orderformular Color Kids'!F250</f>
        <v>0</v>
      </c>
      <c r="G244" s="97">
        <f>'Orderformular Color Kids'!G250</f>
        <v>0</v>
      </c>
      <c r="H244" s="97">
        <f>'Orderformular Color Kids'!H250</f>
        <v>0</v>
      </c>
      <c r="I244" s="97">
        <f>'Orderformular Color Kids'!I250</f>
        <v>0</v>
      </c>
      <c r="J244" s="97">
        <f>'Orderformular Color Kids'!J250</f>
        <v>0</v>
      </c>
      <c r="K244" s="97">
        <f>'Orderformular Color Kids'!K250</f>
        <v>0</v>
      </c>
      <c r="L244" s="97">
        <f>'Orderformular Color Kids'!L250</f>
        <v>0</v>
      </c>
      <c r="M244" s="97">
        <f>'Orderformular Color Kids'!M250</f>
        <v>0</v>
      </c>
      <c r="N244" s="97">
        <f>'Orderformular Color Kids'!N250</f>
        <v>0</v>
      </c>
      <c r="O244" s="97">
        <f>'Orderformular Color Kids'!O250</f>
        <v>0</v>
      </c>
      <c r="P244" s="97">
        <f>'Orderformular Color Kids'!P250</f>
        <v>0</v>
      </c>
      <c r="Q244" s="97">
        <f>'Orderformular Color Kids'!Q250</f>
        <v>0</v>
      </c>
      <c r="R244" s="97">
        <f>'Orderformular Color Kids'!R250</f>
        <v>0</v>
      </c>
      <c r="S244" s="98">
        <f t="shared" si="3"/>
        <v>0</v>
      </c>
      <c r="T244" s="109">
        <f>'Orderformular Color Kids'!U250</f>
        <v>23.9</v>
      </c>
    </row>
    <row r="245" spans="1:20" ht="15" customHeight="1" x14ac:dyDescent="0.25">
      <c r="A245" s="110">
        <f>'Orderformular Color Kids'!A251</f>
        <v>743059</v>
      </c>
      <c r="B245" s="106" t="str">
        <f>'Orderformular Color Kids'!B251</f>
        <v>Anonymized Item 251</v>
      </c>
      <c r="C245" s="106" t="str">
        <f>'Orderformular Color Kids'!C251</f>
        <v>Anonymized 3810 Tender Yellow</v>
      </c>
      <c r="D245" s="108" t="str">
        <f>'Orderformular Color Kids'!D251</f>
        <v>Mini</v>
      </c>
      <c r="E245" s="97">
        <f>'Orderformular Color Kids'!E251</f>
        <v>0</v>
      </c>
      <c r="F245" s="97">
        <f>'Orderformular Color Kids'!F251</f>
        <v>0</v>
      </c>
      <c r="G245" s="97">
        <f>'Orderformular Color Kids'!G251</f>
        <v>0</v>
      </c>
      <c r="H245" s="97">
        <f>'Orderformular Color Kids'!H251</f>
        <v>0</v>
      </c>
      <c r="I245" s="97">
        <f>'Orderformular Color Kids'!I251</f>
        <v>0</v>
      </c>
      <c r="J245" s="97">
        <f>'Orderformular Color Kids'!J251</f>
        <v>0</v>
      </c>
      <c r="K245" s="97">
        <f>'Orderformular Color Kids'!K251</f>
        <v>0</v>
      </c>
      <c r="L245" s="97">
        <f>'Orderformular Color Kids'!L251</f>
        <v>0</v>
      </c>
      <c r="M245" s="97">
        <f>'Orderformular Color Kids'!M251</f>
        <v>0</v>
      </c>
      <c r="N245" s="97">
        <f>'Orderformular Color Kids'!N251</f>
        <v>0</v>
      </c>
      <c r="O245" s="97">
        <f>'Orderformular Color Kids'!O251</f>
        <v>0</v>
      </c>
      <c r="P245" s="97">
        <f>'Orderformular Color Kids'!P251</f>
        <v>0</v>
      </c>
      <c r="Q245" s="97">
        <f>'Orderformular Color Kids'!Q251</f>
        <v>0</v>
      </c>
      <c r="R245" s="97">
        <f>'Orderformular Color Kids'!R251</f>
        <v>0</v>
      </c>
      <c r="S245" s="98">
        <f t="shared" si="3"/>
        <v>0</v>
      </c>
      <c r="T245" s="109">
        <f>'Orderformular Color Kids'!U251</f>
        <v>23.9</v>
      </c>
    </row>
    <row r="246" spans="1:20" ht="15" customHeight="1" x14ac:dyDescent="0.25">
      <c r="A246" s="110">
        <f>'Orderformular Color Kids'!A252</f>
        <v>743059</v>
      </c>
      <c r="B246" s="106" t="str">
        <f>'Orderformular Color Kids'!B252</f>
        <v>Anonymized Item 252</v>
      </c>
      <c r="C246" s="106" t="str">
        <f>'Orderformular Color Kids'!C252</f>
        <v>Anonymized 6685 Violet Tulle</v>
      </c>
      <c r="D246" s="108" t="str">
        <f>'Orderformular Color Kids'!D252</f>
        <v>Mini</v>
      </c>
      <c r="E246" s="97">
        <f>'Orderformular Color Kids'!E252</f>
        <v>0</v>
      </c>
      <c r="F246" s="97">
        <f>'Orderformular Color Kids'!F252</f>
        <v>0</v>
      </c>
      <c r="G246" s="97">
        <f>'Orderformular Color Kids'!G252</f>
        <v>0</v>
      </c>
      <c r="H246" s="97">
        <f>'Orderformular Color Kids'!H252</f>
        <v>0</v>
      </c>
      <c r="I246" s="97">
        <f>'Orderformular Color Kids'!I252</f>
        <v>0</v>
      </c>
      <c r="J246" s="97">
        <f>'Orderformular Color Kids'!J252</f>
        <v>0</v>
      </c>
      <c r="K246" s="97">
        <f>'Orderformular Color Kids'!K252</f>
        <v>0</v>
      </c>
      <c r="L246" s="97">
        <f>'Orderformular Color Kids'!L252</f>
        <v>0</v>
      </c>
      <c r="M246" s="97">
        <f>'Orderformular Color Kids'!M252</f>
        <v>0</v>
      </c>
      <c r="N246" s="97">
        <f>'Orderformular Color Kids'!N252</f>
        <v>0</v>
      </c>
      <c r="O246" s="97">
        <f>'Orderformular Color Kids'!O252</f>
        <v>0</v>
      </c>
      <c r="P246" s="97">
        <f>'Orderformular Color Kids'!P252</f>
        <v>0</v>
      </c>
      <c r="Q246" s="97">
        <f>'Orderformular Color Kids'!Q252</f>
        <v>0</v>
      </c>
      <c r="R246" s="97">
        <f>'Orderformular Color Kids'!R252</f>
        <v>0</v>
      </c>
      <c r="S246" s="98">
        <f t="shared" si="3"/>
        <v>0</v>
      </c>
      <c r="T246" s="109">
        <f>'Orderformular Color Kids'!U252</f>
        <v>23.9</v>
      </c>
    </row>
    <row r="247" spans="1:20" ht="15" customHeight="1" x14ac:dyDescent="0.25">
      <c r="A247" s="110">
        <f>'Orderformular Color Kids'!A253</f>
        <v>743059</v>
      </c>
      <c r="B247" s="106" t="str">
        <f>'Orderformular Color Kids'!B253</f>
        <v>Anonymized Item 253</v>
      </c>
      <c r="C247" s="106" t="str">
        <f>'Orderformular Color Kids'!C253</f>
        <v>Anonymized 7850 Total Eclipse</v>
      </c>
      <c r="D247" s="108" t="str">
        <f>'Orderformular Color Kids'!D253</f>
        <v>Mini</v>
      </c>
      <c r="E247" s="97">
        <f>'Orderformular Color Kids'!E253</f>
        <v>0</v>
      </c>
      <c r="F247" s="97">
        <f>'Orderformular Color Kids'!F253</f>
        <v>0</v>
      </c>
      <c r="G247" s="97">
        <f>'Orderformular Color Kids'!G253</f>
        <v>0</v>
      </c>
      <c r="H247" s="97">
        <f>'Orderformular Color Kids'!H253</f>
        <v>0</v>
      </c>
      <c r="I247" s="97">
        <f>'Orderformular Color Kids'!I253</f>
        <v>0</v>
      </c>
      <c r="J247" s="97">
        <f>'Orderformular Color Kids'!J253</f>
        <v>0</v>
      </c>
      <c r="K247" s="97">
        <f>'Orderformular Color Kids'!K253</f>
        <v>0</v>
      </c>
      <c r="L247" s="97">
        <f>'Orderformular Color Kids'!L253</f>
        <v>0</v>
      </c>
      <c r="M247" s="97">
        <f>'Orderformular Color Kids'!M253</f>
        <v>0</v>
      </c>
      <c r="N247" s="97">
        <f>'Orderformular Color Kids'!N253</f>
        <v>0</v>
      </c>
      <c r="O247" s="97">
        <f>'Orderformular Color Kids'!O253</f>
        <v>0</v>
      </c>
      <c r="P247" s="97">
        <f>'Orderformular Color Kids'!P253</f>
        <v>0</v>
      </c>
      <c r="Q247" s="97">
        <f>'Orderformular Color Kids'!Q253</f>
        <v>0</v>
      </c>
      <c r="R247" s="97">
        <f>'Orderformular Color Kids'!R253</f>
        <v>0</v>
      </c>
      <c r="S247" s="98">
        <f t="shared" si="3"/>
        <v>0</v>
      </c>
      <c r="T247" s="109">
        <f>'Orderformular Color Kids'!U253</f>
        <v>23.9</v>
      </c>
    </row>
    <row r="248" spans="1:20" ht="15" customHeight="1" x14ac:dyDescent="0.25">
      <c r="A248" s="110">
        <f>'Orderformular Color Kids'!A254</f>
        <v>743065</v>
      </c>
      <c r="B248" s="106" t="str">
        <f>'Orderformular Color Kids'!B254</f>
        <v>Anonymized Item 254</v>
      </c>
      <c r="C248" s="106" t="str">
        <f>'Orderformular Color Kids'!C254</f>
        <v>Anonymized 1919 Phantom</v>
      </c>
      <c r="D248" s="108" t="str">
        <f>'Orderformular Color Kids'!D254</f>
        <v>Kids</v>
      </c>
      <c r="E248" s="97">
        <f>'Orderformular Color Kids'!E254</f>
        <v>0</v>
      </c>
      <c r="F248" s="97">
        <f>'Orderformular Color Kids'!F254</f>
        <v>0</v>
      </c>
      <c r="G248" s="97">
        <f>'Orderformular Color Kids'!G254</f>
        <v>0</v>
      </c>
      <c r="H248" s="97">
        <f>'Orderformular Color Kids'!H254</f>
        <v>0</v>
      </c>
      <c r="I248" s="97">
        <f>'Orderformular Color Kids'!I254</f>
        <v>0</v>
      </c>
      <c r="J248" s="97">
        <f>'Orderformular Color Kids'!J254</f>
        <v>0</v>
      </c>
      <c r="K248" s="97">
        <f>'Orderformular Color Kids'!K254</f>
        <v>0</v>
      </c>
      <c r="L248" s="97">
        <f>'Orderformular Color Kids'!L254</f>
        <v>0</v>
      </c>
      <c r="M248" s="97">
        <f>'Orderformular Color Kids'!M254</f>
        <v>0</v>
      </c>
      <c r="N248" s="97">
        <f>'Orderformular Color Kids'!N254</f>
        <v>0</v>
      </c>
      <c r="O248" s="97">
        <f>'Orderformular Color Kids'!O254</f>
        <v>0</v>
      </c>
      <c r="P248" s="97">
        <f>'Orderformular Color Kids'!P254</f>
        <v>0</v>
      </c>
      <c r="Q248" s="97">
        <f>'Orderformular Color Kids'!Q254</f>
        <v>0</v>
      </c>
      <c r="R248" s="97">
        <f>'Orderformular Color Kids'!R254</f>
        <v>0</v>
      </c>
      <c r="S248" s="98">
        <f t="shared" si="3"/>
        <v>0</v>
      </c>
      <c r="T248" s="109">
        <f>'Orderformular Color Kids'!U254</f>
        <v>79.900000000000006</v>
      </c>
    </row>
    <row r="249" spans="1:20" ht="15" customHeight="1" x14ac:dyDescent="0.25">
      <c r="A249" s="110">
        <f>'Orderformular Color Kids'!A255</f>
        <v>743065</v>
      </c>
      <c r="B249" s="106" t="str">
        <f>'Orderformular Color Kids'!B255</f>
        <v>Anonymized Item 255</v>
      </c>
      <c r="C249" s="106" t="str">
        <f>'Orderformular Color Kids'!C255</f>
        <v>Anonymized 2159 Seagrass</v>
      </c>
      <c r="D249" s="108" t="str">
        <f>'Orderformular Color Kids'!D255</f>
        <v>Kids</v>
      </c>
      <c r="E249" s="97">
        <f>'Orderformular Color Kids'!E255</f>
        <v>0</v>
      </c>
      <c r="F249" s="97">
        <f>'Orderformular Color Kids'!F255</f>
        <v>0</v>
      </c>
      <c r="G249" s="97">
        <f>'Orderformular Color Kids'!G255</f>
        <v>0</v>
      </c>
      <c r="H249" s="97">
        <f>'Orderformular Color Kids'!H255</f>
        <v>0</v>
      </c>
      <c r="I249" s="97">
        <f>'Orderformular Color Kids'!I255</f>
        <v>0</v>
      </c>
      <c r="J249" s="97">
        <f>'Orderformular Color Kids'!J255</f>
        <v>0</v>
      </c>
      <c r="K249" s="97">
        <f>'Orderformular Color Kids'!K255</f>
        <v>0</v>
      </c>
      <c r="L249" s="97">
        <f>'Orderformular Color Kids'!L255</f>
        <v>0</v>
      </c>
      <c r="M249" s="97">
        <f>'Orderformular Color Kids'!M255</f>
        <v>0</v>
      </c>
      <c r="N249" s="97">
        <f>'Orderformular Color Kids'!N255</f>
        <v>0</v>
      </c>
      <c r="O249" s="97">
        <f>'Orderformular Color Kids'!O255</f>
        <v>0</v>
      </c>
      <c r="P249" s="97">
        <f>'Orderformular Color Kids'!P255</f>
        <v>0</v>
      </c>
      <c r="Q249" s="97">
        <f>'Orderformular Color Kids'!Q255</f>
        <v>0</v>
      </c>
      <c r="R249" s="97">
        <f>'Orderformular Color Kids'!R255</f>
        <v>0</v>
      </c>
      <c r="S249" s="98">
        <f t="shared" si="3"/>
        <v>0</v>
      </c>
      <c r="T249" s="109">
        <f>'Orderformular Color Kids'!U255</f>
        <v>79.900000000000006</v>
      </c>
    </row>
    <row r="250" spans="1:20" ht="15" customHeight="1" x14ac:dyDescent="0.25">
      <c r="A250" s="110">
        <f>'Orderformular Color Kids'!A256</f>
        <v>743065</v>
      </c>
      <c r="B250" s="106" t="str">
        <f>'Orderformular Color Kids'!B256</f>
        <v>Anonymized Item 256</v>
      </c>
      <c r="C250" s="106" t="str">
        <f>'Orderformular Color Kids'!C256</f>
        <v>Anonymized 2160 Coca Mocha</v>
      </c>
      <c r="D250" s="108" t="str">
        <f>'Orderformular Color Kids'!D256</f>
        <v>Kids</v>
      </c>
      <c r="E250" s="97">
        <f>'Orderformular Color Kids'!E256</f>
        <v>0</v>
      </c>
      <c r="F250" s="97">
        <f>'Orderformular Color Kids'!F256</f>
        <v>0</v>
      </c>
      <c r="G250" s="97">
        <f>'Orderformular Color Kids'!G256</f>
        <v>0</v>
      </c>
      <c r="H250" s="97">
        <f>'Orderformular Color Kids'!H256</f>
        <v>0</v>
      </c>
      <c r="I250" s="97">
        <f>'Orderformular Color Kids'!I256</f>
        <v>0</v>
      </c>
      <c r="J250" s="97">
        <f>'Orderformular Color Kids'!J256</f>
        <v>0</v>
      </c>
      <c r="K250" s="97">
        <f>'Orderformular Color Kids'!K256</f>
        <v>0</v>
      </c>
      <c r="L250" s="97">
        <f>'Orderformular Color Kids'!L256</f>
        <v>0</v>
      </c>
      <c r="M250" s="97">
        <f>'Orderformular Color Kids'!M256</f>
        <v>0</v>
      </c>
      <c r="N250" s="97">
        <f>'Orderformular Color Kids'!N256</f>
        <v>0</v>
      </c>
      <c r="O250" s="97">
        <f>'Orderformular Color Kids'!O256</f>
        <v>0</v>
      </c>
      <c r="P250" s="97">
        <f>'Orderformular Color Kids'!P256</f>
        <v>0</v>
      </c>
      <c r="Q250" s="97">
        <f>'Orderformular Color Kids'!Q256</f>
        <v>0</v>
      </c>
      <c r="R250" s="97">
        <f>'Orderformular Color Kids'!R256</f>
        <v>0</v>
      </c>
      <c r="S250" s="98">
        <f t="shared" si="3"/>
        <v>0</v>
      </c>
      <c r="T250" s="109">
        <f>'Orderformular Color Kids'!U256</f>
        <v>79.900000000000006</v>
      </c>
    </row>
    <row r="251" spans="1:20" ht="15" customHeight="1" x14ac:dyDescent="0.25">
      <c r="A251" s="110">
        <f>'Orderformular Color Kids'!A257</f>
        <v>743068</v>
      </c>
      <c r="B251" s="106" t="str">
        <f>'Orderformular Color Kids'!B257</f>
        <v>Anonymized Item 257</v>
      </c>
      <c r="C251" s="106" t="str">
        <f>'Orderformular Color Kids'!C257</f>
        <v>Anonymized 7334 Persian Jewel</v>
      </c>
      <c r="D251" s="108" t="str">
        <f>'Orderformular Color Kids'!D257</f>
        <v>Kids</v>
      </c>
      <c r="E251" s="97">
        <f>'Orderformular Color Kids'!E257</f>
        <v>0</v>
      </c>
      <c r="F251" s="97">
        <f>'Orderformular Color Kids'!F257</f>
        <v>0</v>
      </c>
      <c r="G251" s="97">
        <f>'Orderformular Color Kids'!G257</f>
        <v>0</v>
      </c>
      <c r="H251" s="97">
        <f>'Orderformular Color Kids'!H257</f>
        <v>0</v>
      </c>
      <c r="I251" s="97">
        <f>'Orderformular Color Kids'!I257</f>
        <v>0</v>
      </c>
      <c r="J251" s="97">
        <f>'Orderformular Color Kids'!J257</f>
        <v>0</v>
      </c>
      <c r="K251" s="97">
        <f>'Orderformular Color Kids'!K257</f>
        <v>0</v>
      </c>
      <c r="L251" s="97">
        <f>'Orderformular Color Kids'!L257</f>
        <v>0</v>
      </c>
      <c r="M251" s="97">
        <f>'Orderformular Color Kids'!M257</f>
        <v>0</v>
      </c>
      <c r="N251" s="97">
        <f>'Orderformular Color Kids'!N257</f>
        <v>0</v>
      </c>
      <c r="O251" s="97">
        <f>'Orderformular Color Kids'!O257</f>
        <v>0</v>
      </c>
      <c r="P251" s="97">
        <f>'Orderformular Color Kids'!P257</f>
        <v>0</v>
      </c>
      <c r="Q251" s="97">
        <f>'Orderformular Color Kids'!Q257</f>
        <v>0</v>
      </c>
      <c r="R251" s="97">
        <f>'Orderformular Color Kids'!R257</f>
        <v>0</v>
      </c>
      <c r="S251" s="98">
        <f t="shared" si="3"/>
        <v>0</v>
      </c>
      <c r="T251" s="109">
        <f>'Orderformular Color Kids'!U257</f>
        <v>79.900000000000006</v>
      </c>
    </row>
    <row r="252" spans="1:20" ht="15" customHeight="1" x14ac:dyDescent="0.25">
      <c r="A252" s="110">
        <f>'Orderformular Color Kids'!A258</f>
        <v>743069</v>
      </c>
      <c r="B252" s="106" t="str">
        <f>'Orderformular Color Kids'!B258</f>
        <v>Anonymized Item 258</v>
      </c>
      <c r="C252" s="106" t="str">
        <f>'Orderformular Color Kids'!C258</f>
        <v>Anonymized 1108 Castle Wall</v>
      </c>
      <c r="D252" s="108" t="str">
        <f>'Orderformular Color Kids'!D258</f>
        <v>Kids</v>
      </c>
      <c r="E252" s="97">
        <f>'Orderformular Color Kids'!E258</f>
        <v>0</v>
      </c>
      <c r="F252" s="97">
        <f>'Orderformular Color Kids'!F258</f>
        <v>0</v>
      </c>
      <c r="G252" s="97">
        <f>'Orderformular Color Kids'!G258</f>
        <v>0</v>
      </c>
      <c r="H252" s="97">
        <f>'Orderformular Color Kids'!H258</f>
        <v>0</v>
      </c>
      <c r="I252" s="97">
        <f>'Orderformular Color Kids'!I258</f>
        <v>0</v>
      </c>
      <c r="J252" s="97">
        <f>'Orderformular Color Kids'!J258</f>
        <v>0</v>
      </c>
      <c r="K252" s="97">
        <f>'Orderformular Color Kids'!K258</f>
        <v>0</v>
      </c>
      <c r="L252" s="97">
        <f>'Orderformular Color Kids'!L258</f>
        <v>0</v>
      </c>
      <c r="M252" s="97">
        <f>'Orderformular Color Kids'!M258</f>
        <v>0</v>
      </c>
      <c r="N252" s="97">
        <f>'Orderformular Color Kids'!N258</f>
        <v>0</v>
      </c>
      <c r="O252" s="97">
        <f>'Orderformular Color Kids'!O258</f>
        <v>0</v>
      </c>
      <c r="P252" s="97">
        <f>'Orderformular Color Kids'!P258</f>
        <v>0</v>
      </c>
      <c r="Q252" s="97">
        <f>'Orderformular Color Kids'!Q258</f>
        <v>0</v>
      </c>
      <c r="R252" s="97">
        <f>'Orderformular Color Kids'!R258</f>
        <v>0</v>
      </c>
      <c r="S252" s="98">
        <f t="shared" si="3"/>
        <v>0</v>
      </c>
      <c r="T252" s="109">
        <f>'Orderformular Color Kids'!U258</f>
        <v>69.900000000000006</v>
      </c>
    </row>
    <row r="253" spans="1:20" ht="15" customHeight="1" x14ac:dyDescent="0.25">
      <c r="A253" s="110">
        <f>'Orderformular Color Kids'!A259</f>
        <v>743073</v>
      </c>
      <c r="B253" s="106" t="str">
        <f>'Orderformular Color Kids'!B259</f>
        <v>Anonymized Item 259</v>
      </c>
      <c r="C253" s="106" t="str">
        <f>'Orderformular Color Kids'!C259</f>
        <v>Anonymized 6685 Violet Tulle</v>
      </c>
      <c r="D253" s="108" t="str">
        <f>'Orderformular Color Kids'!D259</f>
        <v>Kids</v>
      </c>
      <c r="E253" s="97">
        <f>'Orderformular Color Kids'!E259</f>
        <v>0</v>
      </c>
      <c r="F253" s="97">
        <f>'Orderformular Color Kids'!F259</f>
        <v>0</v>
      </c>
      <c r="G253" s="97">
        <f>'Orderformular Color Kids'!G259</f>
        <v>0</v>
      </c>
      <c r="H253" s="97">
        <f>'Orderformular Color Kids'!H259</f>
        <v>0</v>
      </c>
      <c r="I253" s="97">
        <f>'Orderformular Color Kids'!I259</f>
        <v>0</v>
      </c>
      <c r="J253" s="97">
        <f>'Orderformular Color Kids'!J259</f>
        <v>0</v>
      </c>
      <c r="K253" s="97">
        <f>'Orderformular Color Kids'!K259</f>
        <v>0</v>
      </c>
      <c r="L253" s="97">
        <f>'Orderformular Color Kids'!L259</f>
        <v>0</v>
      </c>
      <c r="M253" s="97">
        <f>'Orderformular Color Kids'!M259</f>
        <v>0</v>
      </c>
      <c r="N253" s="97">
        <f>'Orderformular Color Kids'!N259</f>
        <v>0</v>
      </c>
      <c r="O253" s="97">
        <f>'Orderformular Color Kids'!O259</f>
        <v>0</v>
      </c>
      <c r="P253" s="97">
        <f>'Orderformular Color Kids'!P259</f>
        <v>0</v>
      </c>
      <c r="Q253" s="97">
        <f>'Orderformular Color Kids'!Q259</f>
        <v>0</v>
      </c>
      <c r="R253" s="97">
        <f>'Orderformular Color Kids'!R259</f>
        <v>0</v>
      </c>
      <c r="S253" s="98">
        <f t="shared" si="3"/>
        <v>0</v>
      </c>
      <c r="T253" s="109">
        <f>'Orderformular Color Kids'!U259</f>
        <v>69.900000000000006</v>
      </c>
    </row>
    <row r="254" spans="1:20" ht="15" customHeight="1" x14ac:dyDescent="0.25">
      <c r="A254" s="110">
        <f>'Orderformular Color Kids'!A260</f>
        <v>743073</v>
      </c>
      <c r="B254" s="106" t="str">
        <f>'Orderformular Color Kids'!B260</f>
        <v>Anonymized Item 260</v>
      </c>
      <c r="C254" s="106" t="str">
        <f>'Orderformular Color Kids'!C260</f>
        <v>Anonymized 7880 Surf The Web</v>
      </c>
      <c r="D254" s="108" t="str">
        <f>'Orderformular Color Kids'!D260</f>
        <v>Kids</v>
      </c>
      <c r="E254" s="97">
        <f>'Orderformular Color Kids'!E260</f>
        <v>0</v>
      </c>
      <c r="F254" s="97">
        <f>'Orderformular Color Kids'!F260</f>
        <v>0</v>
      </c>
      <c r="G254" s="97">
        <f>'Orderformular Color Kids'!G260</f>
        <v>0</v>
      </c>
      <c r="H254" s="97">
        <f>'Orderformular Color Kids'!H260</f>
        <v>0</v>
      </c>
      <c r="I254" s="97">
        <f>'Orderformular Color Kids'!I260</f>
        <v>0</v>
      </c>
      <c r="J254" s="97">
        <f>'Orderformular Color Kids'!J260</f>
        <v>0</v>
      </c>
      <c r="K254" s="97">
        <f>'Orderformular Color Kids'!K260</f>
        <v>0</v>
      </c>
      <c r="L254" s="97">
        <f>'Orderformular Color Kids'!L260</f>
        <v>0</v>
      </c>
      <c r="M254" s="97">
        <f>'Orderformular Color Kids'!M260</f>
        <v>0</v>
      </c>
      <c r="N254" s="97">
        <f>'Orderformular Color Kids'!N260</f>
        <v>0</v>
      </c>
      <c r="O254" s="97">
        <f>'Orderformular Color Kids'!O260</f>
        <v>0</v>
      </c>
      <c r="P254" s="97">
        <f>'Orderformular Color Kids'!P260</f>
        <v>0</v>
      </c>
      <c r="Q254" s="97">
        <f>'Orderformular Color Kids'!Q260</f>
        <v>0</v>
      </c>
      <c r="R254" s="97">
        <f>'Orderformular Color Kids'!R260</f>
        <v>0</v>
      </c>
      <c r="S254" s="98">
        <f t="shared" si="3"/>
        <v>0</v>
      </c>
      <c r="T254" s="109">
        <f>'Orderformular Color Kids'!U260</f>
        <v>69.900000000000006</v>
      </c>
    </row>
    <row r="255" spans="1:20" ht="15" customHeight="1" x14ac:dyDescent="0.25">
      <c r="A255" s="110">
        <f>'Orderformular Color Kids'!A261</f>
        <v>743073</v>
      </c>
      <c r="B255" s="106" t="str">
        <f>'Orderformular Color Kids'!B261</f>
        <v>Anonymized Item 261</v>
      </c>
      <c r="C255" s="106" t="str">
        <f>'Orderformular Color Kids'!C261</f>
        <v xml:space="preserve">Anonymized 9153 Kalamata </v>
      </c>
      <c r="D255" s="108" t="str">
        <f>'Orderformular Color Kids'!D261</f>
        <v>Kids</v>
      </c>
      <c r="E255" s="97">
        <f>'Orderformular Color Kids'!E261</f>
        <v>0</v>
      </c>
      <c r="F255" s="97">
        <f>'Orderformular Color Kids'!F261</f>
        <v>0</v>
      </c>
      <c r="G255" s="97">
        <f>'Orderformular Color Kids'!G261</f>
        <v>0</v>
      </c>
      <c r="H255" s="97">
        <f>'Orderformular Color Kids'!H261</f>
        <v>0</v>
      </c>
      <c r="I255" s="97">
        <f>'Orderformular Color Kids'!I261</f>
        <v>0</v>
      </c>
      <c r="J255" s="97">
        <f>'Orderformular Color Kids'!J261</f>
        <v>0</v>
      </c>
      <c r="K255" s="97">
        <f>'Orderformular Color Kids'!K261</f>
        <v>0</v>
      </c>
      <c r="L255" s="97">
        <f>'Orderformular Color Kids'!L261</f>
        <v>0</v>
      </c>
      <c r="M255" s="97">
        <f>'Orderformular Color Kids'!M261</f>
        <v>0</v>
      </c>
      <c r="N255" s="97">
        <f>'Orderformular Color Kids'!N261</f>
        <v>0</v>
      </c>
      <c r="O255" s="97">
        <f>'Orderformular Color Kids'!O261</f>
        <v>0</v>
      </c>
      <c r="P255" s="97">
        <f>'Orderformular Color Kids'!P261</f>
        <v>0</v>
      </c>
      <c r="Q255" s="97">
        <f>'Orderformular Color Kids'!Q261</f>
        <v>0</v>
      </c>
      <c r="R255" s="97">
        <f>'Orderformular Color Kids'!R261</f>
        <v>0</v>
      </c>
      <c r="S255" s="98">
        <f t="shared" si="3"/>
        <v>0</v>
      </c>
      <c r="T255" s="109">
        <f>'Orderformular Color Kids'!U261</f>
        <v>69.900000000000006</v>
      </c>
    </row>
    <row r="256" spans="1:20" ht="15" customHeight="1" x14ac:dyDescent="0.25">
      <c r="A256" s="110">
        <f>'Orderformular Color Kids'!A262</f>
        <v>743077</v>
      </c>
      <c r="B256" s="106" t="str">
        <f>'Orderformular Color Kids'!B262</f>
        <v>Anonymized Item 262</v>
      </c>
      <c r="C256" s="106" t="str">
        <f>'Orderformular Color Kids'!C262</f>
        <v>Anonymized 7334 Persian Jewel</v>
      </c>
      <c r="D256" s="108" t="str">
        <f>'Orderformular Color Kids'!D262</f>
        <v>Kids</v>
      </c>
      <c r="E256" s="97">
        <f>'Orderformular Color Kids'!E262</f>
        <v>0</v>
      </c>
      <c r="F256" s="97">
        <f>'Orderformular Color Kids'!F262</f>
        <v>0</v>
      </c>
      <c r="G256" s="97">
        <f>'Orderformular Color Kids'!G262</f>
        <v>0</v>
      </c>
      <c r="H256" s="97">
        <f>'Orderformular Color Kids'!H262</f>
        <v>0</v>
      </c>
      <c r="I256" s="97">
        <f>'Orderformular Color Kids'!I262</f>
        <v>0</v>
      </c>
      <c r="J256" s="97">
        <f>'Orderformular Color Kids'!J262</f>
        <v>0</v>
      </c>
      <c r="K256" s="97">
        <f>'Orderformular Color Kids'!K262</f>
        <v>0</v>
      </c>
      <c r="L256" s="97">
        <f>'Orderformular Color Kids'!L262</f>
        <v>0</v>
      </c>
      <c r="M256" s="97">
        <f>'Orderformular Color Kids'!M262</f>
        <v>0</v>
      </c>
      <c r="N256" s="97">
        <f>'Orderformular Color Kids'!N262</f>
        <v>0</v>
      </c>
      <c r="O256" s="97">
        <f>'Orderformular Color Kids'!O262</f>
        <v>0</v>
      </c>
      <c r="P256" s="97">
        <f>'Orderformular Color Kids'!P262</f>
        <v>0</v>
      </c>
      <c r="Q256" s="97">
        <f>'Orderformular Color Kids'!Q262</f>
        <v>0</v>
      </c>
      <c r="R256" s="97">
        <f>'Orderformular Color Kids'!R262</f>
        <v>0</v>
      </c>
      <c r="S256" s="98">
        <f t="shared" si="3"/>
        <v>0</v>
      </c>
      <c r="T256" s="109">
        <f>'Orderformular Color Kids'!U262</f>
        <v>69.900000000000006</v>
      </c>
    </row>
    <row r="257" spans="1:20" ht="15" customHeight="1" x14ac:dyDescent="0.25">
      <c r="A257" s="110">
        <f>'Orderformular Color Kids'!A263</f>
        <v>743077</v>
      </c>
      <c r="B257" s="106" t="str">
        <f>'Orderformular Color Kids'!B263</f>
        <v>Anonymized Item 263</v>
      </c>
      <c r="C257" s="106" t="str">
        <f>'Orderformular Color Kids'!C263</f>
        <v>Anonymized 7850 Total Eclipse</v>
      </c>
      <c r="D257" s="108" t="str">
        <f>'Orderformular Color Kids'!D263</f>
        <v>Kids</v>
      </c>
      <c r="E257" s="97">
        <f>'Orderformular Color Kids'!E263</f>
        <v>0</v>
      </c>
      <c r="F257" s="97">
        <f>'Orderformular Color Kids'!F263</f>
        <v>0</v>
      </c>
      <c r="G257" s="97">
        <f>'Orderformular Color Kids'!G263</f>
        <v>0</v>
      </c>
      <c r="H257" s="97">
        <f>'Orderformular Color Kids'!H263</f>
        <v>0</v>
      </c>
      <c r="I257" s="97">
        <f>'Orderformular Color Kids'!I263</f>
        <v>0</v>
      </c>
      <c r="J257" s="97">
        <f>'Orderformular Color Kids'!J263</f>
        <v>0</v>
      </c>
      <c r="K257" s="97">
        <f>'Orderformular Color Kids'!K263</f>
        <v>0</v>
      </c>
      <c r="L257" s="97">
        <f>'Orderformular Color Kids'!L263</f>
        <v>0</v>
      </c>
      <c r="M257" s="97">
        <f>'Orderformular Color Kids'!M263</f>
        <v>0</v>
      </c>
      <c r="N257" s="97">
        <f>'Orderformular Color Kids'!N263</f>
        <v>0</v>
      </c>
      <c r="O257" s="97">
        <f>'Orderformular Color Kids'!O263</f>
        <v>0</v>
      </c>
      <c r="P257" s="97">
        <f>'Orderformular Color Kids'!P263</f>
        <v>0</v>
      </c>
      <c r="Q257" s="97">
        <f>'Orderformular Color Kids'!Q263</f>
        <v>0</v>
      </c>
      <c r="R257" s="97">
        <f>'Orderformular Color Kids'!R263</f>
        <v>0</v>
      </c>
      <c r="S257" s="98">
        <f t="shared" si="3"/>
        <v>0</v>
      </c>
      <c r="T257" s="109">
        <f>'Orderformular Color Kids'!U263</f>
        <v>69.900000000000006</v>
      </c>
    </row>
    <row r="258" spans="1:20" ht="15" customHeight="1" x14ac:dyDescent="0.25">
      <c r="A258" s="110">
        <f>'Orderformular Color Kids'!A264</f>
        <v>743079</v>
      </c>
      <c r="B258" s="106" t="str">
        <f>'Orderformular Color Kids'!B264</f>
        <v>Anonymized Item 264</v>
      </c>
      <c r="C258" s="106" t="str">
        <f>'Orderformular Color Kids'!C264</f>
        <v>Anonymized 3431 Peach Sorbet</v>
      </c>
      <c r="D258" s="108" t="str">
        <f>'Orderformular Color Kids'!D264</f>
        <v>Kids</v>
      </c>
      <c r="E258" s="97">
        <f>'Orderformular Color Kids'!E264</f>
        <v>0</v>
      </c>
      <c r="F258" s="97">
        <f>'Orderformular Color Kids'!F264</f>
        <v>0</v>
      </c>
      <c r="G258" s="97">
        <f>'Orderformular Color Kids'!G264</f>
        <v>0</v>
      </c>
      <c r="H258" s="97">
        <f>'Orderformular Color Kids'!H264</f>
        <v>0</v>
      </c>
      <c r="I258" s="97">
        <f>'Orderformular Color Kids'!I264</f>
        <v>0</v>
      </c>
      <c r="J258" s="97">
        <f>'Orderformular Color Kids'!J264</f>
        <v>0</v>
      </c>
      <c r="K258" s="97">
        <f>'Orderformular Color Kids'!K264</f>
        <v>0</v>
      </c>
      <c r="L258" s="97">
        <f>'Orderformular Color Kids'!L264</f>
        <v>0</v>
      </c>
      <c r="M258" s="97">
        <f>'Orderformular Color Kids'!M264</f>
        <v>0</v>
      </c>
      <c r="N258" s="97">
        <f>'Orderformular Color Kids'!N264</f>
        <v>0</v>
      </c>
      <c r="O258" s="97">
        <f>'Orderformular Color Kids'!O264</f>
        <v>0</v>
      </c>
      <c r="P258" s="97">
        <f>'Orderformular Color Kids'!P264</f>
        <v>0</v>
      </c>
      <c r="Q258" s="97">
        <f>'Orderformular Color Kids'!Q264</f>
        <v>0</v>
      </c>
      <c r="R258" s="97">
        <f>'Orderformular Color Kids'!R264</f>
        <v>0</v>
      </c>
      <c r="S258" s="98">
        <f t="shared" si="3"/>
        <v>0</v>
      </c>
      <c r="T258" s="109">
        <f>'Orderformular Color Kids'!U264</f>
        <v>69.900000000000006</v>
      </c>
    </row>
    <row r="259" spans="1:20" ht="15" customHeight="1" x14ac:dyDescent="0.25">
      <c r="A259" s="110">
        <f>'Orderformular Color Kids'!A265</f>
        <v>743079</v>
      </c>
      <c r="B259" s="106" t="str">
        <f>'Orderformular Color Kids'!B265</f>
        <v>Anonymized Item 265</v>
      </c>
      <c r="C259" s="106" t="str">
        <f>'Orderformular Color Kids'!C265</f>
        <v>Anonymized 7334 Persian Jewel</v>
      </c>
      <c r="D259" s="108" t="str">
        <f>'Orderformular Color Kids'!D265</f>
        <v>Kids</v>
      </c>
      <c r="E259" s="97">
        <f>'Orderformular Color Kids'!E265</f>
        <v>0</v>
      </c>
      <c r="F259" s="97">
        <f>'Orderformular Color Kids'!F265</f>
        <v>0</v>
      </c>
      <c r="G259" s="97">
        <f>'Orderformular Color Kids'!G265</f>
        <v>0</v>
      </c>
      <c r="H259" s="97">
        <f>'Orderformular Color Kids'!H265</f>
        <v>0</v>
      </c>
      <c r="I259" s="97">
        <f>'Orderformular Color Kids'!I265</f>
        <v>0</v>
      </c>
      <c r="J259" s="97">
        <f>'Orderformular Color Kids'!J265</f>
        <v>0</v>
      </c>
      <c r="K259" s="97">
        <f>'Orderformular Color Kids'!K265</f>
        <v>0</v>
      </c>
      <c r="L259" s="97">
        <f>'Orderformular Color Kids'!L265</f>
        <v>0</v>
      </c>
      <c r="M259" s="97">
        <f>'Orderformular Color Kids'!M265</f>
        <v>0</v>
      </c>
      <c r="N259" s="97">
        <f>'Orderformular Color Kids'!N265</f>
        <v>0</v>
      </c>
      <c r="O259" s="97">
        <f>'Orderformular Color Kids'!O265</f>
        <v>0</v>
      </c>
      <c r="P259" s="97">
        <f>'Orderformular Color Kids'!P265</f>
        <v>0</v>
      </c>
      <c r="Q259" s="97">
        <f>'Orderformular Color Kids'!Q265</f>
        <v>0</v>
      </c>
      <c r="R259" s="97">
        <f>'Orderformular Color Kids'!R265</f>
        <v>0</v>
      </c>
      <c r="S259" s="98">
        <f t="shared" si="3"/>
        <v>0</v>
      </c>
      <c r="T259" s="109">
        <f>'Orderformular Color Kids'!U265</f>
        <v>69.900000000000006</v>
      </c>
    </row>
    <row r="260" spans="1:20" ht="15" customHeight="1" x14ac:dyDescent="0.25">
      <c r="A260" s="110">
        <f>'Orderformular Color Kids'!A266</f>
        <v>743079</v>
      </c>
      <c r="B260" s="106" t="str">
        <f>'Orderformular Color Kids'!B266</f>
        <v>Anonymized Item 266</v>
      </c>
      <c r="C260" s="106" t="str">
        <f>'Orderformular Color Kids'!C266</f>
        <v>Anonymized 7880 Surf The Web</v>
      </c>
      <c r="D260" s="108" t="str">
        <f>'Orderformular Color Kids'!D266</f>
        <v>Kids</v>
      </c>
      <c r="E260" s="97">
        <f>'Orderformular Color Kids'!E266</f>
        <v>0</v>
      </c>
      <c r="F260" s="97">
        <f>'Orderformular Color Kids'!F266</f>
        <v>0</v>
      </c>
      <c r="G260" s="97">
        <f>'Orderformular Color Kids'!G266</f>
        <v>0</v>
      </c>
      <c r="H260" s="97">
        <f>'Orderformular Color Kids'!H266</f>
        <v>0</v>
      </c>
      <c r="I260" s="97">
        <f>'Orderformular Color Kids'!I266</f>
        <v>0</v>
      </c>
      <c r="J260" s="97">
        <f>'Orderformular Color Kids'!J266</f>
        <v>0</v>
      </c>
      <c r="K260" s="97">
        <f>'Orderformular Color Kids'!K266</f>
        <v>0</v>
      </c>
      <c r="L260" s="97">
        <f>'Orderformular Color Kids'!L266</f>
        <v>0</v>
      </c>
      <c r="M260" s="97">
        <f>'Orderformular Color Kids'!M266</f>
        <v>0</v>
      </c>
      <c r="N260" s="97">
        <f>'Orderformular Color Kids'!N266</f>
        <v>0</v>
      </c>
      <c r="O260" s="97">
        <f>'Orderformular Color Kids'!O266</f>
        <v>0</v>
      </c>
      <c r="P260" s="97">
        <f>'Orderformular Color Kids'!P266</f>
        <v>0</v>
      </c>
      <c r="Q260" s="97">
        <f>'Orderformular Color Kids'!Q266</f>
        <v>0</v>
      </c>
      <c r="R260" s="97">
        <f>'Orderformular Color Kids'!R266</f>
        <v>0</v>
      </c>
      <c r="S260" s="98">
        <f t="shared" si="3"/>
        <v>0</v>
      </c>
      <c r="T260" s="109">
        <f>'Orderformular Color Kids'!U266</f>
        <v>69.900000000000006</v>
      </c>
    </row>
    <row r="261" spans="1:20" ht="15" customHeight="1" x14ac:dyDescent="0.25">
      <c r="A261" s="110">
        <f>'Orderformular Color Kids'!A267</f>
        <v>743079</v>
      </c>
      <c r="B261" s="106" t="str">
        <f>'Orderformular Color Kids'!B267</f>
        <v>Anonymized Item 267</v>
      </c>
      <c r="C261" s="106" t="str">
        <f>'Orderformular Color Kids'!C267</f>
        <v xml:space="preserve">Anonymized 9153 Kalamata </v>
      </c>
      <c r="D261" s="108" t="str">
        <f>'Orderformular Color Kids'!D267</f>
        <v>Kids</v>
      </c>
      <c r="E261" s="97">
        <f>'Orderformular Color Kids'!E267</f>
        <v>0</v>
      </c>
      <c r="F261" s="97">
        <f>'Orderformular Color Kids'!F267</f>
        <v>1</v>
      </c>
      <c r="G261" s="97">
        <f>'Orderformular Color Kids'!G267</f>
        <v>1</v>
      </c>
      <c r="H261" s="97">
        <f>'Orderformular Color Kids'!H267</f>
        <v>1</v>
      </c>
      <c r="I261" s="97">
        <f>'Orderformular Color Kids'!I267</f>
        <v>1</v>
      </c>
      <c r="J261" s="97">
        <f>'Orderformular Color Kids'!J267</f>
        <v>1</v>
      </c>
      <c r="K261" s="97">
        <f>'Orderformular Color Kids'!K267</f>
        <v>1</v>
      </c>
      <c r="L261" s="97">
        <f>'Orderformular Color Kids'!L267</f>
        <v>0</v>
      </c>
      <c r="M261" s="97">
        <f>'Orderformular Color Kids'!M267</f>
        <v>1</v>
      </c>
      <c r="N261" s="97">
        <f>'Orderformular Color Kids'!N267</f>
        <v>0</v>
      </c>
      <c r="O261" s="97">
        <f>'Orderformular Color Kids'!O267</f>
        <v>0</v>
      </c>
      <c r="P261" s="97">
        <f>'Orderformular Color Kids'!P267</f>
        <v>0</v>
      </c>
      <c r="Q261" s="97">
        <f>'Orderformular Color Kids'!Q267</f>
        <v>0</v>
      </c>
      <c r="R261" s="97">
        <f>'Orderformular Color Kids'!R267</f>
        <v>0</v>
      </c>
      <c r="S261" s="98">
        <f t="shared" si="3"/>
        <v>7</v>
      </c>
      <c r="T261" s="109">
        <f>'Orderformular Color Kids'!U267</f>
        <v>69.900000000000006</v>
      </c>
    </row>
    <row r="262" spans="1:20" ht="15" customHeight="1" x14ac:dyDescent="0.25">
      <c r="A262" s="110">
        <f>'Orderformular Color Kids'!A268</f>
        <v>743087</v>
      </c>
      <c r="B262" s="106" t="str">
        <f>'Orderformular Color Kids'!B268</f>
        <v>Anonymized Item 268</v>
      </c>
      <c r="C262" s="106" t="str">
        <f>'Orderformular Color Kids'!C268</f>
        <v>Anonymized 3257 Sun Orange</v>
      </c>
      <c r="D262" s="108" t="str">
        <f>'Orderformular Color Kids'!D268</f>
        <v>Kids</v>
      </c>
      <c r="E262" s="97">
        <f>'Orderformular Color Kids'!E268</f>
        <v>0</v>
      </c>
      <c r="F262" s="97">
        <f>'Orderformular Color Kids'!F268</f>
        <v>0</v>
      </c>
      <c r="G262" s="97">
        <f>'Orderformular Color Kids'!G268</f>
        <v>0</v>
      </c>
      <c r="H262" s="97">
        <f>'Orderformular Color Kids'!H268</f>
        <v>0</v>
      </c>
      <c r="I262" s="97">
        <f>'Orderformular Color Kids'!I268</f>
        <v>0</v>
      </c>
      <c r="J262" s="97">
        <f>'Orderformular Color Kids'!J268</f>
        <v>0</v>
      </c>
      <c r="K262" s="97">
        <f>'Orderformular Color Kids'!K268</f>
        <v>0</v>
      </c>
      <c r="L262" s="97">
        <f>'Orderformular Color Kids'!L268</f>
        <v>0</v>
      </c>
      <c r="M262" s="97">
        <f>'Orderformular Color Kids'!M268</f>
        <v>0</v>
      </c>
      <c r="N262" s="97">
        <f>'Orderformular Color Kids'!N268</f>
        <v>0</v>
      </c>
      <c r="O262" s="97">
        <f>'Orderformular Color Kids'!O268</f>
        <v>0</v>
      </c>
      <c r="P262" s="97">
        <f>'Orderformular Color Kids'!P268</f>
        <v>0</v>
      </c>
      <c r="Q262" s="97">
        <f>'Orderformular Color Kids'!Q268</f>
        <v>0</v>
      </c>
      <c r="R262" s="97">
        <f>'Orderformular Color Kids'!R268</f>
        <v>0</v>
      </c>
      <c r="S262" s="98">
        <f t="shared" si="3"/>
        <v>0</v>
      </c>
      <c r="T262" s="109">
        <f>'Orderformular Color Kids'!U268</f>
        <v>45.9</v>
      </c>
    </row>
    <row r="263" spans="1:20" ht="15" customHeight="1" x14ac:dyDescent="0.25">
      <c r="A263" s="110">
        <f>'Orderformular Color Kids'!A269</f>
        <v>743087</v>
      </c>
      <c r="B263" s="106" t="str">
        <f>'Orderformular Color Kids'!B269</f>
        <v>Anonymized Item 269</v>
      </c>
      <c r="C263" s="106" t="str">
        <f>'Orderformular Color Kids'!C269</f>
        <v>Anonymized 5381 Pink Glo</v>
      </c>
      <c r="D263" s="108" t="str">
        <f>'Orderformular Color Kids'!D269</f>
        <v>Kids</v>
      </c>
      <c r="E263" s="97">
        <f>'Orderformular Color Kids'!E269</f>
        <v>0</v>
      </c>
      <c r="F263" s="97">
        <f>'Orderformular Color Kids'!F269</f>
        <v>0</v>
      </c>
      <c r="G263" s="97">
        <f>'Orderformular Color Kids'!G269</f>
        <v>0</v>
      </c>
      <c r="H263" s="97">
        <f>'Orderformular Color Kids'!H269</f>
        <v>0</v>
      </c>
      <c r="I263" s="97">
        <f>'Orderformular Color Kids'!I269</f>
        <v>0</v>
      </c>
      <c r="J263" s="97">
        <f>'Orderformular Color Kids'!J269</f>
        <v>0</v>
      </c>
      <c r="K263" s="97">
        <f>'Orderformular Color Kids'!K269</f>
        <v>0</v>
      </c>
      <c r="L263" s="97">
        <f>'Orderformular Color Kids'!L269</f>
        <v>0</v>
      </c>
      <c r="M263" s="97">
        <f>'Orderformular Color Kids'!M269</f>
        <v>0</v>
      </c>
      <c r="N263" s="97">
        <f>'Orderformular Color Kids'!N269</f>
        <v>0</v>
      </c>
      <c r="O263" s="97">
        <f>'Orderformular Color Kids'!O269</f>
        <v>0</v>
      </c>
      <c r="P263" s="97">
        <f>'Orderformular Color Kids'!P269</f>
        <v>0</v>
      </c>
      <c r="Q263" s="97">
        <f>'Orderformular Color Kids'!Q269</f>
        <v>0</v>
      </c>
      <c r="R263" s="97">
        <f>'Orderformular Color Kids'!R269</f>
        <v>0</v>
      </c>
      <c r="S263" s="98">
        <f t="shared" si="3"/>
        <v>0</v>
      </c>
      <c r="T263" s="109">
        <f>'Orderformular Color Kids'!U269</f>
        <v>45.9</v>
      </c>
    </row>
    <row r="264" spans="1:20" ht="15" customHeight="1" x14ac:dyDescent="0.25">
      <c r="A264" s="110">
        <f>'Orderformular Color Kids'!A270</f>
        <v>743087</v>
      </c>
      <c r="B264" s="106" t="str">
        <f>'Orderformular Color Kids'!B270</f>
        <v>Anonymized Item 270</v>
      </c>
      <c r="C264" s="106" t="str">
        <f>'Orderformular Color Kids'!C270</f>
        <v>Anonymized 7334 Persian Jewel</v>
      </c>
      <c r="D264" s="108" t="str">
        <f>'Orderformular Color Kids'!D270</f>
        <v>Kids</v>
      </c>
      <c r="E264" s="97">
        <f>'Orderformular Color Kids'!E270</f>
        <v>0</v>
      </c>
      <c r="F264" s="97">
        <f>'Orderformular Color Kids'!F270</f>
        <v>0</v>
      </c>
      <c r="G264" s="97">
        <f>'Orderformular Color Kids'!G270</f>
        <v>0</v>
      </c>
      <c r="H264" s="97">
        <f>'Orderformular Color Kids'!H270</f>
        <v>0</v>
      </c>
      <c r="I264" s="97">
        <f>'Orderformular Color Kids'!I270</f>
        <v>0</v>
      </c>
      <c r="J264" s="97">
        <f>'Orderformular Color Kids'!J270</f>
        <v>0</v>
      </c>
      <c r="K264" s="97">
        <f>'Orderformular Color Kids'!K270</f>
        <v>0</v>
      </c>
      <c r="L264" s="97">
        <f>'Orderformular Color Kids'!L270</f>
        <v>0</v>
      </c>
      <c r="M264" s="97">
        <f>'Orderformular Color Kids'!M270</f>
        <v>0</v>
      </c>
      <c r="N264" s="97">
        <f>'Orderformular Color Kids'!N270</f>
        <v>0</v>
      </c>
      <c r="O264" s="97">
        <f>'Orderformular Color Kids'!O270</f>
        <v>0</v>
      </c>
      <c r="P264" s="97">
        <f>'Orderformular Color Kids'!P270</f>
        <v>0</v>
      </c>
      <c r="Q264" s="97">
        <f>'Orderformular Color Kids'!Q270</f>
        <v>0</v>
      </c>
      <c r="R264" s="97">
        <f>'Orderformular Color Kids'!R270</f>
        <v>0</v>
      </c>
      <c r="S264" s="98">
        <f t="shared" si="3"/>
        <v>0</v>
      </c>
      <c r="T264" s="109">
        <f>'Orderformular Color Kids'!U270</f>
        <v>45.9</v>
      </c>
    </row>
    <row r="265" spans="1:20" ht="15" customHeight="1" x14ac:dyDescent="0.25">
      <c r="A265" s="110">
        <f>'Orderformular Color Kids'!A271</f>
        <v>743087</v>
      </c>
      <c r="B265" s="106" t="str">
        <f>'Orderformular Color Kids'!B271</f>
        <v>Anonymized Item 271</v>
      </c>
      <c r="C265" s="106" t="str">
        <f>'Orderformular Color Kids'!C271</f>
        <v>Anonymized 7850 Total Eclipse</v>
      </c>
      <c r="D265" s="108" t="str">
        <f>'Orderformular Color Kids'!D271</f>
        <v>Kids</v>
      </c>
      <c r="E265" s="97">
        <f>'Orderformular Color Kids'!E271</f>
        <v>0</v>
      </c>
      <c r="F265" s="97">
        <f>'Orderformular Color Kids'!F271</f>
        <v>0</v>
      </c>
      <c r="G265" s="97">
        <f>'Orderformular Color Kids'!G271</f>
        <v>0</v>
      </c>
      <c r="H265" s="97">
        <f>'Orderformular Color Kids'!H271</f>
        <v>0</v>
      </c>
      <c r="I265" s="97">
        <f>'Orderformular Color Kids'!I271</f>
        <v>0</v>
      </c>
      <c r="J265" s="97">
        <f>'Orderformular Color Kids'!J271</f>
        <v>0</v>
      </c>
      <c r="K265" s="97">
        <f>'Orderformular Color Kids'!K271</f>
        <v>0</v>
      </c>
      <c r="L265" s="97">
        <f>'Orderformular Color Kids'!L271</f>
        <v>0</v>
      </c>
      <c r="M265" s="97">
        <f>'Orderformular Color Kids'!M271</f>
        <v>0</v>
      </c>
      <c r="N265" s="97">
        <f>'Orderformular Color Kids'!N271</f>
        <v>0</v>
      </c>
      <c r="O265" s="97">
        <f>'Orderformular Color Kids'!O271</f>
        <v>0</v>
      </c>
      <c r="P265" s="97">
        <f>'Orderformular Color Kids'!P271</f>
        <v>0</v>
      </c>
      <c r="Q265" s="97">
        <f>'Orderformular Color Kids'!Q271</f>
        <v>0</v>
      </c>
      <c r="R265" s="97">
        <f>'Orderformular Color Kids'!R271</f>
        <v>0</v>
      </c>
      <c r="S265" s="98">
        <f t="shared" si="3"/>
        <v>0</v>
      </c>
      <c r="T265" s="109">
        <f>'Orderformular Color Kids'!U271</f>
        <v>45.9</v>
      </c>
    </row>
    <row r="266" spans="1:20" ht="15" customHeight="1" x14ac:dyDescent="0.25">
      <c r="A266" s="110">
        <f>'Orderformular Color Kids'!A272</f>
        <v>743087</v>
      </c>
      <c r="B266" s="106" t="str">
        <f>'Orderformular Color Kids'!B272</f>
        <v>Anonymized Item 272</v>
      </c>
      <c r="C266" s="106" t="str">
        <f>'Orderformular Color Kids'!C272</f>
        <v>Anonymized 7880 Surf The Web</v>
      </c>
      <c r="D266" s="108" t="str">
        <f>'Orderformular Color Kids'!D272</f>
        <v>Kids</v>
      </c>
      <c r="E266" s="97">
        <f>'Orderformular Color Kids'!E272</f>
        <v>0</v>
      </c>
      <c r="F266" s="97">
        <f>'Orderformular Color Kids'!F272</f>
        <v>0</v>
      </c>
      <c r="G266" s="97">
        <f>'Orderformular Color Kids'!G272</f>
        <v>0</v>
      </c>
      <c r="H266" s="97">
        <f>'Orderformular Color Kids'!H272</f>
        <v>0</v>
      </c>
      <c r="I266" s="97">
        <f>'Orderformular Color Kids'!I272</f>
        <v>0</v>
      </c>
      <c r="J266" s="97">
        <f>'Orderformular Color Kids'!J272</f>
        <v>0</v>
      </c>
      <c r="K266" s="97">
        <f>'Orderformular Color Kids'!K272</f>
        <v>0</v>
      </c>
      <c r="L266" s="97">
        <f>'Orderformular Color Kids'!L272</f>
        <v>0</v>
      </c>
      <c r="M266" s="97">
        <f>'Orderformular Color Kids'!M272</f>
        <v>0</v>
      </c>
      <c r="N266" s="97">
        <f>'Orderformular Color Kids'!N272</f>
        <v>0</v>
      </c>
      <c r="O266" s="97">
        <f>'Orderformular Color Kids'!O272</f>
        <v>0</v>
      </c>
      <c r="P266" s="97">
        <f>'Orderformular Color Kids'!P272</f>
        <v>0</v>
      </c>
      <c r="Q266" s="97">
        <f>'Orderformular Color Kids'!Q272</f>
        <v>0</v>
      </c>
      <c r="R266" s="97">
        <f>'Orderformular Color Kids'!R272</f>
        <v>0</v>
      </c>
      <c r="S266" s="98">
        <f t="shared" si="3"/>
        <v>0</v>
      </c>
      <c r="T266" s="109">
        <f>'Orderformular Color Kids'!U272</f>
        <v>45.9</v>
      </c>
    </row>
    <row r="267" spans="1:20" ht="15" customHeight="1" x14ac:dyDescent="0.25">
      <c r="A267" s="110">
        <f>'Orderformular Color Kids'!A273</f>
        <v>743091</v>
      </c>
      <c r="B267" s="106" t="str">
        <f>'Orderformular Color Kids'!B273</f>
        <v>Anonymized Item 273</v>
      </c>
      <c r="C267" s="106" t="str">
        <f>'Orderformular Color Kids'!C273</f>
        <v>Anonymized 2159 Seagrass</v>
      </c>
      <c r="D267" s="108" t="str">
        <f>'Orderformular Color Kids'!D273</f>
        <v>Kids</v>
      </c>
      <c r="E267" s="97">
        <f>'Orderformular Color Kids'!E273</f>
        <v>0</v>
      </c>
      <c r="F267" s="97">
        <f>'Orderformular Color Kids'!F273</f>
        <v>0</v>
      </c>
      <c r="G267" s="97">
        <f>'Orderformular Color Kids'!G273</f>
        <v>0</v>
      </c>
      <c r="H267" s="97">
        <f>'Orderformular Color Kids'!H273</f>
        <v>0</v>
      </c>
      <c r="I267" s="97">
        <f>'Orderformular Color Kids'!I273</f>
        <v>0</v>
      </c>
      <c r="J267" s="97">
        <f>'Orderformular Color Kids'!J273</f>
        <v>0</v>
      </c>
      <c r="K267" s="97">
        <f>'Orderformular Color Kids'!K273</f>
        <v>0</v>
      </c>
      <c r="L267" s="97">
        <f>'Orderformular Color Kids'!L273</f>
        <v>0</v>
      </c>
      <c r="M267" s="97">
        <f>'Orderformular Color Kids'!M273</f>
        <v>0</v>
      </c>
      <c r="N267" s="97">
        <f>'Orderformular Color Kids'!N273</f>
        <v>0</v>
      </c>
      <c r="O267" s="97">
        <f>'Orderformular Color Kids'!O273</f>
        <v>0</v>
      </c>
      <c r="P267" s="97">
        <f>'Orderformular Color Kids'!P273</f>
        <v>0</v>
      </c>
      <c r="Q267" s="97">
        <f>'Orderformular Color Kids'!Q273</f>
        <v>0</v>
      </c>
      <c r="R267" s="97">
        <f>'Orderformular Color Kids'!R273</f>
        <v>0</v>
      </c>
      <c r="S267" s="98">
        <f t="shared" si="3"/>
        <v>0</v>
      </c>
      <c r="T267" s="109">
        <f>'Orderformular Color Kids'!U273</f>
        <v>45.9</v>
      </c>
    </row>
    <row r="268" spans="1:20" ht="15" customHeight="1" x14ac:dyDescent="0.25">
      <c r="A268" s="110">
        <f>'Orderformular Color Kids'!A274</f>
        <v>743091</v>
      </c>
      <c r="B268" s="106" t="str">
        <f>'Orderformular Color Kids'!B274</f>
        <v>Anonymized Item 274</v>
      </c>
      <c r="C268" s="106" t="str">
        <f>'Orderformular Color Kids'!C274</f>
        <v>Anonymized 6685 Violet Tulle</v>
      </c>
      <c r="D268" s="108" t="str">
        <f>'Orderformular Color Kids'!D274</f>
        <v>Kids</v>
      </c>
      <c r="E268" s="97">
        <f>'Orderformular Color Kids'!E274</f>
        <v>0</v>
      </c>
      <c r="F268" s="97">
        <f>'Orderformular Color Kids'!F274</f>
        <v>0</v>
      </c>
      <c r="G268" s="97">
        <f>'Orderformular Color Kids'!G274</f>
        <v>0</v>
      </c>
      <c r="H268" s="97">
        <f>'Orderformular Color Kids'!H274</f>
        <v>0</v>
      </c>
      <c r="I268" s="97">
        <f>'Orderformular Color Kids'!I274</f>
        <v>0</v>
      </c>
      <c r="J268" s="97">
        <f>'Orderformular Color Kids'!J274</f>
        <v>0</v>
      </c>
      <c r="K268" s="97">
        <f>'Orderformular Color Kids'!K274</f>
        <v>0</v>
      </c>
      <c r="L268" s="97">
        <f>'Orderformular Color Kids'!L274</f>
        <v>0</v>
      </c>
      <c r="M268" s="97">
        <f>'Orderformular Color Kids'!M274</f>
        <v>0</v>
      </c>
      <c r="N268" s="97">
        <f>'Orderformular Color Kids'!N274</f>
        <v>0</v>
      </c>
      <c r="O268" s="97">
        <f>'Orderformular Color Kids'!O274</f>
        <v>0</v>
      </c>
      <c r="P268" s="97">
        <f>'Orderformular Color Kids'!P274</f>
        <v>0</v>
      </c>
      <c r="Q268" s="97">
        <f>'Orderformular Color Kids'!Q274</f>
        <v>0</v>
      </c>
      <c r="R268" s="97">
        <f>'Orderformular Color Kids'!R274</f>
        <v>0</v>
      </c>
      <c r="S268" s="98">
        <f t="shared" ref="S268:S331" si="4">SUM(E268:R268)</f>
        <v>0</v>
      </c>
      <c r="T268" s="109">
        <f>'Orderformular Color Kids'!U274</f>
        <v>45.9</v>
      </c>
    </row>
    <row r="269" spans="1:20" ht="15" customHeight="1" x14ac:dyDescent="0.25">
      <c r="A269" s="110">
        <f>'Orderformular Color Kids'!A275</f>
        <v>743093</v>
      </c>
      <c r="B269" s="106" t="str">
        <f>'Orderformular Color Kids'!B275</f>
        <v>Anonymized Item 275</v>
      </c>
      <c r="C269" s="106" t="str">
        <f>'Orderformular Color Kids'!C275</f>
        <v>Anonymized 3257 Sun Orange</v>
      </c>
      <c r="D269" s="108" t="str">
        <f>'Orderformular Color Kids'!D275</f>
        <v>Kids</v>
      </c>
      <c r="E269" s="97">
        <f>'Orderformular Color Kids'!E275</f>
        <v>0</v>
      </c>
      <c r="F269" s="97">
        <f>'Orderformular Color Kids'!F275</f>
        <v>0</v>
      </c>
      <c r="G269" s="97">
        <f>'Orderformular Color Kids'!G275</f>
        <v>0</v>
      </c>
      <c r="H269" s="97">
        <f>'Orderformular Color Kids'!H275</f>
        <v>0</v>
      </c>
      <c r="I269" s="97">
        <f>'Orderformular Color Kids'!I275</f>
        <v>0</v>
      </c>
      <c r="J269" s="97">
        <f>'Orderformular Color Kids'!J275</f>
        <v>0</v>
      </c>
      <c r="K269" s="97">
        <f>'Orderformular Color Kids'!K275</f>
        <v>0</v>
      </c>
      <c r="L269" s="97">
        <f>'Orderformular Color Kids'!L275</f>
        <v>0</v>
      </c>
      <c r="M269" s="97">
        <f>'Orderformular Color Kids'!M275</f>
        <v>0</v>
      </c>
      <c r="N269" s="97">
        <f>'Orderformular Color Kids'!N275</f>
        <v>0</v>
      </c>
      <c r="O269" s="97">
        <f>'Orderformular Color Kids'!O275</f>
        <v>0</v>
      </c>
      <c r="P269" s="97">
        <f>'Orderformular Color Kids'!P275</f>
        <v>0</v>
      </c>
      <c r="Q269" s="97">
        <f>'Orderformular Color Kids'!Q275</f>
        <v>0</v>
      </c>
      <c r="R269" s="97">
        <f>'Orderformular Color Kids'!R275</f>
        <v>0</v>
      </c>
      <c r="S269" s="98">
        <f t="shared" si="4"/>
        <v>0</v>
      </c>
      <c r="T269" s="109">
        <f>'Orderformular Color Kids'!U275</f>
        <v>43.9</v>
      </c>
    </row>
    <row r="270" spans="1:20" ht="15" customHeight="1" x14ac:dyDescent="0.25">
      <c r="A270" s="110">
        <f>'Orderformular Color Kids'!A276</f>
        <v>743093</v>
      </c>
      <c r="B270" s="106" t="str">
        <f>'Orderformular Color Kids'!B276</f>
        <v>Anonymized Item 276</v>
      </c>
      <c r="C270" s="106" t="str">
        <f>'Orderformular Color Kids'!C276</f>
        <v>Anonymized 5381 Pink Glo</v>
      </c>
      <c r="D270" s="108" t="str">
        <f>'Orderformular Color Kids'!D276</f>
        <v>Kids</v>
      </c>
      <c r="E270" s="97">
        <f>'Orderformular Color Kids'!E276</f>
        <v>0</v>
      </c>
      <c r="F270" s="97">
        <f>'Orderformular Color Kids'!F276</f>
        <v>0</v>
      </c>
      <c r="G270" s="97">
        <f>'Orderformular Color Kids'!G276</f>
        <v>0</v>
      </c>
      <c r="H270" s="97">
        <f>'Orderformular Color Kids'!H276</f>
        <v>0</v>
      </c>
      <c r="I270" s="97">
        <f>'Orderformular Color Kids'!I276</f>
        <v>0</v>
      </c>
      <c r="J270" s="97">
        <f>'Orderformular Color Kids'!J276</f>
        <v>0</v>
      </c>
      <c r="K270" s="97">
        <f>'Orderformular Color Kids'!K276</f>
        <v>0</v>
      </c>
      <c r="L270" s="97">
        <f>'Orderformular Color Kids'!L276</f>
        <v>0</v>
      </c>
      <c r="M270" s="97">
        <f>'Orderformular Color Kids'!M276</f>
        <v>0</v>
      </c>
      <c r="N270" s="97">
        <f>'Orderformular Color Kids'!N276</f>
        <v>0</v>
      </c>
      <c r="O270" s="97">
        <f>'Orderformular Color Kids'!O276</f>
        <v>0</v>
      </c>
      <c r="P270" s="97">
        <f>'Orderformular Color Kids'!P276</f>
        <v>0</v>
      </c>
      <c r="Q270" s="97">
        <f>'Orderformular Color Kids'!Q276</f>
        <v>0</v>
      </c>
      <c r="R270" s="97">
        <f>'Orderformular Color Kids'!R276</f>
        <v>0</v>
      </c>
      <c r="S270" s="98">
        <f t="shared" si="4"/>
        <v>0</v>
      </c>
      <c r="T270" s="109">
        <f>'Orderformular Color Kids'!U276</f>
        <v>43.9</v>
      </c>
    </row>
    <row r="271" spans="1:20" ht="15" customHeight="1" x14ac:dyDescent="0.25">
      <c r="A271" s="110">
        <f>'Orderformular Color Kids'!A277</f>
        <v>743093</v>
      </c>
      <c r="B271" s="106" t="str">
        <f>'Orderformular Color Kids'!B277</f>
        <v>Anonymized Item 277</v>
      </c>
      <c r="C271" s="106" t="str">
        <f>'Orderformular Color Kids'!C277</f>
        <v>Anonymized 7334 Persian Jewel</v>
      </c>
      <c r="D271" s="108" t="str">
        <f>'Orderformular Color Kids'!D277</f>
        <v>Kids</v>
      </c>
      <c r="E271" s="97">
        <f>'Orderformular Color Kids'!E277</f>
        <v>0</v>
      </c>
      <c r="F271" s="97">
        <f>'Orderformular Color Kids'!F277</f>
        <v>0</v>
      </c>
      <c r="G271" s="97">
        <f>'Orderformular Color Kids'!G277</f>
        <v>0</v>
      </c>
      <c r="H271" s="97">
        <f>'Orderformular Color Kids'!H277</f>
        <v>0</v>
      </c>
      <c r="I271" s="97">
        <f>'Orderformular Color Kids'!I277</f>
        <v>0</v>
      </c>
      <c r="J271" s="97">
        <f>'Orderformular Color Kids'!J277</f>
        <v>0</v>
      </c>
      <c r="K271" s="97">
        <f>'Orderformular Color Kids'!K277</f>
        <v>0</v>
      </c>
      <c r="L271" s="97">
        <f>'Orderformular Color Kids'!L277</f>
        <v>0</v>
      </c>
      <c r="M271" s="97">
        <f>'Orderformular Color Kids'!M277</f>
        <v>0</v>
      </c>
      <c r="N271" s="97">
        <f>'Orderformular Color Kids'!N277</f>
        <v>0</v>
      </c>
      <c r="O271" s="97">
        <f>'Orderformular Color Kids'!O277</f>
        <v>0</v>
      </c>
      <c r="P271" s="97">
        <f>'Orderformular Color Kids'!P277</f>
        <v>0</v>
      </c>
      <c r="Q271" s="97">
        <f>'Orderformular Color Kids'!Q277</f>
        <v>0</v>
      </c>
      <c r="R271" s="97">
        <f>'Orderformular Color Kids'!R277</f>
        <v>0</v>
      </c>
      <c r="S271" s="98">
        <f t="shared" si="4"/>
        <v>0</v>
      </c>
      <c r="T271" s="109">
        <f>'Orderformular Color Kids'!U277</f>
        <v>43.9</v>
      </c>
    </row>
    <row r="272" spans="1:20" ht="15" customHeight="1" x14ac:dyDescent="0.25">
      <c r="A272" s="110">
        <f>'Orderformular Color Kids'!A278</f>
        <v>743093</v>
      </c>
      <c r="B272" s="106" t="str">
        <f>'Orderformular Color Kids'!B278</f>
        <v>Anonymized Item 278</v>
      </c>
      <c r="C272" s="106" t="str">
        <f>'Orderformular Color Kids'!C278</f>
        <v>Anonymized 7850 Total Eclipse</v>
      </c>
      <c r="D272" s="108" t="str">
        <f>'Orderformular Color Kids'!D278</f>
        <v>Kids</v>
      </c>
      <c r="E272" s="97">
        <f>'Orderformular Color Kids'!E278</f>
        <v>0</v>
      </c>
      <c r="F272" s="97">
        <f>'Orderformular Color Kids'!F278</f>
        <v>0</v>
      </c>
      <c r="G272" s="97">
        <f>'Orderformular Color Kids'!G278</f>
        <v>0</v>
      </c>
      <c r="H272" s="97">
        <f>'Orderformular Color Kids'!H278</f>
        <v>0</v>
      </c>
      <c r="I272" s="97">
        <f>'Orderformular Color Kids'!I278</f>
        <v>0</v>
      </c>
      <c r="J272" s="97">
        <f>'Orderformular Color Kids'!J278</f>
        <v>0</v>
      </c>
      <c r="K272" s="97">
        <f>'Orderformular Color Kids'!K278</f>
        <v>0</v>
      </c>
      <c r="L272" s="97">
        <f>'Orderformular Color Kids'!L278</f>
        <v>0</v>
      </c>
      <c r="M272" s="97">
        <f>'Orderformular Color Kids'!M278</f>
        <v>0</v>
      </c>
      <c r="N272" s="97">
        <f>'Orderformular Color Kids'!N278</f>
        <v>0</v>
      </c>
      <c r="O272" s="97">
        <f>'Orderformular Color Kids'!O278</f>
        <v>0</v>
      </c>
      <c r="P272" s="97">
        <f>'Orderformular Color Kids'!P278</f>
        <v>0</v>
      </c>
      <c r="Q272" s="97">
        <f>'Orderformular Color Kids'!Q278</f>
        <v>0</v>
      </c>
      <c r="R272" s="97">
        <f>'Orderformular Color Kids'!R278</f>
        <v>0</v>
      </c>
      <c r="S272" s="98">
        <f t="shared" si="4"/>
        <v>0</v>
      </c>
      <c r="T272" s="109">
        <f>'Orderformular Color Kids'!U278</f>
        <v>43.9</v>
      </c>
    </row>
    <row r="273" spans="1:20" ht="15" customHeight="1" x14ac:dyDescent="0.25">
      <c r="A273" s="110">
        <f>'Orderformular Color Kids'!A279</f>
        <v>743093</v>
      </c>
      <c r="B273" s="106" t="str">
        <f>'Orderformular Color Kids'!B279</f>
        <v>Anonymized Item 279</v>
      </c>
      <c r="C273" s="106" t="str">
        <f>'Orderformular Color Kids'!C279</f>
        <v>Anonymized 7880 Surf The Web</v>
      </c>
      <c r="D273" s="108" t="str">
        <f>'Orderformular Color Kids'!D279</f>
        <v>Kids</v>
      </c>
      <c r="E273" s="97">
        <f>'Orderformular Color Kids'!E279</f>
        <v>0</v>
      </c>
      <c r="F273" s="97">
        <f>'Orderformular Color Kids'!F279</f>
        <v>0</v>
      </c>
      <c r="G273" s="97">
        <f>'Orderformular Color Kids'!G279</f>
        <v>0</v>
      </c>
      <c r="H273" s="97">
        <f>'Orderformular Color Kids'!H279</f>
        <v>0</v>
      </c>
      <c r="I273" s="97">
        <f>'Orderformular Color Kids'!I279</f>
        <v>0</v>
      </c>
      <c r="J273" s="97">
        <f>'Orderformular Color Kids'!J279</f>
        <v>0</v>
      </c>
      <c r="K273" s="97">
        <f>'Orderformular Color Kids'!K279</f>
        <v>0</v>
      </c>
      <c r="L273" s="97">
        <f>'Orderformular Color Kids'!L279</f>
        <v>0</v>
      </c>
      <c r="M273" s="97">
        <f>'Orderformular Color Kids'!M279</f>
        <v>0</v>
      </c>
      <c r="N273" s="97">
        <f>'Orderformular Color Kids'!N279</f>
        <v>0</v>
      </c>
      <c r="O273" s="97">
        <f>'Orderformular Color Kids'!O279</f>
        <v>0</v>
      </c>
      <c r="P273" s="97">
        <f>'Orderformular Color Kids'!P279</f>
        <v>0</v>
      </c>
      <c r="Q273" s="97">
        <f>'Orderformular Color Kids'!Q279</f>
        <v>0</v>
      </c>
      <c r="R273" s="97">
        <f>'Orderformular Color Kids'!R279</f>
        <v>0</v>
      </c>
      <c r="S273" s="98">
        <f t="shared" si="4"/>
        <v>0</v>
      </c>
      <c r="T273" s="109">
        <f>'Orderformular Color Kids'!U279</f>
        <v>43.9</v>
      </c>
    </row>
    <row r="274" spans="1:20" ht="15" customHeight="1" x14ac:dyDescent="0.25">
      <c r="A274" s="110">
        <f>'Orderformular Color Kids'!A280</f>
        <v>743097</v>
      </c>
      <c r="B274" s="106" t="str">
        <f>'Orderformular Color Kids'!B280</f>
        <v>Anonymized Item 280</v>
      </c>
      <c r="C274" s="106" t="str">
        <f>'Orderformular Color Kids'!C280</f>
        <v>Anonymized 2159 Seagrass</v>
      </c>
      <c r="D274" s="108" t="str">
        <f>'Orderformular Color Kids'!D280</f>
        <v>Kids</v>
      </c>
      <c r="E274" s="97">
        <f>'Orderformular Color Kids'!E280</f>
        <v>0</v>
      </c>
      <c r="F274" s="97">
        <f>'Orderformular Color Kids'!F280</f>
        <v>0</v>
      </c>
      <c r="G274" s="97">
        <f>'Orderformular Color Kids'!G280</f>
        <v>1</v>
      </c>
      <c r="H274" s="97">
        <f>'Orderformular Color Kids'!H280</f>
        <v>1</v>
      </c>
      <c r="I274" s="97">
        <f>'Orderformular Color Kids'!I280</f>
        <v>1</v>
      </c>
      <c r="J274" s="97">
        <f>'Orderformular Color Kids'!J280</f>
        <v>1</v>
      </c>
      <c r="K274" s="97">
        <f>'Orderformular Color Kids'!K280</f>
        <v>1</v>
      </c>
      <c r="L274" s="97">
        <f>'Orderformular Color Kids'!L280</f>
        <v>0</v>
      </c>
      <c r="M274" s="97">
        <f>'Orderformular Color Kids'!M280</f>
        <v>1</v>
      </c>
      <c r="N274" s="97">
        <f>'Orderformular Color Kids'!N280</f>
        <v>0</v>
      </c>
      <c r="O274" s="97">
        <f>'Orderformular Color Kids'!O280</f>
        <v>0</v>
      </c>
      <c r="P274" s="97">
        <f>'Orderformular Color Kids'!P280</f>
        <v>0</v>
      </c>
      <c r="Q274" s="97">
        <f>'Orderformular Color Kids'!Q280</f>
        <v>0</v>
      </c>
      <c r="R274" s="97">
        <f>'Orderformular Color Kids'!R280</f>
        <v>0</v>
      </c>
      <c r="S274" s="98">
        <f t="shared" si="4"/>
        <v>6</v>
      </c>
      <c r="T274" s="109">
        <f>'Orderformular Color Kids'!U280</f>
        <v>69.900000000000006</v>
      </c>
    </row>
    <row r="275" spans="1:20" ht="15" customHeight="1" x14ac:dyDescent="0.25">
      <c r="A275" s="110">
        <f>'Orderformular Color Kids'!A281</f>
        <v>743097</v>
      </c>
      <c r="B275" s="106" t="str">
        <f>'Orderformular Color Kids'!B281</f>
        <v>Anonymized Item 281</v>
      </c>
      <c r="C275" s="106" t="str">
        <f>'Orderformular Color Kids'!C281</f>
        <v>Anonymized 6685 Violet Tulle</v>
      </c>
      <c r="D275" s="108" t="str">
        <f>'Orderformular Color Kids'!D281</f>
        <v>Kids</v>
      </c>
      <c r="E275" s="97">
        <f>'Orderformular Color Kids'!E281</f>
        <v>0</v>
      </c>
      <c r="F275" s="97">
        <f>'Orderformular Color Kids'!F281</f>
        <v>0</v>
      </c>
      <c r="G275" s="97">
        <f>'Orderformular Color Kids'!G281</f>
        <v>1</v>
      </c>
      <c r="H275" s="97">
        <f>'Orderformular Color Kids'!H281</f>
        <v>1</v>
      </c>
      <c r="I275" s="97">
        <f>'Orderformular Color Kids'!I281</f>
        <v>1</v>
      </c>
      <c r="J275" s="97">
        <f>'Orderformular Color Kids'!J281</f>
        <v>1</v>
      </c>
      <c r="K275" s="97">
        <f>'Orderformular Color Kids'!K281</f>
        <v>1</v>
      </c>
      <c r="L275" s="97">
        <f>'Orderformular Color Kids'!L281</f>
        <v>0</v>
      </c>
      <c r="M275" s="97">
        <f>'Orderformular Color Kids'!M281</f>
        <v>1</v>
      </c>
      <c r="N275" s="97">
        <f>'Orderformular Color Kids'!N281</f>
        <v>0</v>
      </c>
      <c r="O275" s="97">
        <f>'Orderformular Color Kids'!O281</f>
        <v>0</v>
      </c>
      <c r="P275" s="97">
        <f>'Orderformular Color Kids'!P281</f>
        <v>0</v>
      </c>
      <c r="Q275" s="97">
        <f>'Orderformular Color Kids'!Q281</f>
        <v>0</v>
      </c>
      <c r="R275" s="97">
        <f>'Orderformular Color Kids'!R281</f>
        <v>0</v>
      </c>
      <c r="S275" s="98">
        <f t="shared" si="4"/>
        <v>6</v>
      </c>
      <c r="T275" s="109">
        <f>'Orderformular Color Kids'!U281</f>
        <v>69.900000000000006</v>
      </c>
    </row>
    <row r="276" spans="1:20" ht="15" customHeight="1" x14ac:dyDescent="0.25">
      <c r="A276" s="110">
        <f>'Orderformular Color Kids'!A282</f>
        <v>743097</v>
      </c>
      <c r="B276" s="106" t="str">
        <f>'Orderformular Color Kids'!B282</f>
        <v>Anonymized Item 282</v>
      </c>
      <c r="C276" s="106" t="str">
        <f>'Orderformular Color Kids'!C282</f>
        <v>Anonymized 7334 Persian Jewel</v>
      </c>
      <c r="D276" s="108" t="str">
        <f>'Orderformular Color Kids'!D282</f>
        <v>Kids</v>
      </c>
      <c r="E276" s="97">
        <f>'Orderformular Color Kids'!E282</f>
        <v>0</v>
      </c>
      <c r="F276" s="97">
        <f>'Orderformular Color Kids'!F282</f>
        <v>0</v>
      </c>
      <c r="G276" s="97">
        <f>'Orderformular Color Kids'!G282</f>
        <v>0</v>
      </c>
      <c r="H276" s="97">
        <f>'Orderformular Color Kids'!H282</f>
        <v>0</v>
      </c>
      <c r="I276" s="97">
        <f>'Orderformular Color Kids'!I282</f>
        <v>0</v>
      </c>
      <c r="J276" s="97">
        <f>'Orderformular Color Kids'!J282</f>
        <v>0</v>
      </c>
      <c r="K276" s="97">
        <f>'Orderformular Color Kids'!K282</f>
        <v>0</v>
      </c>
      <c r="L276" s="97">
        <f>'Orderformular Color Kids'!L282</f>
        <v>0</v>
      </c>
      <c r="M276" s="97">
        <f>'Orderformular Color Kids'!M282</f>
        <v>0</v>
      </c>
      <c r="N276" s="97">
        <f>'Orderformular Color Kids'!N282</f>
        <v>0</v>
      </c>
      <c r="O276" s="97">
        <f>'Orderformular Color Kids'!O282</f>
        <v>0</v>
      </c>
      <c r="P276" s="97">
        <f>'Orderformular Color Kids'!P282</f>
        <v>0</v>
      </c>
      <c r="Q276" s="97">
        <f>'Orderformular Color Kids'!Q282</f>
        <v>0</v>
      </c>
      <c r="R276" s="97">
        <f>'Orderformular Color Kids'!R282</f>
        <v>0</v>
      </c>
      <c r="S276" s="98">
        <f t="shared" si="4"/>
        <v>0</v>
      </c>
      <c r="T276" s="109">
        <f>'Orderformular Color Kids'!U282</f>
        <v>69.900000000000006</v>
      </c>
    </row>
    <row r="277" spans="1:20" ht="15" customHeight="1" x14ac:dyDescent="0.25">
      <c r="A277" s="110">
        <f>'Orderformular Color Kids'!A283</f>
        <v>743097</v>
      </c>
      <c r="B277" s="106" t="str">
        <f>'Orderformular Color Kids'!B283</f>
        <v>Anonymized Item 283</v>
      </c>
      <c r="C277" s="106" t="str">
        <f>'Orderformular Color Kids'!C283</f>
        <v>Anonymized 7850 Total Eclipse</v>
      </c>
      <c r="D277" s="108" t="str">
        <f>'Orderformular Color Kids'!D283</f>
        <v>Kids</v>
      </c>
      <c r="E277" s="97">
        <f>'Orderformular Color Kids'!E283</f>
        <v>0</v>
      </c>
      <c r="F277" s="97">
        <f>'Orderformular Color Kids'!F283</f>
        <v>0</v>
      </c>
      <c r="G277" s="97">
        <f>'Orderformular Color Kids'!G283</f>
        <v>0</v>
      </c>
      <c r="H277" s="97">
        <f>'Orderformular Color Kids'!H283</f>
        <v>0</v>
      </c>
      <c r="I277" s="97">
        <f>'Orderformular Color Kids'!I283</f>
        <v>0</v>
      </c>
      <c r="J277" s="97">
        <f>'Orderformular Color Kids'!J283</f>
        <v>0</v>
      </c>
      <c r="K277" s="97">
        <f>'Orderformular Color Kids'!K283</f>
        <v>0</v>
      </c>
      <c r="L277" s="97">
        <f>'Orderformular Color Kids'!L283</f>
        <v>0</v>
      </c>
      <c r="M277" s="97">
        <f>'Orderformular Color Kids'!M283</f>
        <v>0</v>
      </c>
      <c r="N277" s="97">
        <f>'Orderformular Color Kids'!N283</f>
        <v>0</v>
      </c>
      <c r="O277" s="97">
        <f>'Orderformular Color Kids'!O283</f>
        <v>0</v>
      </c>
      <c r="P277" s="97">
        <f>'Orderformular Color Kids'!P283</f>
        <v>0</v>
      </c>
      <c r="Q277" s="97">
        <f>'Orderformular Color Kids'!Q283</f>
        <v>0</v>
      </c>
      <c r="R277" s="97">
        <f>'Orderformular Color Kids'!R283</f>
        <v>0</v>
      </c>
      <c r="S277" s="98">
        <f t="shared" si="4"/>
        <v>0</v>
      </c>
      <c r="T277" s="109">
        <f>'Orderformular Color Kids'!U283</f>
        <v>69.900000000000006</v>
      </c>
    </row>
    <row r="278" spans="1:20" ht="15" customHeight="1" x14ac:dyDescent="0.25">
      <c r="A278" s="110">
        <f>'Orderformular Color Kids'!A284</f>
        <v>743097</v>
      </c>
      <c r="B278" s="106" t="str">
        <f>'Orderformular Color Kids'!B284</f>
        <v>Anonymized Item 284</v>
      </c>
      <c r="C278" s="106" t="str">
        <f>'Orderformular Color Kids'!C284</f>
        <v>Anonymized 7880 Surf The Web</v>
      </c>
      <c r="D278" s="108" t="str">
        <f>'Orderformular Color Kids'!D284</f>
        <v>Kids</v>
      </c>
      <c r="E278" s="97">
        <f>'Orderformular Color Kids'!E284</f>
        <v>0</v>
      </c>
      <c r="F278" s="97">
        <f>'Orderformular Color Kids'!F284</f>
        <v>0</v>
      </c>
      <c r="G278" s="97">
        <f>'Orderformular Color Kids'!G284</f>
        <v>0</v>
      </c>
      <c r="H278" s="97">
        <f>'Orderformular Color Kids'!H284</f>
        <v>0</v>
      </c>
      <c r="I278" s="97">
        <f>'Orderformular Color Kids'!I284</f>
        <v>0</v>
      </c>
      <c r="J278" s="97">
        <f>'Orderformular Color Kids'!J284</f>
        <v>0</v>
      </c>
      <c r="K278" s="97">
        <f>'Orderformular Color Kids'!K284</f>
        <v>0</v>
      </c>
      <c r="L278" s="97">
        <f>'Orderformular Color Kids'!L284</f>
        <v>0</v>
      </c>
      <c r="M278" s="97">
        <f>'Orderformular Color Kids'!M284</f>
        <v>0</v>
      </c>
      <c r="N278" s="97">
        <f>'Orderformular Color Kids'!N284</f>
        <v>0</v>
      </c>
      <c r="O278" s="97">
        <f>'Orderformular Color Kids'!O284</f>
        <v>0</v>
      </c>
      <c r="P278" s="97">
        <f>'Orderformular Color Kids'!P284</f>
        <v>0</v>
      </c>
      <c r="Q278" s="97">
        <f>'Orderformular Color Kids'!Q284</f>
        <v>0</v>
      </c>
      <c r="R278" s="97">
        <f>'Orderformular Color Kids'!R284</f>
        <v>0</v>
      </c>
      <c r="S278" s="98">
        <f t="shared" si="4"/>
        <v>0</v>
      </c>
      <c r="T278" s="109">
        <f>'Orderformular Color Kids'!U284</f>
        <v>69.900000000000006</v>
      </c>
    </row>
    <row r="279" spans="1:20" ht="15" customHeight="1" x14ac:dyDescent="0.25">
      <c r="A279" s="110">
        <f>'Orderformular Color Kids'!A285</f>
        <v>743098</v>
      </c>
      <c r="B279" s="106" t="str">
        <f>'Orderformular Color Kids'!B285</f>
        <v>Anonymized Item 285</v>
      </c>
      <c r="C279" s="106" t="str">
        <f>'Orderformular Color Kids'!C285</f>
        <v>Anonymized 6685 Violet Tulle</v>
      </c>
      <c r="D279" s="108" t="str">
        <f>'Orderformular Color Kids'!D285</f>
        <v>Kids</v>
      </c>
      <c r="E279" s="97">
        <f>'Orderformular Color Kids'!E285</f>
        <v>0</v>
      </c>
      <c r="F279" s="97">
        <f>'Orderformular Color Kids'!F285</f>
        <v>0</v>
      </c>
      <c r="G279" s="97">
        <f>'Orderformular Color Kids'!G285</f>
        <v>0</v>
      </c>
      <c r="H279" s="97">
        <f>'Orderformular Color Kids'!H285</f>
        <v>0</v>
      </c>
      <c r="I279" s="97">
        <f>'Orderformular Color Kids'!I285</f>
        <v>0</v>
      </c>
      <c r="J279" s="97">
        <f>'Orderformular Color Kids'!J285</f>
        <v>0</v>
      </c>
      <c r="K279" s="97">
        <f>'Orderformular Color Kids'!K285</f>
        <v>0</v>
      </c>
      <c r="L279" s="97">
        <f>'Orderformular Color Kids'!L285</f>
        <v>0</v>
      </c>
      <c r="M279" s="97">
        <f>'Orderformular Color Kids'!M285</f>
        <v>0</v>
      </c>
      <c r="N279" s="97">
        <f>'Orderformular Color Kids'!N285</f>
        <v>0</v>
      </c>
      <c r="O279" s="97">
        <f>'Orderformular Color Kids'!O285</f>
        <v>0</v>
      </c>
      <c r="P279" s="97">
        <f>'Orderformular Color Kids'!P285</f>
        <v>0</v>
      </c>
      <c r="Q279" s="97">
        <f>'Orderformular Color Kids'!Q285</f>
        <v>0</v>
      </c>
      <c r="R279" s="97">
        <f>'Orderformular Color Kids'!R285</f>
        <v>0</v>
      </c>
      <c r="S279" s="98">
        <f t="shared" si="4"/>
        <v>0</v>
      </c>
      <c r="T279" s="109">
        <f>'Orderformular Color Kids'!U285</f>
        <v>79.900000000000006</v>
      </c>
    </row>
    <row r="280" spans="1:20" ht="15" customHeight="1" x14ac:dyDescent="0.25">
      <c r="A280" s="110">
        <f>'Orderformular Color Kids'!A286</f>
        <v>743098</v>
      </c>
      <c r="B280" s="106" t="str">
        <f>'Orderformular Color Kids'!B286</f>
        <v>Anonymized Item 286</v>
      </c>
      <c r="C280" s="106" t="str">
        <f>'Orderformular Color Kids'!C286</f>
        <v>Anonymized 7334 Persian Jewel</v>
      </c>
      <c r="D280" s="108" t="str">
        <f>'Orderformular Color Kids'!D286</f>
        <v>Kids</v>
      </c>
      <c r="E280" s="97">
        <f>'Orderformular Color Kids'!E286</f>
        <v>0</v>
      </c>
      <c r="F280" s="97">
        <f>'Orderformular Color Kids'!F286</f>
        <v>0</v>
      </c>
      <c r="G280" s="97">
        <f>'Orderformular Color Kids'!G286</f>
        <v>0</v>
      </c>
      <c r="H280" s="97">
        <f>'Orderformular Color Kids'!H286</f>
        <v>0</v>
      </c>
      <c r="I280" s="97">
        <f>'Orderformular Color Kids'!I286</f>
        <v>0</v>
      </c>
      <c r="J280" s="97">
        <f>'Orderformular Color Kids'!J286</f>
        <v>0</v>
      </c>
      <c r="K280" s="97">
        <f>'Orderformular Color Kids'!K286</f>
        <v>0</v>
      </c>
      <c r="L280" s="97">
        <f>'Orderformular Color Kids'!L286</f>
        <v>0</v>
      </c>
      <c r="M280" s="97">
        <f>'Orderformular Color Kids'!M286</f>
        <v>0</v>
      </c>
      <c r="N280" s="97">
        <f>'Orderformular Color Kids'!N286</f>
        <v>0</v>
      </c>
      <c r="O280" s="97">
        <f>'Orderformular Color Kids'!O286</f>
        <v>0</v>
      </c>
      <c r="P280" s="97">
        <f>'Orderformular Color Kids'!P286</f>
        <v>0</v>
      </c>
      <c r="Q280" s="97">
        <f>'Orderformular Color Kids'!Q286</f>
        <v>0</v>
      </c>
      <c r="R280" s="97">
        <f>'Orderformular Color Kids'!R286</f>
        <v>0</v>
      </c>
      <c r="S280" s="98">
        <f t="shared" si="4"/>
        <v>0</v>
      </c>
      <c r="T280" s="109">
        <f>'Orderformular Color Kids'!U286</f>
        <v>79.900000000000006</v>
      </c>
    </row>
    <row r="281" spans="1:20" ht="15" customHeight="1" x14ac:dyDescent="0.25">
      <c r="A281" s="110">
        <f>'Orderformular Color Kids'!A287</f>
        <v>743103</v>
      </c>
      <c r="B281" s="106" t="str">
        <f>'Orderformular Color Kids'!B287</f>
        <v>Anonymized Item 287</v>
      </c>
      <c r="C281" s="106" t="str">
        <f>'Orderformular Color Kids'!C287</f>
        <v>Anonymized 7850 Total Eclipse</v>
      </c>
      <c r="D281" s="108" t="str">
        <f>'Orderformular Color Kids'!D287</f>
        <v>Kids</v>
      </c>
      <c r="E281" s="97">
        <f>'Orderformular Color Kids'!E287</f>
        <v>0</v>
      </c>
      <c r="F281" s="97">
        <f>'Orderformular Color Kids'!F287</f>
        <v>0</v>
      </c>
      <c r="G281" s="97">
        <f>'Orderformular Color Kids'!G287</f>
        <v>0</v>
      </c>
      <c r="H281" s="97">
        <f>'Orderformular Color Kids'!H287</f>
        <v>0</v>
      </c>
      <c r="I281" s="97">
        <f>'Orderformular Color Kids'!I287</f>
        <v>0</v>
      </c>
      <c r="J281" s="97">
        <f>'Orderformular Color Kids'!J287</f>
        <v>0</v>
      </c>
      <c r="K281" s="97">
        <f>'Orderformular Color Kids'!K287</f>
        <v>0</v>
      </c>
      <c r="L281" s="97">
        <f>'Orderformular Color Kids'!L287</f>
        <v>0</v>
      </c>
      <c r="M281" s="97">
        <f>'Orderformular Color Kids'!M287</f>
        <v>0</v>
      </c>
      <c r="N281" s="97">
        <f>'Orderformular Color Kids'!N287</f>
        <v>0</v>
      </c>
      <c r="O281" s="97">
        <f>'Orderformular Color Kids'!O287</f>
        <v>0</v>
      </c>
      <c r="P281" s="97">
        <f>'Orderformular Color Kids'!P287</f>
        <v>0</v>
      </c>
      <c r="Q281" s="97">
        <f>'Orderformular Color Kids'!Q287</f>
        <v>0</v>
      </c>
      <c r="R281" s="97">
        <f>'Orderformular Color Kids'!R287</f>
        <v>0</v>
      </c>
      <c r="S281" s="98">
        <f t="shared" si="4"/>
        <v>0</v>
      </c>
      <c r="T281" s="109">
        <f>'Orderformular Color Kids'!U287</f>
        <v>45.9</v>
      </c>
    </row>
    <row r="282" spans="1:20" ht="15" customHeight="1" x14ac:dyDescent="0.25">
      <c r="A282" s="110">
        <f>'Orderformular Color Kids'!A288</f>
        <v>743105</v>
      </c>
      <c r="B282" s="106" t="str">
        <f>'Orderformular Color Kids'!B288</f>
        <v>Anonymized Item 288</v>
      </c>
      <c r="C282" s="106" t="str">
        <f>'Orderformular Color Kids'!C288</f>
        <v>Anonymized 6685 Violet Tulle</v>
      </c>
      <c r="D282" s="108" t="str">
        <f>'Orderformular Color Kids'!D288</f>
        <v>Kids</v>
      </c>
      <c r="E282" s="97">
        <f>'Orderformular Color Kids'!E288</f>
        <v>0</v>
      </c>
      <c r="F282" s="97">
        <f>'Orderformular Color Kids'!F288</f>
        <v>0</v>
      </c>
      <c r="G282" s="97">
        <f>'Orderformular Color Kids'!G288</f>
        <v>0</v>
      </c>
      <c r="H282" s="97">
        <f>'Orderformular Color Kids'!H288</f>
        <v>0</v>
      </c>
      <c r="I282" s="97">
        <f>'Orderformular Color Kids'!I288</f>
        <v>0</v>
      </c>
      <c r="J282" s="97">
        <f>'Orderformular Color Kids'!J288</f>
        <v>0</v>
      </c>
      <c r="K282" s="97">
        <f>'Orderformular Color Kids'!K288</f>
        <v>0</v>
      </c>
      <c r="L282" s="97">
        <f>'Orderformular Color Kids'!L288</f>
        <v>0</v>
      </c>
      <c r="M282" s="97">
        <f>'Orderformular Color Kids'!M288</f>
        <v>0</v>
      </c>
      <c r="N282" s="97">
        <f>'Orderformular Color Kids'!N288</f>
        <v>0</v>
      </c>
      <c r="O282" s="97">
        <f>'Orderformular Color Kids'!O288</f>
        <v>0</v>
      </c>
      <c r="P282" s="97">
        <f>'Orderformular Color Kids'!P288</f>
        <v>0</v>
      </c>
      <c r="Q282" s="97">
        <f>'Orderformular Color Kids'!Q288</f>
        <v>0</v>
      </c>
      <c r="R282" s="97">
        <f>'Orderformular Color Kids'!R288</f>
        <v>0</v>
      </c>
      <c r="S282" s="98">
        <f t="shared" si="4"/>
        <v>0</v>
      </c>
      <c r="T282" s="109">
        <f>'Orderformular Color Kids'!U288</f>
        <v>59.9</v>
      </c>
    </row>
    <row r="283" spans="1:20" ht="15" customHeight="1" x14ac:dyDescent="0.25">
      <c r="A283" s="110">
        <f>'Orderformular Color Kids'!A289</f>
        <v>743105</v>
      </c>
      <c r="B283" s="106" t="str">
        <f>'Orderformular Color Kids'!B289</f>
        <v>Anonymized Item 289</v>
      </c>
      <c r="C283" s="106" t="str">
        <f>'Orderformular Color Kids'!C289</f>
        <v xml:space="preserve">Anonymized 9153 Kalamata </v>
      </c>
      <c r="D283" s="108" t="str">
        <f>'Orderformular Color Kids'!D289</f>
        <v>Kids</v>
      </c>
      <c r="E283" s="97">
        <f>'Orderformular Color Kids'!E289</f>
        <v>0</v>
      </c>
      <c r="F283" s="97">
        <f>'Orderformular Color Kids'!F289</f>
        <v>0</v>
      </c>
      <c r="G283" s="97">
        <f>'Orderformular Color Kids'!G289</f>
        <v>0</v>
      </c>
      <c r="H283" s="97">
        <f>'Orderformular Color Kids'!H289</f>
        <v>0</v>
      </c>
      <c r="I283" s="97">
        <f>'Orderformular Color Kids'!I289</f>
        <v>0</v>
      </c>
      <c r="J283" s="97">
        <f>'Orderformular Color Kids'!J289</f>
        <v>0</v>
      </c>
      <c r="K283" s="97">
        <f>'Orderformular Color Kids'!K289</f>
        <v>0</v>
      </c>
      <c r="L283" s="97">
        <f>'Orderformular Color Kids'!L289</f>
        <v>0</v>
      </c>
      <c r="M283" s="97">
        <f>'Orderformular Color Kids'!M289</f>
        <v>0</v>
      </c>
      <c r="N283" s="97">
        <f>'Orderformular Color Kids'!N289</f>
        <v>0</v>
      </c>
      <c r="O283" s="97">
        <f>'Orderformular Color Kids'!O289</f>
        <v>0</v>
      </c>
      <c r="P283" s="97">
        <f>'Orderformular Color Kids'!P289</f>
        <v>0</v>
      </c>
      <c r="Q283" s="97">
        <f>'Orderformular Color Kids'!Q289</f>
        <v>0</v>
      </c>
      <c r="R283" s="97">
        <f>'Orderformular Color Kids'!R289</f>
        <v>0</v>
      </c>
      <c r="S283" s="98">
        <f t="shared" si="4"/>
        <v>0</v>
      </c>
      <c r="T283" s="109">
        <f>'Orderformular Color Kids'!U289</f>
        <v>59.9</v>
      </c>
    </row>
    <row r="284" spans="1:20" ht="15" customHeight="1" x14ac:dyDescent="0.25">
      <c r="A284" s="110">
        <f>'Orderformular Color Kids'!A290</f>
        <v>743107</v>
      </c>
      <c r="B284" s="111" t="str">
        <f>'Orderformular Color Kids'!B290</f>
        <v>Anonymized Item 290</v>
      </c>
      <c r="C284" s="111" t="str">
        <f>'Orderformular Color Kids'!C290</f>
        <v>Anonymized 7334 Persian Jewel</v>
      </c>
      <c r="D284" s="111" t="str">
        <f>'Orderformular Color Kids'!D290</f>
        <v>Kids</v>
      </c>
      <c r="E284" s="97">
        <f>'Orderformular Color Kids'!E290</f>
        <v>0</v>
      </c>
      <c r="F284" s="97">
        <f>'Orderformular Color Kids'!F290</f>
        <v>0</v>
      </c>
      <c r="G284" s="97">
        <f>'Orderformular Color Kids'!G290</f>
        <v>0</v>
      </c>
      <c r="H284" s="97">
        <f>'Orderformular Color Kids'!H290</f>
        <v>0</v>
      </c>
      <c r="I284" s="97">
        <f>'Orderformular Color Kids'!I290</f>
        <v>0</v>
      </c>
      <c r="J284" s="97">
        <f>'Orderformular Color Kids'!J290</f>
        <v>0</v>
      </c>
      <c r="K284" s="97">
        <f>'Orderformular Color Kids'!K290</f>
        <v>0</v>
      </c>
      <c r="L284" s="97">
        <f>'Orderformular Color Kids'!L290</f>
        <v>0</v>
      </c>
      <c r="M284" s="97">
        <f>'Orderformular Color Kids'!M290</f>
        <v>0</v>
      </c>
      <c r="N284" s="97">
        <f>'Orderformular Color Kids'!N290</f>
        <v>0</v>
      </c>
      <c r="O284" s="97">
        <f>'Orderformular Color Kids'!O290</f>
        <v>0</v>
      </c>
      <c r="P284" s="97">
        <f>'Orderformular Color Kids'!P290</f>
        <v>0</v>
      </c>
      <c r="Q284" s="97">
        <f>'Orderformular Color Kids'!Q290</f>
        <v>0</v>
      </c>
      <c r="R284" s="97">
        <f>'Orderformular Color Kids'!R290</f>
        <v>0</v>
      </c>
      <c r="S284" s="97">
        <f t="shared" si="4"/>
        <v>0</v>
      </c>
      <c r="T284" s="109">
        <f>'Orderformular Color Kids'!U290</f>
        <v>69.900000000000006</v>
      </c>
    </row>
    <row r="285" spans="1:20" ht="15" customHeight="1" x14ac:dyDescent="0.25">
      <c r="A285" s="110">
        <f>'Orderformular Color Kids'!A291</f>
        <v>743107</v>
      </c>
      <c r="B285" s="111" t="str">
        <f>'Orderformular Color Kids'!B291</f>
        <v>Anonymized Item 291</v>
      </c>
      <c r="C285" s="111" t="str">
        <f>'Orderformular Color Kids'!C291</f>
        <v>Anonymized 7880 Surf The Web</v>
      </c>
      <c r="D285" s="111" t="str">
        <f>'Orderformular Color Kids'!D291</f>
        <v>Kids</v>
      </c>
      <c r="E285" s="97">
        <f>'Orderformular Color Kids'!E291</f>
        <v>0</v>
      </c>
      <c r="F285" s="97">
        <f>'Orderformular Color Kids'!F291</f>
        <v>0</v>
      </c>
      <c r="G285" s="97">
        <f>'Orderformular Color Kids'!G291</f>
        <v>0</v>
      </c>
      <c r="H285" s="97">
        <f>'Orderformular Color Kids'!H291</f>
        <v>0</v>
      </c>
      <c r="I285" s="97">
        <f>'Orderformular Color Kids'!I291</f>
        <v>0</v>
      </c>
      <c r="J285" s="97">
        <f>'Orderformular Color Kids'!J291</f>
        <v>0</v>
      </c>
      <c r="K285" s="97">
        <f>'Orderformular Color Kids'!K291</f>
        <v>0</v>
      </c>
      <c r="L285" s="97">
        <f>'Orderformular Color Kids'!L291</f>
        <v>0</v>
      </c>
      <c r="M285" s="97">
        <f>'Orderformular Color Kids'!M291</f>
        <v>0</v>
      </c>
      <c r="N285" s="97">
        <f>'Orderformular Color Kids'!N291</f>
        <v>0</v>
      </c>
      <c r="O285" s="97">
        <f>'Orderformular Color Kids'!O291</f>
        <v>0</v>
      </c>
      <c r="P285" s="97">
        <f>'Orderformular Color Kids'!P291</f>
        <v>0</v>
      </c>
      <c r="Q285" s="97">
        <f>'Orderformular Color Kids'!Q291</f>
        <v>0</v>
      </c>
      <c r="R285" s="97">
        <f>'Orderformular Color Kids'!R291</f>
        <v>0</v>
      </c>
      <c r="S285" s="97">
        <f t="shared" si="4"/>
        <v>0</v>
      </c>
      <c r="T285" s="109">
        <f>'Orderformular Color Kids'!U291</f>
        <v>69.900000000000006</v>
      </c>
    </row>
    <row r="286" spans="1:20" ht="15" customHeight="1" x14ac:dyDescent="0.25">
      <c r="A286" s="110">
        <f>'Orderformular Color Kids'!A292</f>
        <v>743109</v>
      </c>
      <c r="B286" s="111" t="str">
        <f>'Orderformular Color Kids'!B292</f>
        <v>Anonymized Item 292</v>
      </c>
      <c r="C286" s="111" t="str">
        <f>'Orderformular Color Kids'!C292</f>
        <v>Anonymized 1919 Phantom</v>
      </c>
      <c r="D286" s="111" t="str">
        <f>'Orderformular Color Kids'!D292</f>
        <v>Kids</v>
      </c>
      <c r="E286" s="97">
        <f>'Orderformular Color Kids'!E292</f>
        <v>0</v>
      </c>
      <c r="F286" s="97">
        <f>'Orderformular Color Kids'!F292</f>
        <v>0</v>
      </c>
      <c r="G286" s="97">
        <f>'Orderformular Color Kids'!G292</f>
        <v>0</v>
      </c>
      <c r="H286" s="97">
        <f>'Orderformular Color Kids'!H292</f>
        <v>0</v>
      </c>
      <c r="I286" s="97">
        <f>'Orderformular Color Kids'!I292</f>
        <v>0</v>
      </c>
      <c r="J286" s="97">
        <f>'Orderformular Color Kids'!J292</f>
        <v>0</v>
      </c>
      <c r="K286" s="97">
        <f>'Orderformular Color Kids'!K292</f>
        <v>0</v>
      </c>
      <c r="L286" s="97">
        <f>'Orderformular Color Kids'!L292</f>
        <v>0</v>
      </c>
      <c r="M286" s="97">
        <f>'Orderformular Color Kids'!M292</f>
        <v>0</v>
      </c>
      <c r="N286" s="97">
        <f>'Orderformular Color Kids'!N292</f>
        <v>0</v>
      </c>
      <c r="O286" s="97">
        <f>'Orderformular Color Kids'!O292</f>
        <v>0</v>
      </c>
      <c r="P286" s="97">
        <f>'Orderformular Color Kids'!P292</f>
        <v>0</v>
      </c>
      <c r="Q286" s="97">
        <f>'Orderformular Color Kids'!Q292</f>
        <v>0</v>
      </c>
      <c r="R286" s="97">
        <f>'Orderformular Color Kids'!R292</f>
        <v>0</v>
      </c>
      <c r="S286" s="97">
        <f t="shared" si="4"/>
        <v>0</v>
      </c>
      <c r="T286" s="109">
        <f>'Orderformular Color Kids'!U292</f>
        <v>69.900000000000006</v>
      </c>
    </row>
    <row r="287" spans="1:20" ht="15" customHeight="1" x14ac:dyDescent="0.25">
      <c r="A287" s="110">
        <f>'Orderformular Color Kids'!A293</f>
        <v>743109</v>
      </c>
      <c r="B287" s="111" t="str">
        <f>'Orderformular Color Kids'!B293</f>
        <v>Anonymized Item 293</v>
      </c>
      <c r="C287" s="111" t="str">
        <f>'Orderformular Color Kids'!C293</f>
        <v>Anonymized 2160 Coca Mocha</v>
      </c>
      <c r="D287" s="111" t="str">
        <f>'Orderformular Color Kids'!D293</f>
        <v>Kids</v>
      </c>
      <c r="E287" s="97">
        <f>'Orderformular Color Kids'!E293</f>
        <v>0</v>
      </c>
      <c r="F287" s="97">
        <f>'Orderformular Color Kids'!F293</f>
        <v>1</v>
      </c>
      <c r="G287" s="97">
        <f>'Orderformular Color Kids'!G293</f>
        <v>1</v>
      </c>
      <c r="H287" s="97">
        <f>'Orderformular Color Kids'!H293</f>
        <v>1</v>
      </c>
      <c r="I287" s="97">
        <f>'Orderformular Color Kids'!I293</f>
        <v>1</v>
      </c>
      <c r="J287" s="97">
        <f>'Orderformular Color Kids'!J293</f>
        <v>1</v>
      </c>
      <c r="K287" s="97">
        <f>'Orderformular Color Kids'!K293</f>
        <v>1</v>
      </c>
      <c r="L287" s="97">
        <f>'Orderformular Color Kids'!L293</f>
        <v>0</v>
      </c>
      <c r="M287" s="97">
        <f>'Orderformular Color Kids'!M293</f>
        <v>1</v>
      </c>
      <c r="N287" s="97">
        <f>'Orderformular Color Kids'!N293</f>
        <v>0</v>
      </c>
      <c r="O287" s="97">
        <f>'Orderformular Color Kids'!O293</f>
        <v>0</v>
      </c>
      <c r="P287" s="97">
        <f>'Orderformular Color Kids'!P293</f>
        <v>0</v>
      </c>
      <c r="Q287" s="97">
        <f>'Orderformular Color Kids'!Q293</f>
        <v>0</v>
      </c>
      <c r="R287" s="97">
        <f>'Orderformular Color Kids'!R293</f>
        <v>0</v>
      </c>
      <c r="S287" s="97">
        <f t="shared" si="4"/>
        <v>7</v>
      </c>
      <c r="T287" s="109">
        <f>'Orderformular Color Kids'!U293</f>
        <v>69.900000000000006</v>
      </c>
    </row>
    <row r="288" spans="1:20" ht="15" customHeight="1" x14ac:dyDescent="0.25">
      <c r="A288" s="110">
        <f>'Orderformular Color Kids'!A294</f>
        <v>743109</v>
      </c>
      <c r="B288" s="111" t="str">
        <f>'Orderformular Color Kids'!B294</f>
        <v>Anonymized Item 294</v>
      </c>
      <c r="C288" s="111" t="str">
        <f>'Orderformular Color Kids'!C294</f>
        <v>Anonymized 6685 Violet Tulle</v>
      </c>
      <c r="D288" s="111" t="str">
        <f>'Orderformular Color Kids'!D294</f>
        <v>Kids</v>
      </c>
      <c r="E288" s="97">
        <f>'Orderformular Color Kids'!E294</f>
        <v>0</v>
      </c>
      <c r="F288" s="97">
        <f>'Orderformular Color Kids'!F294</f>
        <v>0</v>
      </c>
      <c r="G288" s="97">
        <f>'Orderformular Color Kids'!G294</f>
        <v>0</v>
      </c>
      <c r="H288" s="97">
        <f>'Orderformular Color Kids'!H294</f>
        <v>0</v>
      </c>
      <c r="I288" s="97">
        <f>'Orderformular Color Kids'!I294</f>
        <v>0</v>
      </c>
      <c r="J288" s="97">
        <f>'Orderformular Color Kids'!J294</f>
        <v>0</v>
      </c>
      <c r="K288" s="97">
        <f>'Orderformular Color Kids'!K294</f>
        <v>0</v>
      </c>
      <c r="L288" s="97">
        <f>'Orderformular Color Kids'!L294</f>
        <v>0</v>
      </c>
      <c r="M288" s="97">
        <f>'Orderformular Color Kids'!M294</f>
        <v>0</v>
      </c>
      <c r="N288" s="97">
        <f>'Orderformular Color Kids'!N294</f>
        <v>0</v>
      </c>
      <c r="O288" s="97">
        <f>'Orderformular Color Kids'!O294</f>
        <v>0</v>
      </c>
      <c r="P288" s="97">
        <f>'Orderformular Color Kids'!P294</f>
        <v>0</v>
      </c>
      <c r="Q288" s="97">
        <f>'Orderformular Color Kids'!Q294</f>
        <v>0</v>
      </c>
      <c r="R288" s="97">
        <f>'Orderformular Color Kids'!R294</f>
        <v>0</v>
      </c>
      <c r="S288" s="97">
        <f t="shared" si="4"/>
        <v>0</v>
      </c>
      <c r="T288" s="109">
        <f>'Orderformular Color Kids'!U294</f>
        <v>69.900000000000006</v>
      </c>
    </row>
    <row r="289" spans="1:20" ht="15" customHeight="1" x14ac:dyDescent="0.25">
      <c r="A289" s="110">
        <f>'Orderformular Color Kids'!A295</f>
        <v>743109</v>
      </c>
      <c r="B289" s="111" t="str">
        <f>'Orderformular Color Kids'!B295</f>
        <v>Anonymized Item 295</v>
      </c>
      <c r="C289" s="111" t="str">
        <f>'Orderformular Color Kids'!C295</f>
        <v>Anonymized 7334 Persian Jewel</v>
      </c>
      <c r="D289" s="111" t="str">
        <f>'Orderformular Color Kids'!D295</f>
        <v>Kids</v>
      </c>
      <c r="E289" s="97">
        <f>'Orderformular Color Kids'!E295</f>
        <v>0</v>
      </c>
      <c r="F289" s="97">
        <f>'Orderformular Color Kids'!F295</f>
        <v>0</v>
      </c>
      <c r="G289" s="97">
        <f>'Orderformular Color Kids'!G295</f>
        <v>0</v>
      </c>
      <c r="H289" s="97">
        <f>'Orderformular Color Kids'!H295</f>
        <v>0</v>
      </c>
      <c r="I289" s="97">
        <f>'Orderformular Color Kids'!I295</f>
        <v>0</v>
      </c>
      <c r="J289" s="97">
        <f>'Orderformular Color Kids'!J295</f>
        <v>0</v>
      </c>
      <c r="K289" s="97">
        <f>'Orderformular Color Kids'!K295</f>
        <v>0</v>
      </c>
      <c r="L289" s="97">
        <f>'Orderformular Color Kids'!L295</f>
        <v>0</v>
      </c>
      <c r="M289" s="97">
        <f>'Orderformular Color Kids'!M295</f>
        <v>0</v>
      </c>
      <c r="N289" s="97">
        <f>'Orderformular Color Kids'!N295</f>
        <v>0</v>
      </c>
      <c r="O289" s="97">
        <f>'Orderformular Color Kids'!O295</f>
        <v>0</v>
      </c>
      <c r="P289" s="97">
        <f>'Orderformular Color Kids'!P295</f>
        <v>0</v>
      </c>
      <c r="Q289" s="97">
        <f>'Orderformular Color Kids'!Q295</f>
        <v>0</v>
      </c>
      <c r="R289" s="97">
        <f>'Orderformular Color Kids'!R295</f>
        <v>0</v>
      </c>
      <c r="S289" s="97">
        <f t="shared" si="4"/>
        <v>0</v>
      </c>
      <c r="T289" s="109">
        <f>'Orderformular Color Kids'!U295</f>
        <v>69.900000000000006</v>
      </c>
    </row>
    <row r="290" spans="1:20" ht="15" customHeight="1" x14ac:dyDescent="0.25">
      <c r="A290" s="110">
        <f>'Orderformular Color Kids'!A296</f>
        <v>743109</v>
      </c>
      <c r="B290" s="111" t="str">
        <f>'Orderformular Color Kids'!B296</f>
        <v>Anonymized Item 296</v>
      </c>
      <c r="C290" s="111" t="str">
        <f>'Orderformular Color Kids'!C296</f>
        <v>Anonymized 7850 Total Eclipse</v>
      </c>
      <c r="D290" s="111" t="str">
        <f>'Orderformular Color Kids'!D296</f>
        <v>Kids</v>
      </c>
      <c r="E290" s="97">
        <f>'Orderformular Color Kids'!E296</f>
        <v>0</v>
      </c>
      <c r="F290" s="97">
        <f>'Orderformular Color Kids'!F296</f>
        <v>1</v>
      </c>
      <c r="G290" s="97">
        <f>'Orderformular Color Kids'!G296</f>
        <v>1</v>
      </c>
      <c r="H290" s="97">
        <f>'Orderformular Color Kids'!H296</f>
        <v>1</v>
      </c>
      <c r="I290" s="97">
        <f>'Orderformular Color Kids'!I296</f>
        <v>1</v>
      </c>
      <c r="J290" s="97">
        <f>'Orderformular Color Kids'!J296</f>
        <v>0</v>
      </c>
      <c r="K290" s="97">
        <f>'Orderformular Color Kids'!K296</f>
        <v>0</v>
      </c>
      <c r="L290" s="97">
        <f>'Orderformular Color Kids'!L296</f>
        <v>0</v>
      </c>
      <c r="M290" s="97">
        <f>'Orderformular Color Kids'!M296</f>
        <v>0</v>
      </c>
      <c r="N290" s="97">
        <f>'Orderformular Color Kids'!N296</f>
        <v>0</v>
      </c>
      <c r="O290" s="97">
        <f>'Orderformular Color Kids'!O296</f>
        <v>0</v>
      </c>
      <c r="P290" s="97">
        <f>'Orderformular Color Kids'!P296</f>
        <v>0</v>
      </c>
      <c r="Q290" s="97">
        <f>'Orderformular Color Kids'!Q296</f>
        <v>0</v>
      </c>
      <c r="R290" s="97">
        <f>'Orderformular Color Kids'!R296</f>
        <v>0</v>
      </c>
      <c r="S290" s="97">
        <f t="shared" si="4"/>
        <v>4</v>
      </c>
      <c r="T290" s="109">
        <f>'Orderformular Color Kids'!U296</f>
        <v>69.900000000000006</v>
      </c>
    </row>
    <row r="291" spans="1:20" ht="15" customHeight="1" x14ac:dyDescent="0.25">
      <c r="A291" s="110">
        <f>'Orderformular Color Kids'!A297</f>
        <v>743109</v>
      </c>
      <c r="B291" s="111" t="str">
        <f>'Orderformular Color Kids'!B297</f>
        <v>Anonymized Item 297</v>
      </c>
      <c r="C291" s="111" t="str">
        <f>'Orderformular Color Kids'!C297</f>
        <v xml:space="preserve">Anonymized 9153 Kalamata </v>
      </c>
      <c r="D291" s="111" t="str">
        <f>'Orderformular Color Kids'!D297</f>
        <v>Kids</v>
      </c>
      <c r="E291" s="97">
        <f>'Orderformular Color Kids'!E297</f>
        <v>0</v>
      </c>
      <c r="F291" s="97">
        <f>'Orderformular Color Kids'!F297</f>
        <v>0</v>
      </c>
      <c r="G291" s="97">
        <f>'Orderformular Color Kids'!G297</f>
        <v>0</v>
      </c>
      <c r="H291" s="97">
        <f>'Orderformular Color Kids'!H297</f>
        <v>0</v>
      </c>
      <c r="I291" s="97">
        <f>'Orderformular Color Kids'!I297</f>
        <v>0</v>
      </c>
      <c r="J291" s="97">
        <f>'Orderformular Color Kids'!J297</f>
        <v>0</v>
      </c>
      <c r="K291" s="97">
        <f>'Orderformular Color Kids'!K297</f>
        <v>0</v>
      </c>
      <c r="L291" s="97">
        <f>'Orderformular Color Kids'!L297</f>
        <v>0</v>
      </c>
      <c r="M291" s="97">
        <f>'Orderformular Color Kids'!M297</f>
        <v>0</v>
      </c>
      <c r="N291" s="97">
        <f>'Orderformular Color Kids'!N297</f>
        <v>0</v>
      </c>
      <c r="O291" s="97">
        <f>'Orderformular Color Kids'!O297</f>
        <v>0</v>
      </c>
      <c r="P291" s="97">
        <f>'Orderformular Color Kids'!P297</f>
        <v>0</v>
      </c>
      <c r="Q291" s="97">
        <f>'Orderformular Color Kids'!Q297</f>
        <v>0</v>
      </c>
      <c r="R291" s="97">
        <f>'Orderformular Color Kids'!R297</f>
        <v>0</v>
      </c>
      <c r="S291" s="97">
        <f t="shared" si="4"/>
        <v>0</v>
      </c>
      <c r="T291" s="109">
        <f>'Orderformular Color Kids'!U297</f>
        <v>69.900000000000006</v>
      </c>
    </row>
    <row r="292" spans="1:20" ht="15" customHeight="1" x14ac:dyDescent="0.25">
      <c r="A292" s="110">
        <f>'Orderformular Color Kids'!A298</f>
        <v>743111</v>
      </c>
      <c r="B292" s="111" t="str">
        <f>'Orderformular Color Kids'!B298</f>
        <v>Anonymized Item 298</v>
      </c>
      <c r="C292" s="111" t="str">
        <f>'Orderformular Color Kids'!C298</f>
        <v>Anonymized 1919 Phantom</v>
      </c>
      <c r="D292" s="111" t="str">
        <f>'Orderformular Color Kids'!D298</f>
        <v>Kids</v>
      </c>
      <c r="E292" s="97">
        <f>'Orderformular Color Kids'!E298</f>
        <v>0</v>
      </c>
      <c r="F292" s="97">
        <f>'Orderformular Color Kids'!F298</f>
        <v>0</v>
      </c>
      <c r="G292" s="97">
        <f>'Orderformular Color Kids'!G298</f>
        <v>0</v>
      </c>
      <c r="H292" s="97">
        <f>'Orderformular Color Kids'!H298</f>
        <v>0</v>
      </c>
      <c r="I292" s="97">
        <f>'Orderformular Color Kids'!I298</f>
        <v>0</v>
      </c>
      <c r="J292" s="97">
        <f>'Orderformular Color Kids'!J298</f>
        <v>0</v>
      </c>
      <c r="K292" s="97">
        <f>'Orderformular Color Kids'!K298</f>
        <v>0</v>
      </c>
      <c r="L292" s="97">
        <f>'Orderformular Color Kids'!L298</f>
        <v>0</v>
      </c>
      <c r="M292" s="97">
        <f>'Orderformular Color Kids'!M298</f>
        <v>0</v>
      </c>
      <c r="N292" s="97">
        <f>'Orderformular Color Kids'!N298</f>
        <v>0</v>
      </c>
      <c r="O292" s="97">
        <f>'Orderformular Color Kids'!O298</f>
        <v>0</v>
      </c>
      <c r="P292" s="97">
        <f>'Orderformular Color Kids'!P298</f>
        <v>0</v>
      </c>
      <c r="Q292" s="97">
        <f>'Orderformular Color Kids'!Q298</f>
        <v>0</v>
      </c>
      <c r="R292" s="97">
        <f>'Orderformular Color Kids'!R298</f>
        <v>0</v>
      </c>
      <c r="S292" s="97">
        <f t="shared" si="4"/>
        <v>0</v>
      </c>
      <c r="T292" s="109">
        <f>'Orderformular Color Kids'!U298</f>
        <v>59.9</v>
      </c>
    </row>
    <row r="293" spans="1:20" ht="15" customHeight="1" x14ac:dyDescent="0.25">
      <c r="A293" s="110">
        <f>'Orderformular Color Kids'!A299</f>
        <v>743111</v>
      </c>
      <c r="B293" s="111" t="str">
        <f>'Orderformular Color Kids'!B299</f>
        <v>Anonymized Item 299</v>
      </c>
      <c r="C293" s="111" t="str">
        <f>'Orderformular Color Kids'!C299</f>
        <v>Anonymized 7850 Total Eclipse</v>
      </c>
      <c r="D293" s="111" t="str">
        <f>'Orderformular Color Kids'!D299</f>
        <v>Kids</v>
      </c>
      <c r="E293" s="97">
        <f>'Orderformular Color Kids'!E299</f>
        <v>0</v>
      </c>
      <c r="F293" s="97">
        <f>'Orderformular Color Kids'!F299</f>
        <v>0</v>
      </c>
      <c r="G293" s="97">
        <f>'Orderformular Color Kids'!G299</f>
        <v>0</v>
      </c>
      <c r="H293" s="97">
        <f>'Orderformular Color Kids'!H299</f>
        <v>0</v>
      </c>
      <c r="I293" s="97">
        <f>'Orderformular Color Kids'!I299</f>
        <v>0</v>
      </c>
      <c r="J293" s="97">
        <f>'Orderformular Color Kids'!J299</f>
        <v>0</v>
      </c>
      <c r="K293" s="97">
        <f>'Orderformular Color Kids'!K299</f>
        <v>0</v>
      </c>
      <c r="L293" s="97">
        <f>'Orderformular Color Kids'!L299</f>
        <v>0</v>
      </c>
      <c r="M293" s="97">
        <f>'Orderformular Color Kids'!M299</f>
        <v>0</v>
      </c>
      <c r="N293" s="97">
        <f>'Orderformular Color Kids'!N299</f>
        <v>0</v>
      </c>
      <c r="O293" s="97">
        <f>'Orderformular Color Kids'!O299</f>
        <v>0</v>
      </c>
      <c r="P293" s="97">
        <f>'Orderformular Color Kids'!P299</f>
        <v>0</v>
      </c>
      <c r="Q293" s="97">
        <f>'Orderformular Color Kids'!Q299</f>
        <v>0</v>
      </c>
      <c r="R293" s="97">
        <f>'Orderformular Color Kids'!R299</f>
        <v>0</v>
      </c>
      <c r="S293" s="97">
        <f t="shared" si="4"/>
        <v>0</v>
      </c>
      <c r="T293" s="109">
        <f>'Orderformular Color Kids'!U299</f>
        <v>59.9</v>
      </c>
    </row>
    <row r="294" spans="1:20" ht="15" customHeight="1" x14ac:dyDescent="0.25">
      <c r="A294" s="110">
        <f>'Orderformular Color Kids'!A300</f>
        <v>743113</v>
      </c>
      <c r="B294" s="111" t="str">
        <f>'Orderformular Color Kids'!B300</f>
        <v>Anonymized Item 300</v>
      </c>
      <c r="C294" s="111" t="str">
        <f>'Orderformular Color Kids'!C300</f>
        <v>Anonymized 1919 Phantom</v>
      </c>
      <c r="D294" s="111" t="str">
        <f>'Orderformular Color Kids'!D300</f>
        <v>Kids</v>
      </c>
      <c r="E294" s="97">
        <f>'Orderformular Color Kids'!E300</f>
        <v>0</v>
      </c>
      <c r="F294" s="97">
        <f>'Orderformular Color Kids'!F300</f>
        <v>0</v>
      </c>
      <c r="G294" s="97">
        <f>'Orderformular Color Kids'!G300</f>
        <v>0</v>
      </c>
      <c r="H294" s="97">
        <f>'Orderformular Color Kids'!H300</f>
        <v>0</v>
      </c>
      <c r="I294" s="97">
        <f>'Orderformular Color Kids'!I300</f>
        <v>0</v>
      </c>
      <c r="J294" s="97">
        <f>'Orderformular Color Kids'!J300</f>
        <v>0</v>
      </c>
      <c r="K294" s="97">
        <f>'Orderformular Color Kids'!K300</f>
        <v>0</v>
      </c>
      <c r="L294" s="97">
        <f>'Orderformular Color Kids'!L300</f>
        <v>0</v>
      </c>
      <c r="M294" s="97">
        <f>'Orderformular Color Kids'!M300</f>
        <v>0</v>
      </c>
      <c r="N294" s="97">
        <f>'Orderformular Color Kids'!N300</f>
        <v>0</v>
      </c>
      <c r="O294" s="97">
        <f>'Orderformular Color Kids'!O300</f>
        <v>0</v>
      </c>
      <c r="P294" s="97">
        <f>'Orderformular Color Kids'!P300</f>
        <v>0</v>
      </c>
      <c r="Q294" s="97">
        <f>'Orderformular Color Kids'!Q300</f>
        <v>0</v>
      </c>
      <c r="R294" s="97">
        <f>'Orderformular Color Kids'!R300</f>
        <v>0</v>
      </c>
      <c r="S294" s="97">
        <f t="shared" si="4"/>
        <v>0</v>
      </c>
      <c r="T294" s="109">
        <f>'Orderformular Color Kids'!U300</f>
        <v>49.9</v>
      </c>
    </row>
    <row r="295" spans="1:20" ht="15" customHeight="1" x14ac:dyDescent="0.25">
      <c r="A295" s="110">
        <f>'Orderformular Color Kids'!A301</f>
        <v>743113</v>
      </c>
      <c r="B295" s="111" t="str">
        <f>'Orderformular Color Kids'!B301</f>
        <v>Anonymized Item 301</v>
      </c>
      <c r="C295" s="111" t="str">
        <f>'Orderformular Color Kids'!C301</f>
        <v>Anonymized 7880 Surf The Web</v>
      </c>
      <c r="D295" s="111" t="str">
        <f>'Orderformular Color Kids'!D301</f>
        <v>Kids</v>
      </c>
      <c r="E295" s="97">
        <f>'Orderformular Color Kids'!E301</f>
        <v>0</v>
      </c>
      <c r="F295" s="97">
        <f>'Orderformular Color Kids'!F301</f>
        <v>0</v>
      </c>
      <c r="G295" s="97">
        <f>'Orderformular Color Kids'!G301</f>
        <v>0</v>
      </c>
      <c r="H295" s="97">
        <f>'Orderformular Color Kids'!H301</f>
        <v>0</v>
      </c>
      <c r="I295" s="97">
        <f>'Orderformular Color Kids'!I301</f>
        <v>0</v>
      </c>
      <c r="J295" s="97">
        <f>'Orderformular Color Kids'!J301</f>
        <v>0</v>
      </c>
      <c r="K295" s="97">
        <f>'Orderformular Color Kids'!K301</f>
        <v>0</v>
      </c>
      <c r="L295" s="97">
        <f>'Orderformular Color Kids'!L301</f>
        <v>0</v>
      </c>
      <c r="M295" s="97">
        <f>'Orderformular Color Kids'!M301</f>
        <v>0</v>
      </c>
      <c r="N295" s="97">
        <f>'Orderformular Color Kids'!N301</f>
        <v>0</v>
      </c>
      <c r="O295" s="97">
        <f>'Orderformular Color Kids'!O301</f>
        <v>0</v>
      </c>
      <c r="P295" s="97">
        <f>'Orderformular Color Kids'!P301</f>
        <v>0</v>
      </c>
      <c r="Q295" s="97">
        <f>'Orderformular Color Kids'!Q301</f>
        <v>0</v>
      </c>
      <c r="R295" s="97">
        <f>'Orderformular Color Kids'!R301</f>
        <v>0</v>
      </c>
      <c r="S295" s="97">
        <f t="shared" si="4"/>
        <v>0</v>
      </c>
      <c r="T295" s="109">
        <f>'Orderformular Color Kids'!U301</f>
        <v>49.9</v>
      </c>
    </row>
    <row r="296" spans="1:20" ht="15" customHeight="1" x14ac:dyDescent="0.25">
      <c r="A296" s="110">
        <f>'Orderformular Color Kids'!A302</f>
        <v>743115</v>
      </c>
      <c r="B296" s="111" t="str">
        <f>'Orderformular Color Kids'!B302</f>
        <v>Anonymized Item 302</v>
      </c>
      <c r="C296" s="111" t="str">
        <f>'Orderformular Color Kids'!C302</f>
        <v>Anonymized 1919 Phantom</v>
      </c>
      <c r="D296" s="111" t="str">
        <f>'Orderformular Color Kids'!D302</f>
        <v>Kids</v>
      </c>
      <c r="E296" s="97">
        <f>'Orderformular Color Kids'!E302</f>
        <v>0</v>
      </c>
      <c r="F296" s="97">
        <f>'Orderformular Color Kids'!F302</f>
        <v>0</v>
      </c>
      <c r="G296" s="97">
        <f>'Orderformular Color Kids'!G302</f>
        <v>0</v>
      </c>
      <c r="H296" s="97">
        <f>'Orderformular Color Kids'!H302</f>
        <v>0</v>
      </c>
      <c r="I296" s="97">
        <f>'Orderformular Color Kids'!I302</f>
        <v>0</v>
      </c>
      <c r="J296" s="97">
        <f>'Orderformular Color Kids'!J302</f>
        <v>0</v>
      </c>
      <c r="K296" s="97">
        <f>'Orderformular Color Kids'!K302</f>
        <v>0</v>
      </c>
      <c r="L296" s="97">
        <f>'Orderformular Color Kids'!L302</f>
        <v>0</v>
      </c>
      <c r="M296" s="97">
        <f>'Orderformular Color Kids'!M302</f>
        <v>0</v>
      </c>
      <c r="N296" s="97">
        <f>'Orderformular Color Kids'!N302</f>
        <v>0</v>
      </c>
      <c r="O296" s="97">
        <f>'Orderformular Color Kids'!O302</f>
        <v>0</v>
      </c>
      <c r="P296" s="97">
        <f>'Orderformular Color Kids'!P302</f>
        <v>0</v>
      </c>
      <c r="Q296" s="97">
        <f>'Orderformular Color Kids'!Q302</f>
        <v>0</v>
      </c>
      <c r="R296" s="97">
        <f>'Orderformular Color Kids'!R302</f>
        <v>0</v>
      </c>
      <c r="S296" s="97">
        <f t="shared" si="4"/>
        <v>0</v>
      </c>
      <c r="T296" s="109">
        <f>'Orderformular Color Kids'!U302</f>
        <v>45.9</v>
      </c>
    </row>
    <row r="297" spans="1:20" ht="15" customHeight="1" x14ac:dyDescent="0.25">
      <c r="A297" s="110">
        <f>'Orderformular Color Kids'!A303</f>
        <v>743115</v>
      </c>
      <c r="B297" s="111" t="str">
        <f>'Orderformular Color Kids'!B303</f>
        <v>Anonymized Item 303</v>
      </c>
      <c r="C297" s="111" t="str">
        <f>'Orderformular Color Kids'!C303</f>
        <v>Anonymized 2160 Coca Mocha</v>
      </c>
      <c r="D297" s="111" t="str">
        <f>'Orderformular Color Kids'!D303</f>
        <v>Kids</v>
      </c>
      <c r="E297" s="97">
        <f>'Orderformular Color Kids'!E303</f>
        <v>0</v>
      </c>
      <c r="F297" s="97">
        <f>'Orderformular Color Kids'!F303</f>
        <v>0</v>
      </c>
      <c r="G297" s="97">
        <f>'Orderformular Color Kids'!G303</f>
        <v>0</v>
      </c>
      <c r="H297" s="97">
        <f>'Orderformular Color Kids'!H303</f>
        <v>0</v>
      </c>
      <c r="I297" s="97">
        <f>'Orderformular Color Kids'!I303</f>
        <v>0</v>
      </c>
      <c r="J297" s="97">
        <f>'Orderformular Color Kids'!J303</f>
        <v>0</v>
      </c>
      <c r="K297" s="97">
        <f>'Orderformular Color Kids'!K303</f>
        <v>0</v>
      </c>
      <c r="L297" s="97">
        <f>'Orderformular Color Kids'!L303</f>
        <v>0</v>
      </c>
      <c r="M297" s="97">
        <f>'Orderformular Color Kids'!M303</f>
        <v>0</v>
      </c>
      <c r="N297" s="97">
        <f>'Orderformular Color Kids'!N303</f>
        <v>0</v>
      </c>
      <c r="O297" s="97">
        <f>'Orderformular Color Kids'!O303</f>
        <v>0</v>
      </c>
      <c r="P297" s="97">
        <f>'Orderformular Color Kids'!P303</f>
        <v>0</v>
      </c>
      <c r="Q297" s="97">
        <f>'Orderformular Color Kids'!Q303</f>
        <v>0</v>
      </c>
      <c r="R297" s="97">
        <f>'Orderformular Color Kids'!R303</f>
        <v>0</v>
      </c>
      <c r="S297" s="97">
        <f t="shared" si="4"/>
        <v>0</v>
      </c>
      <c r="T297" s="109">
        <f>'Orderformular Color Kids'!U303</f>
        <v>45.9</v>
      </c>
    </row>
    <row r="298" spans="1:20" ht="15" customHeight="1" x14ac:dyDescent="0.25">
      <c r="A298" s="110">
        <f>'Orderformular Color Kids'!A304</f>
        <v>743117</v>
      </c>
      <c r="B298" s="111" t="str">
        <f>'Orderformular Color Kids'!B304</f>
        <v>Anonymized Item 304</v>
      </c>
      <c r="C298" s="111" t="str">
        <f>'Orderformular Color Kids'!C304</f>
        <v xml:space="preserve">Anonymized 1191 Black </v>
      </c>
      <c r="D298" s="111" t="str">
        <f>'Orderformular Color Kids'!D304</f>
        <v>Kids</v>
      </c>
      <c r="E298" s="97">
        <f>'Orderformular Color Kids'!E304</f>
        <v>0</v>
      </c>
      <c r="F298" s="97">
        <f>'Orderformular Color Kids'!F304</f>
        <v>0</v>
      </c>
      <c r="G298" s="97">
        <f>'Orderformular Color Kids'!G304</f>
        <v>0</v>
      </c>
      <c r="H298" s="97">
        <f>'Orderformular Color Kids'!H304</f>
        <v>0</v>
      </c>
      <c r="I298" s="97">
        <f>'Orderformular Color Kids'!I304</f>
        <v>0</v>
      </c>
      <c r="J298" s="97">
        <f>'Orderformular Color Kids'!J304</f>
        <v>0</v>
      </c>
      <c r="K298" s="97">
        <f>'Orderformular Color Kids'!K304</f>
        <v>0</v>
      </c>
      <c r="L298" s="97">
        <f>'Orderformular Color Kids'!L304</f>
        <v>0</v>
      </c>
      <c r="M298" s="97">
        <f>'Orderformular Color Kids'!M304</f>
        <v>0</v>
      </c>
      <c r="N298" s="97">
        <f>'Orderformular Color Kids'!N304</f>
        <v>0</v>
      </c>
      <c r="O298" s="97">
        <f>'Orderformular Color Kids'!O304</f>
        <v>0</v>
      </c>
      <c r="P298" s="97">
        <f>'Orderformular Color Kids'!P304</f>
        <v>0</v>
      </c>
      <c r="Q298" s="97">
        <f>'Orderformular Color Kids'!Q304</f>
        <v>0</v>
      </c>
      <c r="R298" s="97">
        <f>'Orderformular Color Kids'!R304</f>
        <v>0</v>
      </c>
      <c r="S298" s="97">
        <f t="shared" si="4"/>
        <v>0</v>
      </c>
      <c r="T298" s="109">
        <f>'Orderformular Color Kids'!U304</f>
        <v>33.9</v>
      </c>
    </row>
    <row r="299" spans="1:20" ht="15" customHeight="1" x14ac:dyDescent="0.25">
      <c r="A299" s="110">
        <f>'Orderformular Color Kids'!A305</f>
        <v>743117</v>
      </c>
      <c r="B299" s="111" t="str">
        <f>'Orderformular Color Kids'!B305</f>
        <v>Anonymized Item 305</v>
      </c>
      <c r="C299" s="111" t="str">
        <f>'Orderformular Color Kids'!C305</f>
        <v>Anonymized 2160 Coca Mocha</v>
      </c>
      <c r="D299" s="111" t="str">
        <f>'Orderformular Color Kids'!D305</f>
        <v>Kids</v>
      </c>
      <c r="E299" s="97">
        <f>'Orderformular Color Kids'!E305</f>
        <v>0</v>
      </c>
      <c r="F299" s="97">
        <f>'Orderformular Color Kids'!F305</f>
        <v>0</v>
      </c>
      <c r="G299" s="97">
        <f>'Orderformular Color Kids'!G305</f>
        <v>0</v>
      </c>
      <c r="H299" s="97">
        <f>'Orderformular Color Kids'!H305</f>
        <v>0</v>
      </c>
      <c r="I299" s="97">
        <f>'Orderformular Color Kids'!I305</f>
        <v>0</v>
      </c>
      <c r="J299" s="97">
        <f>'Orderformular Color Kids'!J305</f>
        <v>0</v>
      </c>
      <c r="K299" s="97">
        <f>'Orderformular Color Kids'!K305</f>
        <v>0</v>
      </c>
      <c r="L299" s="97">
        <f>'Orderformular Color Kids'!L305</f>
        <v>0</v>
      </c>
      <c r="M299" s="97">
        <f>'Orderformular Color Kids'!M305</f>
        <v>0</v>
      </c>
      <c r="N299" s="97">
        <f>'Orderformular Color Kids'!N305</f>
        <v>0</v>
      </c>
      <c r="O299" s="97">
        <f>'Orderformular Color Kids'!O305</f>
        <v>0</v>
      </c>
      <c r="P299" s="97">
        <f>'Orderformular Color Kids'!P305</f>
        <v>0</v>
      </c>
      <c r="Q299" s="97">
        <f>'Orderformular Color Kids'!Q305</f>
        <v>0</v>
      </c>
      <c r="R299" s="97">
        <f>'Orderformular Color Kids'!R305</f>
        <v>0</v>
      </c>
      <c r="S299" s="97">
        <f t="shared" si="4"/>
        <v>0</v>
      </c>
      <c r="T299" s="109">
        <f>'Orderformular Color Kids'!U305</f>
        <v>33.9</v>
      </c>
    </row>
    <row r="300" spans="1:20" ht="15" customHeight="1" x14ac:dyDescent="0.25">
      <c r="A300" s="110">
        <f>'Orderformular Color Kids'!A306</f>
        <v>743117</v>
      </c>
      <c r="B300" s="111" t="str">
        <f>'Orderformular Color Kids'!B306</f>
        <v>Anonymized Item 306</v>
      </c>
      <c r="C300" s="111" t="str">
        <f>'Orderformular Color Kids'!C306</f>
        <v>Anonymized 6685 Violet Tulle</v>
      </c>
      <c r="D300" s="111" t="str">
        <f>'Orderformular Color Kids'!D306</f>
        <v>Kids</v>
      </c>
      <c r="E300" s="97">
        <f>'Orderformular Color Kids'!E306</f>
        <v>0</v>
      </c>
      <c r="F300" s="97">
        <f>'Orderformular Color Kids'!F306</f>
        <v>0</v>
      </c>
      <c r="G300" s="97">
        <f>'Orderformular Color Kids'!G306</f>
        <v>0</v>
      </c>
      <c r="H300" s="97">
        <f>'Orderformular Color Kids'!H306</f>
        <v>0</v>
      </c>
      <c r="I300" s="97">
        <f>'Orderformular Color Kids'!I306</f>
        <v>0</v>
      </c>
      <c r="J300" s="97">
        <f>'Orderformular Color Kids'!J306</f>
        <v>0</v>
      </c>
      <c r="K300" s="97">
        <f>'Orderformular Color Kids'!K306</f>
        <v>0</v>
      </c>
      <c r="L300" s="97">
        <f>'Orderformular Color Kids'!L306</f>
        <v>0</v>
      </c>
      <c r="M300" s="97">
        <f>'Orderformular Color Kids'!M306</f>
        <v>0</v>
      </c>
      <c r="N300" s="97">
        <f>'Orderformular Color Kids'!N306</f>
        <v>0</v>
      </c>
      <c r="O300" s="97">
        <f>'Orderformular Color Kids'!O306</f>
        <v>0</v>
      </c>
      <c r="P300" s="97">
        <f>'Orderformular Color Kids'!P306</f>
        <v>0</v>
      </c>
      <c r="Q300" s="97">
        <f>'Orderformular Color Kids'!Q306</f>
        <v>0</v>
      </c>
      <c r="R300" s="97">
        <f>'Orderformular Color Kids'!R306</f>
        <v>0</v>
      </c>
      <c r="S300" s="97">
        <f t="shared" si="4"/>
        <v>0</v>
      </c>
      <c r="T300" s="109">
        <f>'Orderformular Color Kids'!U306</f>
        <v>33.9</v>
      </c>
    </row>
    <row r="301" spans="1:20" ht="15" customHeight="1" x14ac:dyDescent="0.25">
      <c r="A301" s="110">
        <f>'Orderformular Color Kids'!A307</f>
        <v>743117</v>
      </c>
      <c r="B301" s="111" t="str">
        <f>'Orderformular Color Kids'!B307</f>
        <v>Anonymized Item 307</v>
      </c>
      <c r="C301" s="111" t="str">
        <f>'Orderformular Color Kids'!C307</f>
        <v>Anonymized 7334 Persian Jewel</v>
      </c>
      <c r="D301" s="111" t="str">
        <f>'Orderformular Color Kids'!D307</f>
        <v>Kids</v>
      </c>
      <c r="E301" s="97">
        <f>'Orderformular Color Kids'!E307</f>
        <v>0</v>
      </c>
      <c r="F301" s="97">
        <f>'Orderformular Color Kids'!F307</f>
        <v>0</v>
      </c>
      <c r="G301" s="97">
        <f>'Orderformular Color Kids'!G307</f>
        <v>0</v>
      </c>
      <c r="H301" s="97">
        <f>'Orderformular Color Kids'!H307</f>
        <v>0</v>
      </c>
      <c r="I301" s="97">
        <f>'Orderformular Color Kids'!I307</f>
        <v>0</v>
      </c>
      <c r="J301" s="97">
        <f>'Orderformular Color Kids'!J307</f>
        <v>0</v>
      </c>
      <c r="K301" s="97">
        <f>'Orderformular Color Kids'!K307</f>
        <v>0</v>
      </c>
      <c r="L301" s="97">
        <f>'Orderformular Color Kids'!L307</f>
        <v>0</v>
      </c>
      <c r="M301" s="97">
        <f>'Orderformular Color Kids'!M307</f>
        <v>0</v>
      </c>
      <c r="N301" s="97">
        <f>'Orderformular Color Kids'!N307</f>
        <v>0</v>
      </c>
      <c r="O301" s="97">
        <f>'Orderformular Color Kids'!O307</f>
        <v>0</v>
      </c>
      <c r="P301" s="97">
        <f>'Orderformular Color Kids'!P307</f>
        <v>0</v>
      </c>
      <c r="Q301" s="97">
        <f>'Orderformular Color Kids'!Q307</f>
        <v>0</v>
      </c>
      <c r="R301" s="97">
        <f>'Orderformular Color Kids'!R307</f>
        <v>0</v>
      </c>
      <c r="S301" s="97">
        <f t="shared" si="4"/>
        <v>0</v>
      </c>
      <c r="T301" s="109">
        <f>'Orderformular Color Kids'!U307</f>
        <v>33.9</v>
      </c>
    </row>
    <row r="302" spans="1:20" ht="15" customHeight="1" x14ac:dyDescent="0.25">
      <c r="A302" s="110">
        <f>'Orderformular Color Kids'!A308</f>
        <v>743117</v>
      </c>
      <c r="B302" s="111" t="str">
        <f>'Orderformular Color Kids'!B308</f>
        <v>Anonymized Item 308</v>
      </c>
      <c r="C302" s="111" t="str">
        <f>'Orderformular Color Kids'!C308</f>
        <v>Anonymized 7850 Total Eclipse</v>
      </c>
      <c r="D302" s="111" t="str">
        <f>'Orderformular Color Kids'!D308</f>
        <v>Kids</v>
      </c>
      <c r="E302" s="97">
        <f>'Orderformular Color Kids'!E308</f>
        <v>0</v>
      </c>
      <c r="F302" s="97">
        <f>'Orderformular Color Kids'!F308</f>
        <v>0</v>
      </c>
      <c r="G302" s="97">
        <f>'Orderformular Color Kids'!G308</f>
        <v>0</v>
      </c>
      <c r="H302" s="97">
        <f>'Orderformular Color Kids'!H308</f>
        <v>0</v>
      </c>
      <c r="I302" s="97">
        <f>'Orderformular Color Kids'!I308</f>
        <v>0</v>
      </c>
      <c r="J302" s="97">
        <f>'Orderformular Color Kids'!J308</f>
        <v>0</v>
      </c>
      <c r="K302" s="97">
        <f>'Orderformular Color Kids'!K308</f>
        <v>0</v>
      </c>
      <c r="L302" s="97">
        <f>'Orderformular Color Kids'!L308</f>
        <v>0</v>
      </c>
      <c r="M302" s="97">
        <f>'Orderformular Color Kids'!M308</f>
        <v>0</v>
      </c>
      <c r="N302" s="97">
        <f>'Orderformular Color Kids'!N308</f>
        <v>0</v>
      </c>
      <c r="O302" s="97">
        <f>'Orderformular Color Kids'!O308</f>
        <v>0</v>
      </c>
      <c r="P302" s="97">
        <f>'Orderformular Color Kids'!P308</f>
        <v>0</v>
      </c>
      <c r="Q302" s="97">
        <f>'Orderformular Color Kids'!Q308</f>
        <v>0</v>
      </c>
      <c r="R302" s="97">
        <f>'Orderformular Color Kids'!R308</f>
        <v>0</v>
      </c>
      <c r="S302" s="97">
        <f t="shared" si="4"/>
        <v>0</v>
      </c>
      <c r="T302" s="109">
        <f>'Orderformular Color Kids'!U308</f>
        <v>33.9</v>
      </c>
    </row>
    <row r="303" spans="1:20" ht="15" customHeight="1" x14ac:dyDescent="0.25">
      <c r="A303" s="110">
        <f>'Orderformular Color Kids'!A309</f>
        <v>743117</v>
      </c>
      <c r="B303" s="111" t="str">
        <f>'Orderformular Color Kids'!B309</f>
        <v>Anonymized Item 309</v>
      </c>
      <c r="C303" s="111" t="str">
        <f>'Orderformular Color Kids'!C309</f>
        <v xml:space="preserve">Anonymized 9153 Kalamata </v>
      </c>
      <c r="D303" s="111" t="str">
        <f>'Orderformular Color Kids'!D309</f>
        <v>Kids</v>
      </c>
      <c r="E303" s="97">
        <f>'Orderformular Color Kids'!E309</f>
        <v>0</v>
      </c>
      <c r="F303" s="97">
        <f>'Orderformular Color Kids'!F309</f>
        <v>0</v>
      </c>
      <c r="G303" s="97">
        <f>'Orderformular Color Kids'!G309</f>
        <v>0</v>
      </c>
      <c r="H303" s="97">
        <f>'Orderformular Color Kids'!H309</f>
        <v>0</v>
      </c>
      <c r="I303" s="97">
        <f>'Orderformular Color Kids'!I309</f>
        <v>0</v>
      </c>
      <c r="J303" s="97">
        <f>'Orderformular Color Kids'!J309</f>
        <v>0</v>
      </c>
      <c r="K303" s="97">
        <f>'Orderformular Color Kids'!K309</f>
        <v>0</v>
      </c>
      <c r="L303" s="97">
        <f>'Orderformular Color Kids'!L309</f>
        <v>0</v>
      </c>
      <c r="M303" s="97">
        <f>'Orderformular Color Kids'!M309</f>
        <v>0</v>
      </c>
      <c r="N303" s="97">
        <f>'Orderformular Color Kids'!N309</f>
        <v>0</v>
      </c>
      <c r="O303" s="97">
        <f>'Orderformular Color Kids'!O309</f>
        <v>0</v>
      </c>
      <c r="P303" s="97">
        <f>'Orderformular Color Kids'!P309</f>
        <v>0</v>
      </c>
      <c r="Q303" s="97">
        <f>'Orderformular Color Kids'!Q309</f>
        <v>0</v>
      </c>
      <c r="R303" s="97">
        <f>'Orderformular Color Kids'!R309</f>
        <v>0</v>
      </c>
      <c r="S303" s="97">
        <f t="shared" si="4"/>
        <v>0</v>
      </c>
      <c r="T303" s="109">
        <f>'Orderformular Color Kids'!U309</f>
        <v>33.9</v>
      </c>
    </row>
    <row r="304" spans="1:20" ht="15" customHeight="1" x14ac:dyDescent="0.25">
      <c r="A304" s="110">
        <f>'Orderformular Color Kids'!A310</f>
        <v>743121</v>
      </c>
      <c r="B304" s="111" t="str">
        <f>'Orderformular Color Kids'!B310</f>
        <v>Anonymized Item 310</v>
      </c>
      <c r="C304" s="111" t="str">
        <f>'Orderformular Color Kids'!C310</f>
        <v>Anonymized 2159 Seagrass</v>
      </c>
      <c r="D304" s="111" t="str">
        <f>'Orderformular Color Kids'!D310</f>
        <v>Kids</v>
      </c>
      <c r="E304" s="97">
        <f>'Orderformular Color Kids'!E310</f>
        <v>0</v>
      </c>
      <c r="F304" s="97">
        <f>'Orderformular Color Kids'!F310</f>
        <v>0</v>
      </c>
      <c r="G304" s="97">
        <f>'Orderformular Color Kids'!G310</f>
        <v>0</v>
      </c>
      <c r="H304" s="97">
        <f>'Orderformular Color Kids'!H310</f>
        <v>0</v>
      </c>
      <c r="I304" s="97">
        <f>'Orderformular Color Kids'!I310</f>
        <v>0</v>
      </c>
      <c r="J304" s="97">
        <f>'Orderformular Color Kids'!J310</f>
        <v>0</v>
      </c>
      <c r="K304" s="97">
        <f>'Orderformular Color Kids'!K310</f>
        <v>0</v>
      </c>
      <c r="L304" s="97">
        <f>'Orderformular Color Kids'!L310</f>
        <v>0</v>
      </c>
      <c r="M304" s="97">
        <f>'Orderformular Color Kids'!M310</f>
        <v>0</v>
      </c>
      <c r="N304" s="97">
        <f>'Orderformular Color Kids'!N310</f>
        <v>0</v>
      </c>
      <c r="O304" s="97">
        <f>'Orderformular Color Kids'!O310</f>
        <v>0</v>
      </c>
      <c r="P304" s="97">
        <f>'Orderformular Color Kids'!P310</f>
        <v>0</v>
      </c>
      <c r="Q304" s="97">
        <f>'Orderformular Color Kids'!Q310</f>
        <v>0</v>
      </c>
      <c r="R304" s="97">
        <f>'Orderformular Color Kids'!R310</f>
        <v>0</v>
      </c>
      <c r="S304" s="97">
        <f t="shared" si="4"/>
        <v>0</v>
      </c>
      <c r="T304" s="109">
        <f>'Orderformular Color Kids'!U310</f>
        <v>39.9</v>
      </c>
    </row>
    <row r="305" spans="1:20" ht="15" customHeight="1" x14ac:dyDescent="0.25">
      <c r="A305" s="110">
        <f>'Orderformular Color Kids'!A311</f>
        <v>743121</v>
      </c>
      <c r="B305" s="111" t="str">
        <f>'Orderformular Color Kids'!B311</f>
        <v>Anonymized Item 311</v>
      </c>
      <c r="C305" s="111" t="str">
        <f>'Orderformular Color Kids'!C311</f>
        <v>Anonymized 6685 Violet Tulle</v>
      </c>
      <c r="D305" s="111" t="str">
        <f>'Orderformular Color Kids'!D311</f>
        <v>Kids</v>
      </c>
      <c r="E305" s="97">
        <f>'Orderformular Color Kids'!E311</f>
        <v>0</v>
      </c>
      <c r="F305" s="97">
        <f>'Orderformular Color Kids'!F311</f>
        <v>0</v>
      </c>
      <c r="G305" s="97">
        <f>'Orderformular Color Kids'!G311</f>
        <v>0</v>
      </c>
      <c r="H305" s="97">
        <f>'Orderformular Color Kids'!H311</f>
        <v>0</v>
      </c>
      <c r="I305" s="97">
        <f>'Orderformular Color Kids'!I311</f>
        <v>0</v>
      </c>
      <c r="J305" s="97">
        <f>'Orderformular Color Kids'!J311</f>
        <v>0</v>
      </c>
      <c r="K305" s="97">
        <f>'Orderformular Color Kids'!K311</f>
        <v>0</v>
      </c>
      <c r="L305" s="97">
        <f>'Orderformular Color Kids'!L311</f>
        <v>0</v>
      </c>
      <c r="M305" s="97">
        <f>'Orderformular Color Kids'!M311</f>
        <v>0</v>
      </c>
      <c r="N305" s="97">
        <f>'Orderformular Color Kids'!N311</f>
        <v>0</v>
      </c>
      <c r="O305" s="97">
        <f>'Orderformular Color Kids'!O311</f>
        <v>0</v>
      </c>
      <c r="P305" s="97">
        <f>'Orderformular Color Kids'!P311</f>
        <v>0</v>
      </c>
      <c r="Q305" s="97">
        <f>'Orderformular Color Kids'!Q311</f>
        <v>0</v>
      </c>
      <c r="R305" s="97">
        <f>'Orderformular Color Kids'!R311</f>
        <v>0</v>
      </c>
      <c r="S305" s="97">
        <f t="shared" si="4"/>
        <v>0</v>
      </c>
      <c r="T305" s="109">
        <f>'Orderformular Color Kids'!U311</f>
        <v>39.9</v>
      </c>
    </row>
    <row r="306" spans="1:20" ht="15" customHeight="1" x14ac:dyDescent="0.25">
      <c r="A306" s="110">
        <f>'Orderformular Color Kids'!A312</f>
        <v>743129</v>
      </c>
      <c r="B306" s="111" t="str">
        <f>'Orderformular Color Kids'!B312</f>
        <v>Anonymized Item 312</v>
      </c>
      <c r="C306" s="111" t="str">
        <f>'Orderformular Color Kids'!C312</f>
        <v>Anonymized 2159 Seagrass</v>
      </c>
      <c r="D306" s="111" t="str">
        <f>'Orderformular Color Kids'!D312</f>
        <v>Kids</v>
      </c>
      <c r="E306" s="97">
        <f>'Orderformular Color Kids'!E312</f>
        <v>0</v>
      </c>
      <c r="F306" s="97">
        <f>'Orderformular Color Kids'!F312</f>
        <v>0</v>
      </c>
      <c r="G306" s="97">
        <f>'Orderformular Color Kids'!G312</f>
        <v>0</v>
      </c>
      <c r="H306" s="97">
        <f>'Orderformular Color Kids'!H312</f>
        <v>0</v>
      </c>
      <c r="I306" s="97">
        <f>'Orderformular Color Kids'!I312</f>
        <v>0</v>
      </c>
      <c r="J306" s="97">
        <f>'Orderformular Color Kids'!J312</f>
        <v>0</v>
      </c>
      <c r="K306" s="97">
        <f>'Orderformular Color Kids'!K312</f>
        <v>0</v>
      </c>
      <c r="L306" s="97">
        <f>'Orderformular Color Kids'!L312</f>
        <v>0</v>
      </c>
      <c r="M306" s="97">
        <f>'Orderformular Color Kids'!M312</f>
        <v>0</v>
      </c>
      <c r="N306" s="97">
        <f>'Orderformular Color Kids'!N312</f>
        <v>0</v>
      </c>
      <c r="O306" s="97">
        <f>'Orderformular Color Kids'!O312</f>
        <v>0</v>
      </c>
      <c r="P306" s="97">
        <f>'Orderformular Color Kids'!P312</f>
        <v>0</v>
      </c>
      <c r="Q306" s="97">
        <f>'Orderformular Color Kids'!Q312</f>
        <v>0</v>
      </c>
      <c r="R306" s="97">
        <f>'Orderformular Color Kids'!R312</f>
        <v>0</v>
      </c>
      <c r="S306" s="97">
        <f t="shared" si="4"/>
        <v>0</v>
      </c>
      <c r="T306" s="109">
        <f>'Orderformular Color Kids'!U312</f>
        <v>59.9</v>
      </c>
    </row>
    <row r="307" spans="1:20" ht="15" customHeight="1" x14ac:dyDescent="0.25">
      <c r="A307" s="110">
        <f>'Orderformular Color Kids'!A313</f>
        <v>743129</v>
      </c>
      <c r="B307" s="111" t="str">
        <f>'Orderformular Color Kids'!B313</f>
        <v>Anonymized Item 313</v>
      </c>
      <c r="C307" s="111" t="str">
        <f>'Orderformular Color Kids'!C313</f>
        <v>Anonymized 6685 Violet Tulle</v>
      </c>
      <c r="D307" s="111" t="str">
        <f>'Orderformular Color Kids'!D313</f>
        <v>Kids</v>
      </c>
      <c r="E307" s="97">
        <f>'Orderformular Color Kids'!E313</f>
        <v>0</v>
      </c>
      <c r="F307" s="97">
        <f>'Orderformular Color Kids'!F313</f>
        <v>0</v>
      </c>
      <c r="G307" s="97">
        <f>'Orderformular Color Kids'!G313</f>
        <v>0</v>
      </c>
      <c r="H307" s="97">
        <f>'Orderformular Color Kids'!H313</f>
        <v>0</v>
      </c>
      <c r="I307" s="97">
        <f>'Orderformular Color Kids'!I313</f>
        <v>0</v>
      </c>
      <c r="J307" s="97">
        <f>'Orderformular Color Kids'!J313</f>
        <v>0</v>
      </c>
      <c r="K307" s="97">
        <f>'Orderformular Color Kids'!K313</f>
        <v>0</v>
      </c>
      <c r="L307" s="97">
        <f>'Orderformular Color Kids'!L313</f>
        <v>0</v>
      </c>
      <c r="M307" s="97">
        <f>'Orderformular Color Kids'!M313</f>
        <v>0</v>
      </c>
      <c r="N307" s="97">
        <f>'Orderformular Color Kids'!N313</f>
        <v>0</v>
      </c>
      <c r="O307" s="97">
        <f>'Orderformular Color Kids'!O313</f>
        <v>0</v>
      </c>
      <c r="P307" s="97">
        <f>'Orderformular Color Kids'!P313</f>
        <v>0</v>
      </c>
      <c r="Q307" s="97">
        <f>'Orderformular Color Kids'!Q313</f>
        <v>0</v>
      </c>
      <c r="R307" s="97">
        <f>'Orderformular Color Kids'!R313</f>
        <v>0</v>
      </c>
      <c r="S307" s="97">
        <f t="shared" si="4"/>
        <v>0</v>
      </c>
      <c r="T307" s="109">
        <f>'Orderformular Color Kids'!U313</f>
        <v>59.9</v>
      </c>
    </row>
    <row r="308" spans="1:20" ht="15" customHeight="1" x14ac:dyDescent="0.25">
      <c r="A308" s="110">
        <f>'Orderformular Color Kids'!A314</f>
        <v>743133</v>
      </c>
      <c r="B308" s="111" t="str">
        <f>'Orderformular Color Kids'!B314</f>
        <v>Anonymized Item 314</v>
      </c>
      <c r="C308" s="111" t="str">
        <f>'Orderformular Color Kids'!C314</f>
        <v>Anonymized 2159 Seagrass</v>
      </c>
      <c r="D308" s="111" t="str">
        <f>'Orderformular Color Kids'!D314</f>
        <v>Kids</v>
      </c>
      <c r="E308" s="97">
        <f>'Orderformular Color Kids'!E314</f>
        <v>0</v>
      </c>
      <c r="F308" s="97">
        <f>'Orderformular Color Kids'!F314</f>
        <v>0</v>
      </c>
      <c r="G308" s="97">
        <f>'Orderformular Color Kids'!G314</f>
        <v>0</v>
      </c>
      <c r="H308" s="97">
        <f>'Orderformular Color Kids'!H314</f>
        <v>0</v>
      </c>
      <c r="I308" s="97">
        <f>'Orderformular Color Kids'!I314</f>
        <v>0</v>
      </c>
      <c r="J308" s="97">
        <f>'Orderformular Color Kids'!J314</f>
        <v>0</v>
      </c>
      <c r="K308" s="97">
        <f>'Orderformular Color Kids'!K314</f>
        <v>0</v>
      </c>
      <c r="L308" s="97">
        <f>'Orderformular Color Kids'!L314</f>
        <v>0</v>
      </c>
      <c r="M308" s="97">
        <f>'Orderformular Color Kids'!M314</f>
        <v>0</v>
      </c>
      <c r="N308" s="97">
        <f>'Orderformular Color Kids'!N314</f>
        <v>0</v>
      </c>
      <c r="O308" s="97">
        <f>'Orderformular Color Kids'!O314</f>
        <v>0</v>
      </c>
      <c r="P308" s="97">
        <f>'Orderformular Color Kids'!P314</f>
        <v>0</v>
      </c>
      <c r="Q308" s="97">
        <f>'Orderformular Color Kids'!Q314</f>
        <v>0</v>
      </c>
      <c r="R308" s="97">
        <f>'Orderformular Color Kids'!R314</f>
        <v>0</v>
      </c>
      <c r="S308" s="97">
        <f t="shared" si="4"/>
        <v>0</v>
      </c>
      <c r="T308" s="109">
        <f>'Orderformular Color Kids'!U314</f>
        <v>59.9</v>
      </c>
    </row>
    <row r="309" spans="1:20" ht="15" customHeight="1" x14ac:dyDescent="0.25">
      <c r="A309" s="110">
        <f>'Orderformular Color Kids'!A315</f>
        <v>743133</v>
      </c>
      <c r="B309" s="111" t="str">
        <f>'Orderformular Color Kids'!B315</f>
        <v>Anonymized Item 315</v>
      </c>
      <c r="C309" s="111" t="str">
        <f>'Orderformular Color Kids'!C315</f>
        <v>Anonymized 6685 Violet Tulle</v>
      </c>
      <c r="D309" s="111" t="str">
        <f>'Orderformular Color Kids'!D315</f>
        <v>Kids</v>
      </c>
      <c r="E309" s="97">
        <f>'Orderformular Color Kids'!E315</f>
        <v>0</v>
      </c>
      <c r="F309" s="97">
        <f>'Orderformular Color Kids'!F315</f>
        <v>0</v>
      </c>
      <c r="G309" s="97">
        <f>'Orderformular Color Kids'!G315</f>
        <v>0</v>
      </c>
      <c r="H309" s="97">
        <f>'Orderformular Color Kids'!H315</f>
        <v>0</v>
      </c>
      <c r="I309" s="97">
        <f>'Orderformular Color Kids'!I315</f>
        <v>0</v>
      </c>
      <c r="J309" s="97">
        <f>'Orderformular Color Kids'!J315</f>
        <v>0</v>
      </c>
      <c r="K309" s="97">
        <f>'Orderformular Color Kids'!K315</f>
        <v>0</v>
      </c>
      <c r="L309" s="97">
        <f>'Orderformular Color Kids'!L315</f>
        <v>0</v>
      </c>
      <c r="M309" s="97">
        <f>'Orderformular Color Kids'!M315</f>
        <v>0</v>
      </c>
      <c r="N309" s="97">
        <f>'Orderformular Color Kids'!N315</f>
        <v>0</v>
      </c>
      <c r="O309" s="97">
        <f>'Orderformular Color Kids'!O315</f>
        <v>0</v>
      </c>
      <c r="P309" s="97">
        <f>'Orderformular Color Kids'!P315</f>
        <v>0</v>
      </c>
      <c r="Q309" s="97">
        <f>'Orderformular Color Kids'!Q315</f>
        <v>0</v>
      </c>
      <c r="R309" s="97">
        <f>'Orderformular Color Kids'!R315</f>
        <v>0</v>
      </c>
      <c r="S309" s="97">
        <f t="shared" si="4"/>
        <v>0</v>
      </c>
      <c r="T309" s="109">
        <f>'Orderformular Color Kids'!U315</f>
        <v>59.9</v>
      </c>
    </row>
    <row r="310" spans="1:20" ht="15" customHeight="1" x14ac:dyDescent="0.25">
      <c r="A310" s="110">
        <f>'Orderformular Color Kids'!A316</f>
        <v>743133</v>
      </c>
      <c r="B310" s="111" t="str">
        <f>'Orderformular Color Kids'!B316</f>
        <v>Anonymized Item 316</v>
      </c>
      <c r="C310" s="111" t="str">
        <f>'Orderformular Color Kids'!C316</f>
        <v>Anonymized 7334 Persian Jewel</v>
      </c>
      <c r="D310" s="111" t="str">
        <f>'Orderformular Color Kids'!D316</f>
        <v>Kids</v>
      </c>
      <c r="E310" s="97">
        <f>'Orderformular Color Kids'!E316</f>
        <v>0</v>
      </c>
      <c r="F310" s="97">
        <f>'Orderformular Color Kids'!F316</f>
        <v>0</v>
      </c>
      <c r="G310" s="97">
        <f>'Orderformular Color Kids'!G316</f>
        <v>0</v>
      </c>
      <c r="H310" s="97">
        <f>'Orderformular Color Kids'!H316</f>
        <v>0</v>
      </c>
      <c r="I310" s="97">
        <f>'Orderformular Color Kids'!I316</f>
        <v>0</v>
      </c>
      <c r="J310" s="97">
        <f>'Orderformular Color Kids'!J316</f>
        <v>0</v>
      </c>
      <c r="K310" s="97">
        <f>'Orderformular Color Kids'!K316</f>
        <v>0</v>
      </c>
      <c r="L310" s="97">
        <f>'Orderformular Color Kids'!L316</f>
        <v>0</v>
      </c>
      <c r="M310" s="97">
        <f>'Orderformular Color Kids'!M316</f>
        <v>0</v>
      </c>
      <c r="N310" s="97">
        <f>'Orderformular Color Kids'!N316</f>
        <v>0</v>
      </c>
      <c r="O310" s="97">
        <f>'Orderformular Color Kids'!O316</f>
        <v>0</v>
      </c>
      <c r="P310" s="97">
        <f>'Orderformular Color Kids'!P316</f>
        <v>0</v>
      </c>
      <c r="Q310" s="97">
        <f>'Orderformular Color Kids'!Q316</f>
        <v>0</v>
      </c>
      <c r="R310" s="97">
        <f>'Orderformular Color Kids'!R316</f>
        <v>0</v>
      </c>
      <c r="S310" s="97">
        <f t="shared" si="4"/>
        <v>0</v>
      </c>
      <c r="T310" s="109">
        <f>'Orderformular Color Kids'!U316</f>
        <v>59.9</v>
      </c>
    </row>
    <row r="311" spans="1:20" ht="15" customHeight="1" x14ac:dyDescent="0.25">
      <c r="A311" s="110">
        <f>'Orderformular Color Kids'!A317</f>
        <v>743133</v>
      </c>
      <c r="B311" s="111" t="str">
        <f>'Orderformular Color Kids'!B317</f>
        <v>Anonymized Item 317</v>
      </c>
      <c r="C311" s="111" t="str">
        <f>'Orderformular Color Kids'!C317</f>
        <v>Anonymized 7880 Surf The Web</v>
      </c>
      <c r="D311" s="111" t="str">
        <f>'Orderformular Color Kids'!D317</f>
        <v>Kids</v>
      </c>
      <c r="E311" s="97">
        <f>'Orderformular Color Kids'!E317</f>
        <v>0</v>
      </c>
      <c r="F311" s="97">
        <f>'Orderformular Color Kids'!F317</f>
        <v>0</v>
      </c>
      <c r="G311" s="97">
        <f>'Orderformular Color Kids'!G317</f>
        <v>0</v>
      </c>
      <c r="H311" s="97">
        <f>'Orderformular Color Kids'!H317</f>
        <v>0</v>
      </c>
      <c r="I311" s="97">
        <f>'Orderformular Color Kids'!I317</f>
        <v>0</v>
      </c>
      <c r="J311" s="97">
        <f>'Orderformular Color Kids'!J317</f>
        <v>0</v>
      </c>
      <c r="K311" s="97">
        <f>'Orderformular Color Kids'!K317</f>
        <v>0</v>
      </c>
      <c r="L311" s="97">
        <f>'Orderformular Color Kids'!L317</f>
        <v>0</v>
      </c>
      <c r="M311" s="97">
        <f>'Orderformular Color Kids'!M317</f>
        <v>0</v>
      </c>
      <c r="N311" s="97">
        <f>'Orderformular Color Kids'!N317</f>
        <v>0</v>
      </c>
      <c r="O311" s="97">
        <f>'Orderformular Color Kids'!O317</f>
        <v>0</v>
      </c>
      <c r="P311" s="97">
        <f>'Orderformular Color Kids'!P317</f>
        <v>0</v>
      </c>
      <c r="Q311" s="97">
        <f>'Orderformular Color Kids'!Q317</f>
        <v>0</v>
      </c>
      <c r="R311" s="97">
        <f>'Orderformular Color Kids'!R317</f>
        <v>0</v>
      </c>
      <c r="S311" s="97">
        <f t="shared" si="4"/>
        <v>0</v>
      </c>
      <c r="T311" s="109">
        <f>'Orderformular Color Kids'!U317</f>
        <v>59.9</v>
      </c>
    </row>
    <row r="312" spans="1:20" ht="15" customHeight="1" x14ac:dyDescent="0.25">
      <c r="A312" s="110">
        <f>'Orderformular Color Kids'!A318</f>
        <v>743134</v>
      </c>
      <c r="B312" s="111" t="str">
        <f>'Orderformular Color Kids'!B318</f>
        <v>Anonymized Item 318</v>
      </c>
      <c r="C312" s="111" t="str">
        <f>'Orderformular Color Kids'!C318</f>
        <v>Anonymized 2159 Seagrass</v>
      </c>
      <c r="D312" s="111" t="str">
        <f>'Orderformular Color Kids'!D318</f>
        <v>Kids</v>
      </c>
      <c r="E312" s="97">
        <f>'Orderformular Color Kids'!E318</f>
        <v>0</v>
      </c>
      <c r="F312" s="97">
        <f>'Orderformular Color Kids'!F318</f>
        <v>0</v>
      </c>
      <c r="G312" s="97">
        <f>'Orderformular Color Kids'!G318</f>
        <v>0</v>
      </c>
      <c r="H312" s="97">
        <f>'Orderformular Color Kids'!H318</f>
        <v>0</v>
      </c>
      <c r="I312" s="97">
        <f>'Orderformular Color Kids'!I318</f>
        <v>0</v>
      </c>
      <c r="J312" s="97">
        <f>'Orderformular Color Kids'!J318</f>
        <v>0</v>
      </c>
      <c r="K312" s="97">
        <f>'Orderformular Color Kids'!K318</f>
        <v>0</v>
      </c>
      <c r="L312" s="97">
        <f>'Orderformular Color Kids'!L318</f>
        <v>0</v>
      </c>
      <c r="M312" s="97">
        <f>'Orderformular Color Kids'!M318</f>
        <v>0</v>
      </c>
      <c r="N312" s="97">
        <f>'Orderformular Color Kids'!N318</f>
        <v>0</v>
      </c>
      <c r="O312" s="97">
        <f>'Orderformular Color Kids'!O318</f>
        <v>0</v>
      </c>
      <c r="P312" s="97">
        <f>'Orderformular Color Kids'!P318</f>
        <v>0</v>
      </c>
      <c r="Q312" s="97">
        <f>'Orderformular Color Kids'!Q318</f>
        <v>0</v>
      </c>
      <c r="R312" s="97">
        <f>'Orderformular Color Kids'!R318</f>
        <v>0</v>
      </c>
      <c r="S312" s="97">
        <f t="shared" si="4"/>
        <v>0</v>
      </c>
      <c r="T312" s="109">
        <f>'Orderformular Color Kids'!U318</f>
        <v>49.9</v>
      </c>
    </row>
    <row r="313" spans="1:20" ht="15" customHeight="1" x14ac:dyDescent="0.25">
      <c r="A313" s="110">
        <f>'Orderformular Color Kids'!A319</f>
        <v>743134</v>
      </c>
      <c r="B313" s="111" t="str">
        <f>'Orderformular Color Kids'!B319</f>
        <v>Anonymized Item 319</v>
      </c>
      <c r="C313" s="111" t="str">
        <f>'Orderformular Color Kids'!C319</f>
        <v>Anonymized 6685 Violet Tulle</v>
      </c>
      <c r="D313" s="111" t="str">
        <f>'Orderformular Color Kids'!D319</f>
        <v>Kids</v>
      </c>
      <c r="E313" s="97">
        <f>'Orderformular Color Kids'!E319</f>
        <v>0</v>
      </c>
      <c r="F313" s="97">
        <f>'Orderformular Color Kids'!F319</f>
        <v>0</v>
      </c>
      <c r="G313" s="97">
        <f>'Orderformular Color Kids'!G319</f>
        <v>0</v>
      </c>
      <c r="H313" s="97">
        <f>'Orderformular Color Kids'!H319</f>
        <v>0</v>
      </c>
      <c r="I313" s="97">
        <f>'Orderformular Color Kids'!I319</f>
        <v>0</v>
      </c>
      <c r="J313" s="97">
        <f>'Orderformular Color Kids'!J319</f>
        <v>0</v>
      </c>
      <c r="K313" s="97">
        <f>'Orderformular Color Kids'!K319</f>
        <v>0</v>
      </c>
      <c r="L313" s="97">
        <f>'Orderformular Color Kids'!L319</f>
        <v>0</v>
      </c>
      <c r="M313" s="97">
        <f>'Orderformular Color Kids'!M319</f>
        <v>0</v>
      </c>
      <c r="N313" s="97">
        <f>'Orderformular Color Kids'!N319</f>
        <v>0</v>
      </c>
      <c r="O313" s="97">
        <f>'Orderformular Color Kids'!O319</f>
        <v>0</v>
      </c>
      <c r="P313" s="97">
        <f>'Orderformular Color Kids'!P319</f>
        <v>0</v>
      </c>
      <c r="Q313" s="97">
        <f>'Orderformular Color Kids'!Q319</f>
        <v>0</v>
      </c>
      <c r="R313" s="97">
        <f>'Orderformular Color Kids'!R319</f>
        <v>0</v>
      </c>
      <c r="S313" s="97">
        <f t="shared" si="4"/>
        <v>0</v>
      </c>
      <c r="T313" s="109">
        <f>'Orderformular Color Kids'!U319</f>
        <v>49.9</v>
      </c>
    </row>
    <row r="314" spans="1:20" ht="15" customHeight="1" x14ac:dyDescent="0.25">
      <c r="A314" s="110">
        <f>'Orderformular Color Kids'!A320</f>
        <v>743134</v>
      </c>
      <c r="B314" s="111" t="str">
        <f>'Orderformular Color Kids'!B320</f>
        <v>Anonymized Item 320</v>
      </c>
      <c r="C314" s="111" t="str">
        <f>'Orderformular Color Kids'!C320</f>
        <v>Anonymized 7334 Persian Jewel</v>
      </c>
      <c r="D314" s="111" t="str">
        <f>'Orderformular Color Kids'!D320</f>
        <v>Kids</v>
      </c>
      <c r="E314" s="97">
        <f>'Orderformular Color Kids'!E320</f>
        <v>0</v>
      </c>
      <c r="F314" s="97">
        <f>'Orderformular Color Kids'!F320</f>
        <v>0</v>
      </c>
      <c r="G314" s="97">
        <f>'Orderformular Color Kids'!G320</f>
        <v>0</v>
      </c>
      <c r="H314" s="97">
        <f>'Orderformular Color Kids'!H320</f>
        <v>0</v>
      </c>
      <c r="I314" s="97">
        <f>'Orderformular Color Kids'!I320</f>
        <v>0</v>
      </c>
      <c r="J314" s="97">
        <f>'Orderformular Color Kids'!J320</f>
        <v>0</v>
      </c>
      <c r="K314" s="97">
        <f>'Orderformular Color Kids'!K320</f>
        <v>0</v>
      </c>
      <c r="L314" s="97">
        <f>'Orderformular Color Kids'!L320</f>
        <v>0</v>
      </c>
      <c r="M314" s="97">
        <f>'Orderformular Color Kids'!M320</f>
        <v>0</v>
      </c>
      <c r="N314" s="97">
        <f>'Orderformular Color Kids'!N320</f>
        <v>0</v>
      </c>
      <c r="O314" s="97">
        <f>'Orderformular Color Kids'!O320</f>
        <v>0</v>
      </c>
      <c r="P314" s="97">
        <f>'Orderformular Color Kids'!P320</f>
        <v>0</v>
      </c>
      <c r="Q314" s="97">
        <f>'Orderformular Color Kids'!Q320</f>
        <v>0</v>
      </c>
      <c r="R314" s="97">
        <f>'Orderformular Color Kids'!R320</f>
        <v>0</v>
      </c>
      <c r="S314" s="97">
        <f t="shared" si="4"/>
        <v>0</v>
      </c>
      <c r="T314" s="109">
        <f>'Orderformular Color Kids'!U320</f>
        <v>49.9</v>
      </c>
    </row>
    <row r="315" spans="1:20" ht="15" customHeight="1" x14ac:dyDescent="0.25">
      <c r="A315" s="110">
        <f>'Orderformular Color Kids'!A321</f>
        <v>743134</v>
      </c>
      <c r="B315" s="111" t="str">
        <f>'Orderformular Color Kids'!B321</f>
        <v>Anonymized Item 321</v>
      </c>
      <c r="C315" s="111" t="str">
        <f>'Orderformular Color Kids'!C321</f>
        <v>Anonymized 7880 Surf The Web</v>
      </c>
      <c r="D315" s="111" t="str">
        <f>'Orderformular Color Kids'!D321</f>
        <v>Kids</v>
      </c>
      <c r="E315" s="97">
        <f>'Orderformular Color Kids'!E321</f>
        <v>0</v>
      </c>
      <c r="F315" s="97">
        <f>'Orderformular Color Kids'!F321</f>
        <v>0</v>
      </c>
      <c r="G315" s="97">
        <f>'Orderformular Color Kids'!G321</f>
        <v>0</v>
      </c>
      <c r="H315" s="97">
        <f>'Orderformular Color Kids'!H321</f>
        <v>0</v>
      </c>
      <c r="I315" s="97">
        <f>'Orderformular Color Kids'!I321</f>
        <v>0</v>
      </c>
      <c r="J315" s="97">
        <f>'Orderformular Color Kids'!J321</f>
        <v>0</v>
      </c>
      <c r="K315" s="97">
        <f>'Orderformular Color Kids'!K321</f>
        <v>0</v>
      </c>
      <c r="L315" s="97">
        <f>'Orderformular Color Kids'!L321</f>
        <v>0</v>
      </c>
      <c r="M315" s="97">
        <f>'Orderformular Color Kids'!M321</f>
        <v>0</v>
      </c>
      <c r="N315" s="97">
        <f>'Orderformular Color Kids'!N321</f>
        <v>0</v>
      </c>
      <c r="O315" s="97">
        <f>'Orderformular Color Kids'!O321</f>
        <v>0</v>
      </c>
      <c r="P315" s="97">
        <f>'Orderformular Color Kids'!P321</f>
        <v>0</v>
      </c>
      <c r="Q315" s="97">
        <f>'Orderformular Color Kids'!Q321</f>
        <v>0</v>
      </c>
      <c r="R315" s="97">
        <f>'Orderformular Color Kids'!R321</f>
        <v>0</v>
      </c>
      <c r="S315" s="97">
        <f t="shared" si="4"/>
        <v>0</v>
      </c>
      <c r="T315" s="109">
        <f>'Orderformular Color Kids'!U321</f>
        <v>49.9</v>
      </c>
    </row>
    <row r="316" spans="1:20" ht="15" customHeight="1" x14ac:dyDescent="0.25">
      <c r="A316" s="110">
        <f>'Orderformular Color Kids'!A322</f>
        <v>743135</v>
      </c>
      <c r="B316" s="111" t="str">
        <f>'Orderformular Color Kids'!B322</f>
        <v>Anonymized Item 322</v>
      </c>
      <c r="C316" s="111" t="str">
        <f>'Orderformular Color Kids'!C322</f>
        <v>Anonymized 2160 Coca Mocha</v>
      </c>
      <c r="D316" s="111" t="str">
        <f>'Orderformular Color Kids'!D322</f>
        <v>Kids</v>
      </c>
      <c r="E316" s="97">
        <f>'Orderformular Color Kids'!E322</f>
        <v>0</v>
      </c>
      <c r="F316" s="97">
        <f>'Orderformular Color Kids'!F322</f>
        <v>0</v>
      </c>
      <c r="G316" s="97">
        <f>'Orderformular Color Kids'!G322</f>
        <v>0</v>
      </c>
      <c r="H316" s="97">
        <f>'Orderformular Color Kids'!H322</f>
        <v>0</v>
      </c>
      <c r="I316" s="97">
        <f>'Orderformular Color Kids'!I322</f>
        <v>0</v>
      </c>
      <c r="J316" s="97">
        <f>'Orderformular Color Kids'!J322</f>
        <v>0</v>
      </c>
      <c r="K316" s="97">
        <f>'Orderformular Color Kids'!K322</f>
        <v>0</v>
      </c>
      <c r="L316" s="97">
        <f>'Orderformular Color Kids'!L322</f>
        <v>0</v>
      </c>
      <c r="M316" s="97">
        <f>'Orderformular Color Kids'!M322</f>
        <v>0</v>
      </c>
      <c r="N316" s="97">
        <f>'Orderformular Color Kids'!N322</f>
        <v>0</v>
      </c>
      <c r="O316" s="97">
        <f>'Orderformular Color Kids'!O322</f>
        <v>0</v>
      </c>
      <c r="P316" s="97">
        <f>'Orderformular Color Kids'!P322</f>
        <v>0</v>
      </c>
      <c r="Q316" s="97">
        <f>'Orderformular Color Kids'!Q322</f>
        <v>0</v>
      </c>
      <c r="R316" s="97">
        <f>'Orderformular Color Kids'!R322</f>
        <v>0</v>
      </c>
      <c r="S316" s="97">
        <f t="shared" si="4"/>
        <v>0</v>
      </c>
      <c r="T316" s="109">
        <f>'Orderformular Color Kids'!U322</f>
        <v>49.9</v>
      </c>
    </row>
    <row r="317" spans="1:20" ht="15" customHeight="1" x14ac:dyDescent="0.25">
      <c r="A317" s="110">
        <f>'Orderformular Color Kids'!A323</f>
        <v>743135</v>
      </c>
      <c r="B317" s="111" t="str">
        <f>'Orderformular Color Kids'!B323</f>
        <v>Anonymized Item 323</v>
      </c>
      <c r="C317" s="111" t="str">
        <f>'Orderformular Color Kids'!C323</f>
        <v>Anonymized 6685 Violet Tulle</v>
      </c>
      <c r="D317" s="111" t="str">
        <f>'Orderformular Color Kids'!D323</f>
        <v>Kids</v>
      </c>
      <c r="E317" s="97">
        <f>'Orderformular Color Kids'!E323</f>
        <v>0</v>
      </c>
      <c r="F317" s="97">
        <f>'Orderformular Color Kids'!F323</f>
        <v>0</v>
      </c>
      <c r="G317" s="97">
        <f>'Orderformular Color Kids'!G323</f>
        <v>0</v>
      </c>
      <c r="H317" s="97">
        <f>'Orderformular Color Kids'!H323</f>
        <v>0</v>
      </c>
      <c r="I317" s="97">
        <f>'Orderformular Color Kids'!I323</f>
        <v>0</v>
      </c>
      <c r="J317" s="97">
        <f>'Orderformular Color Kids'!J323</f>
        <v>0</v>
      </c>
      <c r="K317" s="97">
        <f>'Orderformular Color Kids'!K323</f>
        <v>0</v>
      </c>
      <c r="L317" s="97">
        <f>'Orderformular Color Kids'!L323</f>
        <v>0</v>
      </c>
      <c r="M317" s="97">
        <f>'Orderformular Color Kids'!M323</f>
        <v>0</v>
      </c>
      <c r="N317" s="97">
        <f>'Orderformular Color Kids'!N323</f>
        <v>0</v>
      </c>
      <c r="O317" s="97">
        <f>'Orderformular Color Kids'!O323</f>
        <v>0</v>
      </c>
      <c r="P317" s="97">
        <f>'Orderformular Color Kids'!P323</f>
        <v>0</v>
      </c>
      <c r="Q317" s="97">
        <f>'Orderformular Color Kids'!Q323</f>
        <v>0</v>
      </c>
      <c r="R317" s="97">
        <f>'Orderformular Color Kids'!R323</f>
        <v>0</v>
      </c>
      <c r="S317" s="97">
        <f t="shared" si="4"/>
        <v>0</v>
      </c>
      <c r="T317" s="109">
        <f>'Orderformular Color Kids'!U323</f>
        <v>49.9</v>
      </c>
    </row>
    <row r="318" spans="1:20" ht="15" customHeight="1" x14ac:dyDescent="0.25">
      <c r="A318" s="110">
        <f>'Orderformular Color Kids'!A324</f>
        <v>743135</v>
      </c>
      <c r="B318" s="111" t="str">
        <f>'Orderformular Color Kids'!B324</f>
        <v>Anonymized Item 324</v>
      </c>
      <c r="C318" s="111" t="str">
        <f>'Orderformular Color Kids'!C324</f>
        <v>Anonymized 7880 Surf The Web</v>
      </c>
      <c r="D318" s="111" t="str">
        <f>'Orderformular Color Kids'!D324</f>
        <v>Kids</v>
      </c>
      <c r="E318" s="97">
        <f>'Orderformular Color Kids'!E324</f>
        <v>0</v>
      </c>
      <c r="F318" s="97">
        <f>'Orderformular Color Kids'!F324</f>
        <v>0</v>
      </c>
      <c r="G318" s="97">
        <f>'Orderformular Color Kids'!G324</f>
        <v>0</v>
      </c>
      <c r="H318" s="97">
        <f>'Orderformular Color Kids'!H324</f>
        <v>0</v>
      </c>
      <c r="I318" s="97">
        <f>'Orderformular Color Kids'!I324</f>
        <v>0</v>
      </c>
      <c r="J318" s="97">
        <f>'Orderformular Color Kids'!J324</f>
        <v>0</v>
      </c>
      <c r="K318" s="97">
        <f>'Orderformular Color Kids'!K324</f>
        <v>0</v>
      </c>
      <c r="L318" s="97">
        <f>'Orderformular Color Kids'!L324</f>
        <v>0</v>
      </c>
      <c r="M318" s="97">
        <f>'Orderformular Color Kids'!M324</f>
        <v>0</v>
      </c>
      <c r="N318" s="97">
        <f>'Orderformular Color Kids'!N324</f>
        <v>0</v>
      </c>
      <c r="O318" s="97">
        <f>'Orderformular Color Kids'!O324</f>
        <v>0</v>
      </c>
      <c r="P318" s="97">
        <f>'Orderformular Color Kids'!P324</f>
        <v>0</v>
      </c>
      <c r="Q318" s="97">
        <f>'Orderformular Color Kids'!Q324</f>
        <v>0</v>
      </c>
      <c r="R318" s="97">
        <f>'Orderformular Color Kids'!R324</f>
        <v>0</v>
      </c>
      <c r="S318" s="97">
        <f t="shared" si="4"/>
        <v>0</v>
      </c>
      <c r="T318" s="109">
        <f>'Orderformular Color Kids'!U324</f>
        <v>49.9</v>
      </c>
    </row>
    <row r="319" spans="1:20" ht="15" customHeight="1" x14ac:dyDescent="0.25">
      <c r="A319" s="110">
        <f>'Orderformular Color Kids'!A325</f>
        <v>743136</v>
      </c>
      <c r="B319" s="111" t="str">
        <f>'Orderformular Color Kids'!B325</f>
        <v>Anonymized Item 325</v>
      </c>
      <c r="C319" s="111" t="str">
        <f>'Orderformular Color Kids'!C325</f>
        <v>Anonymized 3257 Sun Orange</v>
      </c>
      <c r="D319" s="111" t="str">
        <f>'Orderformular Color Kids'!D325</f>
        <v>Kids</v>
      </c>
      <c r="E319" s="97">
        <f>'Orderformular Color Kids'!E325</f>
        <v>0</v>
      </c>
      <c r="F319" s="97">
        <f>'Orderformular Color Kids'!F325</f>
        <v>0</v>
      </c>
      <c r="G319" s="97">
        <f>'Orderformular Color Kids'!G325</f>
        <v>0</v>
      </c>
      <c r="H319" s="97">
        <f>'Orderformular Color Kids'!H325</f>
        <v>0</v>
      </c>
      <c r="I319" s="97">
        <f>'Orderformular Color Kids'!I325</f>
        <v>0</v>
      </c>
      <c r="J319" s="97">
        <f>'Orderformular Color Kids'!J325</f>
        <v>0</v>
      </c>
      <c r="K319" s="97">
        <f>'Orderformular Color Kids'!K325</f>
        <v>0</v>
      </c>
      <c r="L319" s="97">
        <f>'Orderformular Color Kids'!L325</f>
        <v>0</v>
      </c>
      <c r="M319" s="97">
        <f>'Orderformular Color Kids'!M325</f>
        <v>0</v>
      </c>
      <c r="N319" s="97">
        <f>'Orderformular Color Kids'!N325</f>
        <v>0</v>
      </c>
      <c r="O319" s="97">
        <f>'Orderformular Color Kids'!O325</f>
        <v>0</v>
      </c>
      <c r="P319" s="97">
        <f>'Orderformular Color Kids'!P325</f>
        <v>0</v>
      </c>
      <c r="Q319" s="97">
        <f>'Orderformular Color Kids'!Q325</f>
        <v>0</v>
      </c>
      <c r="R319" s="97">
        <f>'Orderformular Color Kids'!R325</f>
        <v>0</v>
      </c>
      <c r="S319" s="97">
        <f t="shared" si="4"/>
        <v>0</v>
      </c>
      <c r="T319" s="109">
        <f>'Orderformular Color Kids'!U325</f>
        <v>45.9</v>
      </c>
    </row>
    <row r="320" spans="1:20" ht="15" customHeight="1" x14ac:dyDescent="0.25">
      <c r="A320" s="110">
        <f>'Orderformular Color Kids'!A326</f>
        <v>743136</v>
      </c>
      <c r="B320" s="111" t="str">
        <f>'Orderformular Color Kids'!B326</f>
        <v>Anonymized Item 326</v>
      </c>
      <c r="C320" s="111" t="str">
        <f>'Orderformular Color Kids'!C326</f>
        <v>Anonymized 6685 Violet Tulle</v>
      </c>
      <c r="D320" s="111" t="str">
        <f>'Orderformular Color Kids'!D326</f>
        <v>Kids</v>
      </c>
      <c r="E320" s="97">
        <f>'Orderformular Color Kids'!E326</f>
        <v>0</v>
      </c>
      <c r="F320" s="97">
        <f>'Orderformular Color Kids'!F326</f>
        <v>0</v>
      </c>
      <c r="G320" s="97">
        <f>'Orderformular Color Kids'!G326</f>
        <v>0</v>
      </c>
      <c r="H320" s="97">
        <f>'Orderformular Color Kids'!H326</f>
        <v>0</v>
      </c>
      <c r="I320" s="97">
        <f>'Orderformular Color Kids'!I326</f>
        <v>0</v>
      </c>
      <c r="J320" s="97">
        <f>'Orderformular Color Kids'!J326</f>
        <v>0</v>
      </c>
      <c r="K320" s="97">
        <f>'Orderformular Color Kids'!K326</f>
        <v>0</v>
      </c>
      <c r="L320" s="97">
        <f>'Orderformular Color Kids'!L326</f>
        <v>0</v>
      </c>
      <c r="M320" s="97">
        <f>'Orderformular Color Kids'!M326</f>
        <v>0</v>
      </c>
      <c r="N320" s="97">
        <f>'Orderformular Color Kids'!N326</f>
        <v>0</v>
      </c>
      <c r="O320" s="97">
        <f>'Orderformular Color Kids'!O326</f>
        <v>0</v>
      </c>
      <c r="P320" s="97">
        <f>'Orderformular Color Kids'!P326</f>
        <v>0</v>
      </c>
      <c r="Q320" s="97">
        <f>'Orderformular Color Kids'!Q326</f>
        <v>0</v>
      </c>
      <c r="R320" s="97">
        <f>'Orderformular Color Kids'!R326</f>
        <v>0</v>
      </c>
      <c r="S320" s="97">
        <f t="shared" si="4"/>
        <v>0</v>
      </c>
      <c r="T320" s="109">
        <f>'Orderformular Color Kids'!U326</f>
        <v>45.9</v>
      </c>
    </row>
    <row r="321" spans="1:20" ht="15" customHeight="1" x14ac:dyDescent="0.25">
      <c r="A321" s="110">
        <f>'Orderformular Color Kids'!A327</f>
        <v>743136</v>
      </c>
      <c r="B321" s="111" t="str">
        <f>'Orderformular Color Kids'!B327</f>
        <v>Anonymized Item 327</v>
      </c>
      <c r="C321" s="111" t="str">
        <f>'Orderformular Color Kids'!C327</f>
        <v>Anonymized 7850 Total Eclipse</v>
      </c>
      <c r="D321" s="111" t="str">
        <f>'Orderformular Color Kids'!D327</f>
        <v>Kids</v>
      </c>
      <c r="E321" s="97">
        <f>'Orderformular Color Kids'!E327</f>
        <v>0</v>
      </c>
      <c r="F321" s="97">
        <f>'Orderformular Color Kids'!F327</f>
        <v>0</v>
      </c>
      <c r="G321" s="97">
        <f>'Orderformular Color Kids'!G327</f>
        <v>0</v>
      </c>
      <c r="H321" s="97">
        <f>'Orderformular Color Kids'!H327</f>
        <v>0</v>
      </c>
      <c r="I321" s="97">
        <f>'Orderformular Color Kids'!I327</f>
        <v>0</v>
      </c>
      <c r="J321" s="97">
        <f>'Orderformular Color Kids'!J327</f>
        <v>0</v>
      </c>
      <c r="K321" s="97">
        <f>'Orderformular Color Kids'!K327</f>
        <v>0</v>
      </c>
      <c r="L321" s="97">
        <f>'Orderformular Color Kids'!L327</f>
        <v>0</v>
      </c>
      <c r="M321" s="97">
        <f>'Orderformular Color Kids'!M327</f>
        <v>0</v>
      </c>
      <c r="N321" s="97">
        <f>'Orderformular Color Kids'!N327</f>
        <v>0</v>
      </c>
      <c r="O321" s="97">
        <f>'Orderformular Color Kids'!O327</f>
        <v>0</v>
      </c>
      <c r="P321" s="97">
        <f>'Orderformular Color Kids'!P327</f>
        <v>0</v>
      </c>
      <c r="Q321" s="97">
        <f>'Orderformular Color Kids'!Q327</f>
        <v>0</v>
      </c>
      <c r="R321" s="97">
        <f>'Orderformular Color Kids'!R327</f>
        <v>0</v>
      </c>
      <c r="S321" s="97">
        <f t="shared" si="4"/>
        <v>0</v>
      </c>
      <c r="T321" s="109">
        <f>'Orderformular Color Kids'!U327</f>
        <v>45.9</v>
      </c>
    </row>
    <row r="322" spans="1:20" ht="15" customHeight="1" x14ac:dyDescent="0.25">
      <c r="A322" s="110">
        <f>'Orderformular Color Kids'!A328</f>
        <v>743136</v>
      </c>
      <c r="B322" s="111" t="str">
        <f>'Orderformular Color Kids'!B328</f>
        <v>Anonymized Item 328</v>
      </c>
      <c r="C322" s="111" t="str">
        <f>'Orderformular Color Kids'!C328</f>
        <v>Anonymized 7880 Surf The Web</v>
      </c>
      <c r="D322" s="111" t="str">
        <f>'Orderformular Color Kids'!D328</f>
        <v>Kids</v>
      </c>
      <c r="E322" s="97">
        <f>'Orderformular Color Kids'!E328</f>
        <v>0</v>
      </c>
      <c r="F322" s="97">
        <f>'Orderformular Color Kids'!F328</f>
        <v>0</v>
      </c>
      <c r="G322" s="97">
        <f>'Orderformular Color Kids'!G328</f>
        <v>0</v>
      </c>
      <c r="H322" s="97">
        <f>'Orderformular Color Kids'!H328</f>
        <v>0</v>
      </c>
      <c r="I322" s="97">
        <f>'Orderformular Color Kids'!I328</f>
        <v>0</v>
      </c>
      <c r="J322" s="97">
        <f>'Orderformular Color Kids'!J328</f>
        <v>0</v>
      </c>
      <c r="K322" s="97">
        <f>'Orderformular Color Kids'!K328</f>
        <v>0</v>
      </c>
      <c r="L322" s="97">
        <f>'Orderformular Color Kids'!L328</f>
        <v>0</v>
      </c>
      <c r="M322" s="97">
        <f>'Orderformular Color Kids'!M328</f>
        <v>0</v>
      </c>
      <c r="N322" s="97">
        <f>'Orderformular Color Kids'!N328</f>
        <v>0</v>
      </c>
      <c r="O322" s="97">
        <f>'Orderformular Color Kids'!O328</f>
        <v>0</v>
      </c>
      <c r="P322" s="97">
        <f>'Orderformular Color Kids'!P328</f>
        <v>0</v>
      </c>
      <c r="Q322" s="97">
        <f>'Orderformular Color Kids'!Q328</f>
        <v>0</v>
      </c>
      <c r="R322" s="97">
        <f>'Orderformular Color Kids'!R328</f>
        <v>0</v>
      </c>
      <c r="S322" s="97">
        <f t="shared" si="4"/>
        <v>0</v>
      </c>
      <c r="T322" s="109">
        <f>'Orderformular Color Kids'!U328</f>
        <v>45.9</v>
      </c>
    </row>
    <row r="323" spans="1:20" ht="15" customHeight="1" x14ac:dyDescent="0.25">
      <c r="A323" s="110">
        <f>'Orderformular Color Kids'!A329</f>
        <v>743139</v>
      </c>
      <c r="B323" s="111" t="str">
        <f>'Orderformular Color Kids'!B329</f>
        <v>Anonymized Item 329</v>
      </c>
      <c r="C323" s="111" t="str">
        <f>'Orderformular Color Kids'!C329</f>
        <v>Anonymized 2159 Seagrass</v>
      </c>
      <c r="D323" s="111" t="str">
        <f>'Orderformular Color Kids'!D329</f>
        <v>Mini</v>
      </c>
      <c r="E323" s="97">
        <f>'Orderformular Color Kids'!E329</f>
        <v>0</v>
      </c>
      <c r="F323" s="97">
        <f>'Orderformular Color Kids'!F329</f>
        <v>0</v>
      </c>
      <c r="G323" s="97">
        <f>'Orderformular Color Kids'!G329</f>
        <v>0</v>
      </c>
      <c r="H323" s="97">
        <f>'Orderformular Color Kids'!H329</f>
        <v>0</v>
      </c>
      <c r="I323" s="97">
        <f>'Orderformular Color Kids'!I329</f>
        <v>0</v>
      </c>
      <c r="J323" s="97">
        <f>'Orderformular Color Kids'!J329</f>
        <v>0</v>
      </c>
      <c r="K323" s="97">
        <f>'Orderformular Color Kids'!K329</f>
        <v>0</v>
      </c>
      <c r="L323" s="97">
        <f>'Orderformular Color Kids'!L329</f>
        <v>0</v>
      </c>
      <c r="M323" s="97">
        <f>'Orderformular Color Kids'!M329</f>
        <v>0</v>
      </c>
      <c r="N323" s="97">
        <f>'Orderformular Color Kids'!N329</f>
        <v>0</v>
      </c>
      <c r="O323" s="97">
        <f>'Orderformular Color Kids'!O329</f>
        <v>0</v>
      </c>
      <c r="P323" s="97">
        <f>'Orderformular Color Kids'!P329</f>
        <v>0</v>
      </c>
      <c r="Q323" s="97">
        <f>'Orderformular Color Kids'!Q329</f>
        <v>0</v>
      </c>
      <c r="R323" s="97">
        <f>'Orderformular Color Kids'!R329</f>
        <v>0</v>
      </c>
      <c r="S323" s="97">
        <f t="shared" si="4"/>
        <v>0</v>
      </c>
      <c r="T323" s="109">
        <f>'Orderformular Color Kids'!U329</f>
        <v>29.9</v>
      </c>
    </row>
    <row r="324" spans="1:20" ht="15" customHeight="1" x14ac:dyDescent="0.25">
      <c r="A324" s="110">
        <f>'Orderformular Color Kids'!A330</f>
        <v>743139</v>
      </c>
      <c r="B324" s="111" t="str">
        <f>'Orderformular Color Kids'!B330</f>
        <v>Anonymized Item 330</v>
      </c>
      <c r="C324" s="111" t="str">
        <f>'Orderformular Color Kids'!C330</f>
        <v>Anonymized 2159 Seagrass</v>
      </c>
      <c r="D324" s="111" t="str">
        <f>'Orderformular Color Kids'!D330</f>
        <v>Kids</v>
      </c>
      <c r="E324" s="97">
        <f>'Orderformular Color Kids'!E330</f>
        <v>0</v>
      </c>
      <c r="F324" s="97">
        <f>'Orderformular Color Kids'!F330</f>
        <v>0</v>
      </c>
      <c r="G324" s="97">
        <f>'Orderformular Color Kids'!G330</f>
        <v>0</v>
      </c>
      <c r="H324" s="97">
        <f>'Orderformular Color Kids'!H330</f>
        <v>0</v>
      </c>
      <c r="I324" s="97">
        <f>'Orderformular Color Kids'!I330</f>
        <v>0</v>
      </c>
      <c r="J324" s="97">
        <f>'Orderformular Color Kids'!J330</f>
        <v>0</v>
      </c>
      <c r="K324" s="97">
        <f>'Orderformular Color Kids'!K330</f>
        <v>0</v>
      </c>
      <c r="L324" s="97">
        <f>'Orderformular Color Kids'!L330</f>
        <v>0</v>
      </c>
      <c r="M324" s="97">
        <f>'Orderformular Color Kids'!M330</f>
        <v>0</v>
      </c>
      <c r="N324" s="97">
        <f>'Orderformular Color Kids'!N330</f>
        <v>0</v>
      </c>
      <c r="O324" s="97">
        <f>'Orderformular Color Kids'!O330</f>
        <v>0</v>
      </c>
      <c r="P324" s="97">
        <f>'Orderformular Color Kids'!P330</f>
        <v>0</v>
      </c>
      <c r="Q324" s="97">
        <f>'Orderformular Color Kids'!Q330</f>
        <v>0</v>
      </c>
      <c r="R324" s="97">
        <f>'Orderformular Color Kids'!R330</f>
        <v>0</v>
      </c>
      <c r="S324" s="97">
        <f t="shared" si="4"/>
        <v>0</v>
      </c>
      <c r="T324" s="109">
        <f>'Orderformular Color Kids'!U330</f>
        <v>29.9</v>
      </c>
    </row>
    <row r="325" spans="1:20" ht="15" customHeight="1" x14ac:dyDescent="0.25">
      <c r="A325" s="110">
        <f>'Orderformular Color Kids'!A331</f>
        <v>743139</v>
      </c>
      <c r="B325" s="111" t="str">
        <f>'Orderformular Color Kids'!B331</f>
        <v>Anonymized Item 331</v>
      </c>
      <c r="C325" s="111" t="str">
        <f>'Orderformular Color Kids'!C331</f>
        <v>Anonymized 5381 Pink Glo</v>
      </c>
      <c r="D325" s="111" t="str">
        <f>'Orderformular Color Kids'!D331</f>
        <v>Mini</v>
      </c>
      <c r="E325" s="97">
        <f>'Orderformular Color Kids'!E331</f>
        <v>0</v>
      </c>
      <c r="F325" s="97">
        <f>'Orderformular Color Kids'!F331</f>
        <v>0</v>
      </c>
      <c r="G325" s="97">
        <f>'Orderformular Color Kids'!G331</f>
        <v>0</v>
      </c>
      <c r="H325" s="97">
        <f>'Orderformular Color Kids'!H331</f>
        <v>0</v>
      </c>
      <c r="I325" s="97">
        <f>'Orderformular Color Kids'!I331</f>
        <v>0</v>
      </c>
      <c r="J325" s="97">
        <f>'Orderformular Color Kids'!J331</f>
        <v>0</v>
      </c>
      <c r="K325" s="97">
        <f>'Orderformular Color Kids'!K331</f>
        <v>0</v>
      </c>
      <c r="L325" s="97">
        <f>'Orderformular Color Kids'!L331</f>
        <v>0</v>
      </c>
      <c r="M325" s="97">
        <f>'Orderformular Color Kids'!M331</f>
        <v>0</v>
      </c>
      <c r="N325" s="97">
        <f>'Orderformular Color Kids'!N331</f>
        <v>0</v>
      </c>
      <c r="O325" s="97">
        <f>'Orderformular Color Kids'!O331</f>
        <v>0</v>
      </c>
      <c r="P325" s="97">
        <f>'Orderformular Color Kids'!P331</f>
        <v>0</v>
      </c>
      <c r="Q325" s="97">
        <f>'Orderformular Color Kids'!Q331</f>
        <v>0</v>
      </c>
      <c r="R325" s="97">
        <f>'Orderformular Color Kids'!R331</f>
        <v>0</v>
      </c>
      <c r="S325" s="97">
        <f t="shared" si="4"/>
        <v>0</v>
      </c>
      <c r="T325" s="109">
        <f>'Orderformular Color Kids'!U331</f>
        <v>29.9</v>
      </c>
    </row>
    <row r="326" spans="1:20" ht="15" customHeight="1" x14ac:dyDescent="0.25">
      <c r="A326" s="110">
        <f>'Orderformular Color Kids'!A332</f>
        <v>743139</v>
      </c>
      <c r="B326" s="111" t="str">
        <f>'Orderformular Color Kids'!B332</f>
        <v>Anonymized Item 332</v>
      </c>
      <c r="C326" s="111" t="str">
        <f>'Orderformular Color Kids'!C332</f>
        <v>Anonymized 5381 Pink Glo</v>
      </c>
      <c r="D326" s="111" t="str">
        <f>'Orderformular Color Kids'!D332</f>
        <v>Kids</v>
      </c>
      <c r="E326" s="97">
        <f>'Orderformular Color Kids'!E332</f>
        <v>0</v>
      </c>
      <c r="F326" s="97">
        <f>'Orderformular Color Kids'!F332</f>
        <v>0</v>
      </c>
      <c r="G326" s="97">
        <f>'Orderformular Color Kids'!G332</f>
        <v>0</v>
      </c>
      <c r="H326" s="97">
        <f>'Orderformular Color Kids'!H332</f>
        <v>0</v>
      </c>
      <c r="I326" s="97">
        <f>'Orderformular Color Kids'!I332</f>
        <v>0</v>
      </c>
      <c r="J326" s="97">
        <f>'Orderformular Color Kids'!J332</f>
        <v>0</v>
      </c>
      <c r="K326" s="97">
        <f>'Orderformular Color Kids'!K332</f>
        <v>0</v>
      </c>
      <c r="L326" s="97">
        <f>'Orderformular Color Kids'!L332</f>
        <v>0</v>
      </c>
      <c r="M326" s="97">
        <f>'Orderformular Color Kids'!M332</f>
        <v>0</v>
      </c>
      <c r="N326" s="97">
        <f>'Orderformular Color Kids'!N332</f>
        <v>0</v>
      </c>
      <c r="O326" s="97">
        <f>'Orderformular Color Kids'!O332</f>
        <v>0</v>
      </c>
      <c r="P326" s="97">
        <f>'Orderformular Color Kids'!P332</f>
        <v>0</v>
      </c>
      <c r="Q326" s="97">
        <f>'Orderformular Color Kids'!Q332</f>
        <v>0</v>
      </c>
      <c r="R326" s="97">
        <f>'Orderformular Color Kids'!R332</f>
        <v>0</v>
      </c>
      <c r="S326" s="97">
        <f t="shared" si="4"/>
        <v>0</v>
      </c>
      <c r="T326" s="109">
        <f>'Orderformular Color Kids'!U332</f>
        <v>29.9</v>
      </c>
    </row>
    <row r="327" spans="1:20" ht="15" customHeight="1" x14ac:dyDescent="0.25">
      <c r="A327" s="110">
        <f>'Orderformular Color Kids'!A333</f>
        <v>743139</v>
      </c>
      <c r="B327" s="111" t="str">
        <f>'Orderformular Color Kids'!B333</f>
        <v>Anonymized Item 333</v>
      </c>
      <c r="C327" s="111" t="str">
        <f>'Orderformular Color Kids'!C333</f>
        <v>Anonymized 6685 Violet Tulle</v>
      </c>
      <c r="D327" s="111" t="str">
        <f>'Orderformular Color Kids'!D333</f>
        <v>Mini</v>
      </c>
      <c r="E327" s="97">
        <f>'Orderformular Color Kids'!E333</f>
        <v>0</v>
      </c>
      <c r="F327" s="97">
        <f>'Orderformular Color Kids'!F333</f>
        <v>0</v>
      </c>
      <c r="G327" s="97">
        <f>'Orderformular Color Kids'!G333</f>
        <v>0</v>
      </c>
      <c r="H327" s="97">
        <f>'Orderformular Color Kids'!H333</f>
        <v>0</v>
      </c>
      <c r="I327" s="97">
        <f>'Orderformular Color Kids'!I333</f>
        <v>0</v>
      </c>
      <c r="J327" s="97">
        <f>'Orderformular Color Kids'!J333</f>
        <v>0</v>
      </c>
      <c r="K327" s="97">
        <f>'Orderformular Color Kids'!K333</f>
        <v>0</v>
      </c>
      <c r="L327" s="97">
        <f>'Orderformular Color Kids'!L333</f>
        <v>0</v>
      </c>
      <c r="M327" s="97">
        <f>'Orderformular Color Kids'!M333</f>
        <v>0</v>
      </c>
      <c r="N327" s="97">
        <f>'Orderformular Color Kids'!N333</f>
        <v>0</v>
      </c>
      <c r="O327" s="97">
        <f>'Orderformular Color Kids'!O333</f>
        <v>0</v>
      </c>
      <c r="P327" s="97">
        <f>'Orderformular Color Kids'!P333</f>
        <v>0</v>
      </c>
      <c r="Q327" s="97">
        <f>'Orderformular Color Kids'!Q333</f>
        <v>0</v>
      </c>
      <c r="R327" s="97">
        <f>'Orderformular Color Kids'!R333</f>
        <v>0</v>
      </c>
      <c r="S327" s="97">
        <f t="shared" si="4"/>
        <v>0</v>
      </c>
      <c r="T327" s="109">
        <f>'Orderformular Color Kids'!U333</f>
        <v>29.9</v>
      </c>
    </row>
    <row r="328" spans="1:20" ht="15" customHeight="1" x14ac:dyDescent="0.25">
      <c r="A328" s="110">
        <f>'Orderformular Color Kids'!A334</f>
        <v>743139</v>
      </c>
      <c r="B328" s="111" t="str">
        <f>'Orderformular Color Kids'!B334</f>
        <v>Anonymized Item 334</v>
      </c>
      <c r="C328" s="111" t="str">
        <f>'Orderformular Color Kids'!C334</f>
        <v>Anonymized 6685 Violet Tulle</v>
      </c>
      <c r="D328" s="111" t="str">
        <f>'Orderformular Color Kids'!D334</f>
        <v>Kids</v>
      </c>
      <c r="E328" s="97">
        <f>'Orderformular Color Kids'!E334</f>
        <v>0</v>
      </c>
      <c r="F328" s="97">
        <f>'Orderformular Color Kids'!F334</f>
        <v>0</v>
      </c>
      <c r="G328" s="97">
        <f>'Orderformular Color Kids'!G334</f>
        <v>0</v>
      </c>
      <c r="H328" s="97">
        <f>'Orderformular Color Kids'!H334</f>
        <v>0</v>
      </c>
      <c r="I328" s="97">
        <f>'Orderformular Color Kids'!I334</f>
        <v>0</v>
      </c>
      <c r="J328" s="97">
        <f>'Orderformular Color Kids'!J334</f>
        <v>0</v>
      </c>
      <c r="K328" s="97">
        <f>'Orderformular Color Kids'!K334</f>
        <v>0</v>
      </c>
      <c r="L328" s="97">
        <f>'Orderformular Color Kids'!L334</f>
        <v>0</v>
      </c>
      <c r="M328" s="97">
        <f>'Orderformular Color Kids'!M334</f>
        <v>0</v>
      </c>
      <c r="N328" s="97">
        <f>'Orderformular Color Kids'!N334</f>
        <v>0</v>
      </c>
      <c r="O328" s="97">
        <f>'Orderformular Color Kids'!O334</f>
        <v>0</v>
      </c>
      <c r="P328" s="97">
        <f>'Orderformular Color Kids'!P334</f>
        <v>0</v>
      </c>
      <c r="Q328" s="97">
        <f>'Orderformular Color Kids'!Q334</f>
        <v>0</v>
      </c>
      <c r="R328" s="97">
        <f>'Orderformular Color Kids'!R334</f>
        <v>0</v>
      </c>
      <c r="S328" s="97">
        <f t="shared" si="4"/>
        <v>0</v>
      </c>
      <c r="T328" s="109">
        <f>'Orderformular Color Kids'!U334</f>
        <v>29.9</v>
      </c>
    </row>
    <row r="329" spans="1:20" ht="15" customHeight="1" x14ac:dyDescent="0.25">
      <c r="A329" s="110">
        <f>'Orderformular Color Kids'!A335</f>
        <v>743139</v>
      </c>
      <c r="B329" s="111" t="str">
        <f>'Orderformular Color Kids'!B335</f>
        <v>Anonymized Item 335</v>
      </c>
      <c r="C329" s="111" t="str">
        <f>'Orderformular Color Kids'!C335</f>
        <v>Anonymized 7880 Surf The Web</v>
      </c>
      <c r="D329" s="111" t="str">
        <f>'Orderformular Color Kids'!D335</f>
        <v>Mini</v>
      </c>
      <c r="E329" s="97">
        <f>'Orderformular Color Kids'!E335</f>
        <v>0</v>
      </c>
      <c r="F329" s="97">
        <f>'Orderformular Color Kids'!F335</f>
        <v>0</v>
      </c>
      <c r="G329" s="97">
        <f>'Orderformular Color Kids'!G335</f>
        <v>0</v>
      </c>
      <c r="H329" s="97">
        <f>'Orderformular Color Kids'!H335</f>
        <v>0</v>
      </c>
      <c r="I329" s="97">
        <f>'Orderformular Color Kids'!I335</f>
        <v>0</v>
      </c>
      <c r="J329" s="97">
        <f>'Orderformular Color Kids'!J335</f>
        <v>0</v>
      </c>
      <c r="K329" s="97">
        <f>'Orderformular Color Kids'!K335</f>
        <v>0</v>
      </c>
      <c r="L329" s="97">
        <f>'Orderformular Color Kids'!L335</f>
        <v>0</v>
      </c>
      <c r="M329" s="97">
        <f>'Orderformular Color Kids'!M335</f>
        <v>0</v>
      </c>
      <c r="N329" s="97">
        <f>'Orderformular Color Kids'!N335</f>
        <v>0</v>
      </c>
      <c r="O329" s="97">
        <f>'Orderformular Color Kids'!O335</f>
        <v>0</v>
      </c>
      <c r="P329" s="97">
        <f>'Orderformular Color Kids'!P335</f>
        <v>0</v>
      </c>
      <c r="Q329" s="97">
        <f>'Orderformular Color Kids'!Q335</f>
        <v>0</v>
      </c>
      <c r="R329" s="97">
        <f>'Orderformular Color Kids'!R335</f>
        <v>0</v>
      </c>
      <c r="S329" s="97">
        <f t="shared" si="4"/>
        <v>0</v>
      </c>
      <c r="T329" s="109">
        <f>'Orderformular Color Kids'!U335</f>
        <v>29.9</v>
      </c>
    </row>
    <row r="330" spans="1:20" ht="15" customHeight="1" x14ac:dyDescent="0.25">
      <c r="A330" s="110">
        <f>'Orderformular Color Kids'!A336</f>
        <v>743139</v>
      </c>
      <c r="B330" s="111" t="str">
        <f>'Orderformular Color Kids'!B336</f>
        <v>Anonymized Item 336</v>
      </c>
      <c r="C330" s="111" t="str">
        <f>'Orderformular Color Kids'!C336</f>
        <v>Anonymized 7880 Surf The Web</v>
      </c>
      <c r="D330" s="111" t="str">
        <f>'Orderformular Color Kids'!D336</f>
        <v>Kids</v>
      </c>
      <c r="E330" s="97">
        <f>'Orderformular Color Kids'!E336</f>
        <v>0</v>
      </c>
      <c r="F330" s="97">
        <f>'Orderformular Color Kids'!F336</f>
        <v>0</v>
      </c>
      <c r="G330" s="97">
        <f>'Orderformular Color Kids'!G336</f>
        <v>0</v>
      </c>
      <c r="H330" s="97">
        <f>'Orderformular Color Kids'!H336</f>
        <v>0</v>
      </c>
      <c r="I330" s="97">
        <f>'Orderformular Color Kids'!I336</f>
        <v>0</v>
      </c>
      <c r="J330" s="97">
        <f>'Orderformular Color Kids'!J336</f>
        <v>0</v>
      </c>
      <c r="K330" s="97">
        <f>'Orderformular Color Kids'!K336</f>
        <v>0</v>
      </c>
      <c r="L330" s="97">
        <f>'Orderformular Color Kids'!L336</f>
        <v>0</v>
      </c>
      <c r="M330" s="97">
        <f>'Orderformular Color Kids'!M336</f>
        <v>0</v>
      </c>
      <c r="N330" s="97">
        <f>'Orderformular Color Kids'!N336</f>
        <v>0</v>
      </c>
      <c r="O330" s="97">
        <f>'Orderformular Color Kids'!O336</f>
        <v>0</v>
      </c>
      <c r="P330" s="97">
        <f>'Orderformular Color Kids'!P336</f>
        <v>0</v>
      </c>
      <c r="Q330" s="97">
        <f>'Orderformular Color Kids'!Q336</f>
        <v>0</v>
      </c>
      <c r="R330" s="97">
        <f>'Orderformular Color Kids'!R336</f>
        <v>0</v>
      </c>
      <c r="S330" s="97">
        <f t="shared" si="4"/>
        <v>0</v>
      </c>
      <c r="T330" s="109">
        <f>'Orderformular Color Kids'!U336</f>
        <v>29.9</v>
      </c>
    </row>
    <row r="331" spans="1:20" ht="15" customHeight="1" x14ac:dyDescent="0.25">
      <c r="A331" s="110">
        <f>'Orderformular Color Kids'!A337</f>
        <v>743144</v>
      </c>
      <c r="B331" s="111" t="str">
        <f>'Orderformular Color Kids'!B337</f>
        <v>Anonymized Item 337</v>
      </c>
      <c r="C331" s="111" t="str">
        <f>'Orderformular Color Kids'!C337</f>
        <v>Anonymized 3810 Tender Yellow</v>
      </c>
      <c r="D331" s="111" t="str">
        <f>'Orderformular Color Kids'!D337</f>
        <v>Kids</v>
      </c>
      <c r="E331" s="97">
        <f>'Orderformular Color Kids'!E337</f>
        <v>0</v>
      </c>
      <c r="F331" s="97">
        <f>'Orderformular Color Kids'!F337</f>
        <v>0</v>
      </c>
      <c r="G331" s="97">
        <f>'Orderformular Color Kids'!G337</f>
        <v>0</v>
      </c>
      <c r="H331" s="97">
        <f>'Orderformular Color Kids'!H337</f>
        <v>0</v>
      </c>
      <c r="I331" s="97">
        <f>'Orderformular Color Kids'!I337</f>
        <v>0</v>
      </c>
      <c r="J331" s="97">
        <f>'Orderformular Color Kids'!J337</f>
        <v>0</v>
      </c>
      <c r="K331" s="97">
        <f>'Orderformular Color Kids'!K337</f>
        <v>0</v>
      </c>
      <c r="L331" s="97">
        <f>'Orderformular Color Kids'!L337</f>
        <v>0</v>
      </c>
      <c r="M331" s="97">
        <f>'Orderformular Color Kids'!M337</f>
        <v>0</v>
      </c>
      <c r="N331" s="97">
        <f>'Orderformular Color Kids'!N337</f>
        <v>0</v>
      </c>
      <c r="O331" s="97">
        <f>'Orderformular Color Kids'!O337</f>
        <v>0</v>
      </c>
      <c r="P331" s="97">
        <f>'Orderformular Color Kids'!P337</f>
        <v>0</v>
      </c>
      <c r="Q331" s="97">
        <f>'Orderformular Color Kids'!Q337</f>
        <v>0</v>
      </c>
      <c r="R331" s="97">
        <f>'Orderformular Color Kids'!R337</f>
        <v>0</v>
      </c>
      <c r="S331" s="97">
        <f t="shared" si="4"/>
        <v>0</v>
      </c>
      <c r="T331" s="109">
        <f>'Orderformular Color Kids'!U337</f>
        <v>39.9</v>
      </c>
    </row>
    <row r="332" spans="1:20" ht="15" customHeight="1" x14ac:dyDescent="0.25">
      <c r="A332" s="110">
        <f>'Orderformular Color Kids'!A338</f>
        <v>743144</v>
      </c>
      <c r="B332" s="111" t="str">
        <f>'Orderformular Color Kids'!B338</f>
        <v>Anonymized Item 338</v>
      </c>
      <c r="C332" s="111" t="str">
        <f>'Orderformular Color Kids'!C338</f>
        <v>Anonymized 7880 Surf The Web</v>
      </c>
      <c r="D332" s="111" t="str">
        <f>'Orderformular Color Kids'!D338</f>
        <v>Kids</v>
      </c>
      <c r="E332" s="97">
        <f>'Orderformular Color Kids'!E338</f>
        <v>0</v>
      </c>
      <c r="F332" s="97">
        <f>'Orderformular Color Kids'!F338</f>
        <v>0</v>
      </c>
      <c r="G332" s="97">
        <f>'Orderformular Color Kids'!G338</f>
        <v>0</v>
      </c>
      <c r="H332" s="97">
        <f>'Orderformular Color Kids'!H338</f>
        <v>0</v>
      </c>
      <c r="I332" s="97">
        <f>'Orderformular Color Kids'!I338</f>
        <v>0</v>
      </c>
      <c r="J332" s="97">
        <f>'Orderformular Color Kids'!J338</f>
        <v>0</v>
      </c>
      <c r="K332" s="97">
        <f>'Orderformular Color Kids'!K338</f>
        <v>0</v>
      </c>
      <c r="L332" s="97">
        <f>'Orderformular Color Kids'!L338</f>
        <v>0</v>
      </c>
      <c r="M332" s="97">
        <f>'Orderformular Color Kids'!M338</f>
        <v>0</v>
      </c>
      <c r="N332" s="97">
        <f>'Orderformular Color Kids'!N338</f>
        <v>0</v>
      </c>
      <c r="O332" s="97">
        <f>'Orderformular Color Kids'!O338</f>
        <v>0</v>
      </c>
      <c r="P332" s="97">
        <f>'Orderformular Color Kids'!P338</f>
        <v>0</v>
      </c>
      <c r="Q332" s="97">
        <f>'Orderformular Color Kids'!Q338</f>
        <v>0</v>
      </c>
      <c r="R332" s="97">
        <f>'Orderformular Color Kids'!R338</f>
        <v>0</v>
      </c>
      <c r="S332" s="97">
        <f t="shared" ref="S332:S395" si="5">SUM(E332:R332)</f>
        <v>0</v>
      </c>
      <c r="T332" s="109">
        <f>'Orderformular Color Kids'!U338</f>
        <v>39.9</v>
      </c>
    </row>
    <row r="333" spans="1:20" ht="15" customHeight="1" x14ac:dyDescent="0.25">
      <c r="A333" s="110">
        <f>'Orderformular Color Kids'!A339</f>
        <v>743145</v>
      </c>
      <c r="B333" s="111" t="str">
        <f>'Orderformular Color Kids'!B339</f>
        <v>Anonymized Item 339</v>
      </c>
      <c r="C333" s="111" t="str">
        <f>'Orderformular Color Kids'!C339</f>
        <v>Anonymized 2159 Seagrass</v>
      </c>
      <c r="D333" s="111" t="str">
        <f>'Orderformular Color Kids'!D339</f>
        <v>Kids</v>
      </c>
      <c r="E333" s="97">
        <f>'Orderformular Color Kids'!E339</f>
        <v>0</v>
      </c>
      <c r="F333" s="97">
        <f>'Orderformular Color Kids'!F339</f>
        <v>0</v>
      </c>
      <c r="G333" s="97">
        <f>'Orderformular Color Kids'!G339</f>
        <v>0</v>
      </c>
      <c r="H333" s="97">
        <f>'Orderformular Color Kids'!H339</f>
        <v>0</v>
      </c>
      <c r="I333" s="97">
        <f>'Orderformular Color Kids'!I339</f>
        <v>0</v>
      </c>
      <c r="J333" s="97">
        <f>'Orderformular Color Kids'!J339</f>
        <v>0</v>
      </c>
      <c r="K333" s="97">
        <f>'Orderformular Color Kids'!K339</f>
        <v>0</v>
      </c>
      <c r="L333" s="97">
        <f>'Orderformular Color Kids'!L339</f>
        <v>0</v>
      </c>
      <c r="M333" s="97">
        <f>'Orderformular Color Kids'!M339</f>
        <v>0</v>
      </c>
      <c r="N333" s="97">
        <f>'Orderformular Color Kids'!N339</f>
        <v>0</v>
      </c>
      <c r="O333" s="97">
        <f>'Orderformular Color Kids'!O339</f>
        <v>0</v>
      </c>
      <c r="P333" s="97">
        <f>'Orderformular Color Kids'!P339</f>
        <v>0</v>
      </c>
      <c r="Q333" s="97">
        <f>'Orderformular Color Kids'!Q339</f>
        <v>0</v>
      </c>
      <c r="R333" s="97">
        <f>'Orderformular Color Kids'!R339</f>
        <v>0</v>
      </c>
      <c r="S333" s="97">
        <f t="shared" si="5"/>
        <v>0</v>
      </c>
      <c r="T333" s="109">
        <f>'Orderformular Color Kids'!U339</f>
        <v>49.9</v>
      </c>
    </row>
    <row r="334" spans="1:20" ht="15" customHeight="1" x14ac:dyDescent="0.25">
      <c r="A334" s="110">
        <f>'Orderformular Color Kids'!A340</f>
        <v>743145</v>
      </c>
      <c r="B334" s="111" t="str">
        <f>'Orderformular Color Kids'!B340</f>
        <v>Anonymized Item 340</v>
      </c>
      <c r="C334" s="111" t="str">
        <f>'Orderformular Color Kids'!C340</f>
        <v>Anonymized 7334 Persian Jewel</v>
      </c>
      <c r="D334" s="111" t="str">
        <f>'Orderformular Color Kids'!D340</f>
        <v>Kids</v>
      </c>
      <c r="E334" s="97">
        <f>'Orderformular Color Kids'!E340</f>
        <v>0</v>
      </c>
      <c r="F334" s="97">
        <f>'Orderformular Color Kids'!F340</f>
        <v>0</v>
      </c>
      <c r="G334" s="97">
        <f>'Orderformular Color Kids'!G340</f>
        <v>0</v>
      </c>
      <c r="H334" s="97">
        <f>'Orderformular Color Kids'!H340</f>
        <v>0</v>
      </c>
      <c r="I334" s="97">
        <f>'Orderformular Color Kids'!I340</f>
        <v>0</v>
      </c>
      <c r="J334" s="97">
        <f>'Orderformular Color Kids'!J340</f>
        <v>0</v>
      </c>
      <c r="K334" s="97">
        <f>'Orderformular Color Kids'!K340</f>
        <v>0</v>
      </c>
      <c r="L334" s="97">
        <f>'Orderformular Color Kids'!L340</f>
        <v>0</v>
      </c>
      <c r="M334" s="97">
        <f>'Orderformular Color Kids'!M340</f>
        <v>0</v>
      </c>
      <c r="N334" s="97">
        <f>'Orderformular Color Kids'!N340</f>
        <v>0</v>
      </c>
      <c r="O334" s="97">
        <f>'Orderformular Color Kids'!O340</f>
        <v>0</v>
      </c>
      <c r="P334" s="97">
        <f>'Orderformular Color Kids'!P340</f>
        <v>0</v>
      </c>
      <c r="Q334" s="97">
        <f>'Orderformular Color Kids'!Q340</f>
        <v>0</v>
      </c>
      <c r="R334" s="97">
        <f>'Orderformular Color Kids'!R340</f>
        <v>0</v>
      </c>
      <c r="S334" s="97">
        <f t="shared" si="5"/>
        <v>0</v>
      </c>
      <c r="T334" s="109">
        <f>'Orderformular Color Kids'!U340</f>
        <v>49.9</v>
      </c>
    </row>
    <row r="335" spans="1:20" ht="15" customHeight="1" x14ac:dyDescent="0.25">
      <c r="A335" s="110">
        <f>'Orderformular Color Kids'!A341</f>
        <v>743146</v>
      </c>
      <c r="B335" s="111" t="str">
        <f>'Orderformular Color Kids'!B341</f>
        <v>Anonymized Item 341</v>
      </c>
      <c r="C335" s="111" t="str">
        <f>'Orderformular Color Kids'!C341</f>
        <v>Anonymized 7334 Persian Jewel</v>
      </c>
      <c r="D335" s="111" t="str">
        <f>'Orderformular Color Kids'!D341</f>
        <v>Kids</v>
      </c>
      <c r="E335" s="97">
        <f>'Orderformular Color Kids'!E341</f>
        <v>0</v>
      </c>
      <c r="F335" s="97">
        <f>'Orderformular Color Kids'!F341</f>
        <v>0</v>
      </c>
      <c r="G335" s="97">
        <f>'Orderformular Color Kids'!G341</f>
        <v>0</v>
      </c>
      <c r="H335" s="97">
        <f>'Orderformular Color Kids'!H341</f>
        <v>0</v>
      </c>
      <c r="I335" s="97">
        <f>'Orderformular Color Kids'!I341</f>
        <v>0</v>
      </c>
      <c r="J335" s="97">
        <f>'Orderformular Color Kids'!J341</f>
        <v>0</v>
      </c>
      <c r="K335" s="97">
        <f>'Orderformular Color Kids'!K341</f>
        <v>0</v>
      </c>
      <c r="L335" s="97">
        <f>'Orderformular Color Kids'!L341</f>
        <v>0</v>
      </c>
      <c r="M335" s="97">
        <f>'Orderformular Color Kids'!M341</f>
        <v>0</v>
      </c>
      <c r="N335" s="97">
        <f>'Orderformular Color Kids'!N341</f>
        <v>0</v>
      </c>
      <c r="O335" s="97">
        <f>'Orderformular Color Kids'!O341</f>
        <v>0</v>
      </c>
      <c r="P335" s="97">
        <f>'Orderformular Color Kids'!P341</f>
        <v>0</v>
      </c>
      <c r="Q335" s="97">
        <f>'Orderformular Color Kids'!Q341</f>
        <v>0</v>
      </c>
      <c r="R335" s="97">
        <f>'Orderformular Color Kids'!R341</f>
        <v>0</v>
      </c>
      <c r="S335" s="97">
        <f t="shared" si="5"/>
        <v>0</v>
      </c>
      <c r="T335" s="109">
        <f>'Orderformular Color Kids'!U341</f>
        <v>36.9</v>
      </c>
    </row>
    <row r="336" spans="1:20" ht="15" customHeight="1" x14ac:dyDescent="0.25">
      <c r="A336" s="110">
        <f>'Orderformular Color Kids'!A342</f>
        <v>743147</v>
      </c>
      <c r="B336" s="111" t="str">
        <f>'Orderformular Color Kids'!B342</f>
        <v>Anonymized Item 342</v>
      </c>
      <c r="C336" s="111" t="str">
        <f>'Orderformular Color Kids'!C342</f>
        <v>Anonymized 1919 Phantom</v>
      </c>
      <c r="D336" s="111" t="str">
        <f>'Orderformular Color Kids'!D342</f>
        <v>Kids</v>
      </c>
      <c r="E336" s="97">
        <f>'Orderformular Color Kids'!E342</f>
        <v>0</v>
      </c>
      <c r="F336" s="97">
        <f>'Orderformular Color Kids'!F342</f>
        <v>0</v>
      </c>
      <c r="G336" s="97">
        <f>'Orderformular Color Kids'!G342</f>
        <v>0</v>
      </c>
      <c r="H336" s="97">
        <f>'Orderformular Color Kids'!H342</f>
        <v>0</v>
      </c>
      <c r="I336" s="97">
        <f>'Orderformular Color Kids'!I342</f>
        <v>0</v>
      </c>
      <c r="J336" s="97">
        <f>'Orderformular Color Kids'!J342</f>
        <v>0</v>
      </c>
      <c r="K336" s="97">
        <f>'Orderformular Color Kids'!K342</f>
        <v>0</v>
      </c>
      <c r="L336" s="97">
        <f>'Orderformular Color Kids'!L342</f>
        <v>0</v>
      </c>
      <c r="M336" s="97">
        <f>'Orderformular Color Kids'!M342</f>
        <v>0</v>
      </c>
      <c r="N336" s="97">
        <f>'Orderformular Color Kids'!N342</f>
        <v>0</v>
      </c>
      <c r="O336" s="97">
        <f>'Orderformular Color Kids'!O342</f>
        <v>0</v>
      </c>
      <c r="P336" s="97">
        <f>'Orderformular Color Kids'!P342</f>
        <v>0</v>
      </c>
      <c r="Q336" s="97">
        <f>'Orderformular Color Kids'!Q342</f>
        <v>0</v>
      </c>
      <c r="R336" s="97">
        <f>'Orderformular Color Kids'!R342</f>
        <v>0</v>
      </c>
      <c r="S336" s="97">
        <f t="shared" si="5"/>
        <v>0</v>
      </c>
      <c r="T336" s="109">
        <f>'Orderformular Color Kids'!U342</f>
        <v>45.9</v>
      </c>
    </row>
    <row r="337" spans="1:20" ht="15" customHeight="1" x14ac:dyDescent="0.25">
      <c r="A337" s="110">
        <f>'Orderformular Color Kids'!A343</f>
        <v>743150</v>
      </c>
      <c r="B337" s="111" t="str">
        <f>'Orderformular Color Kids'!B343</f>
        <v>Anonymized Item 343</v>
      </c>
      <c r="C337" s="111" t="str">
        <f>'Orderformular Color Kids'!C343</f>
        <v>Anonymized 6685 Violet Tulle</v>
      </c>
      <c r="D337" s="111" t="str">
        <f>'Orderformular Color Kids'!D343</f>
        <v>Kids</v>
      </c>
      <c r="E337" s="97">
        <f>'Orderformular Color Kids'!E343</f>
        <v>0</v>
      </c>
      <c r="F337" s="97">
        <f>'Orderformular Color Kids'!F343</f>
        <v>0</v>
      </c>
      <c r="G337" s="97">
        <f>'Orderformular Color Kids'!G343</f>
        <v>0</v>
      </c>
      <c r="H337" s="97">
        <f>'Orderformular Color Kids'!H343</f>
        <v>0</v>
      </c>
      <c r="I337" s="97">
        <f>'Orderformular Color Kids'!I343</f>
        <v>0</v>
      </c>
      <c r="J337" s="97">
        <f>'Orderformular Color Kids'!J343</f>
        <v>0</v>
      </c>
      <c r="K337" s="97">
        <f>'Orderformular Color Kids'!K343</f>
        <v>0</v>
      </c>
      <c r="L337" s="97">
        <f>'Orderformular Color Kids'!L343</f>
        <v>0</v>
      </c>
      <c r="M337" s="97">
        <f>'Orderformular Color Kids'!M343</f>
        <v>0</v>
      </c>
      <c r="N337" s="97">
        <f>'Orderformular Color Kids'!N343</f>
        <v>0</v>
      </c>
      <c r="O337" s="97">
        <f>'Orderformular Color Kids'!O343</f>
        <v>0</v>
      </c>
      <c r="P337" s="97">
        <f>'Orderformular Color Kids'!P343</f>
        <v>0</v>
      </c>
      <c r="Q337" s="97">
        <f>'Orderformular Color Kids'!Q343</f>
        <v>0</v>
      </c>
      <c r="R337" s="97">
        <f>'Orderformular Color Kids'!R343</f>
        <v>0</v>
      </c>
      <c r="S337" s="97">
        <f t="shared" si="5"/>
        <v>0</v>
      </c>
      <c r="T337" s="109">
        <f>'Orderformular Color Kids'!U343</f>
        <v>26.9</v>
      </c>
    </row>
    <row r="338" spans="1:20" ht="15" customHeight="1" x14ac:dyDescent="0.25">
      <c r="A338" s="110">
        <f>'Orderformular Color Kids'!A344</f>
        <v>743150</v>
      </c>
      <c r="B338" s="111" t="str">
        <f>'Orderformular Color Kids'!B344</f>
        <v>Anonymized Item 344</v>
      </c>
      <c r="C338" s="111" t="str">
        <f>'Orderformular Color Kids'!C344</f>
        <v>Anonymized 7850 Total Eclipse</v>
      </c>
      <c r="D338" s="111" t="str">
        <f>'Orderformular Color Kids'!D344</f>
        <v>Kids</v>
      </c>
      <c r="E338" s="97">
        <f>'Orderformular Color Kids'!E344</f>
        <v>0</v>
      </c>
      <c r="F338" s="97">
        <f>'Orderformular Color Kids'!F344</f>
        <v>0</v>
      </c>
      <c r="G338" s="97">
        <f>'Orderformular Color Kids'!G344</f>
        <v>0</v>
      </c>
      <c r="H338" s="97">
        <f>'Orderformular Color Kids'!H344</f>
        <v>0</v>
      </c>
      <c r="I338" s="97">
        <f>'Orderformular Color Kids'!I344</f>
        <v>0</v>
      </c>
      <c r="J338" s="97">
        <f>'Orderformular Color Kids'!J344</f>
        <v>0</v>
      </c>
      <c r="K338" s="97">
        <f>'Orderformular Color Kids'!K344</f>
        <v>0</v>
      </c>
      <c r="L338" s="97">
        <f>'Orderformular Color Kids'!L344</f>
        <v>0</v>
      </c>
      <c r="M338" s="97">
        <f>'Orderformular Color Kids'!M344</f>
        <v>0</v>
      </c>
      <c r="N338" s="97">
        <f>'Orderformular Color Kids'!N344</f>
        <v>0</v>
      </c>
      <c r="O338" s="97">
        <f>'Orderformular Color Kids'!O344</f>
        <v>0</v>
      </c>
      <c r="P338" s="97">
        <f>'Orderformular Color Kids'!P344</f>
        <v>0</v>
      </c>
      <c r="Q338" s="97">
        <f>'Orderformular Color Kids'!Q344</f>
        <v>0</v>
      </c>
      <c r="R338" s="97">
        <f>'Orderformular Color Kids'!R344</f>
        <v>0</v>
      </c>
      <c r="S338" s="97">
        <f t="shared" si="5"/>
        <v>0</v>
      </c>
      <c r="T338" s="109">
        <f>'Orderformular Color Kids'!U344</f>
        <v>26.9</v>
      </c>
    </row>
    <row r="339" spans="1:20" ht="15" customHeight="1" x14ac:dyDescent="0.25">
      <c r="A339" s="110">
        <f>'Orderformular Color Kids'!A345</f>
        <v>743152</v>
      </c>
      <c r="B339" s="111" t="str">
        <f>'Orderformular Color Kids'!B345</f>
        <v>Anonymized Item 345</v>
      </c>
      <c r="C339" s="111" t="str">
        <f>'Orderformular Color Kids'!C345</f>
        <v>Anonymized 6685 Violet Tulle</v>
      </c>
      <c r="D339" s="111" t="str">
        <f>'Orderformular Color Kids'!D345</f>
        <v>Kids</v>
      </c>
      <c r="E339" s="97">
        <f>'Orderformular Color Kids'!E345</f>
        <v>0</v>
      </c>
      <c r="F339" s="97">
        <f>'Orderformular Color Kids'!F345</f>
        <v>0</v>
      </c>
      <c r="G339" s="97">
        <f>'Orderformular Color Kids'!G345</f>
        <v>0</v>
      </c>
      <c r="H339" s="97">
        <f>'Orderformular Color Kids'!H345</f>
        <v>0</v>
      </c>
      <c r="I339" s="97">
        <f>'Orderformular Color Kids'!I345</f>
        <v>0</v>
      </c>
      <c r="J339" s="97">
        <f>'Orderformular Color Kids'!J345</f>
        <v>0</v>
      </c>
      <c r="K339" s="97">
        <f>'Orderformular Color Kids'!K345</f>
        <v>0</v>
      </c>
      <c r="L339" s="97">
        <f>'Orderformular Color Kids'!L345</f>
        <v>0</v>
      </c>
      <c r="M339" s="97">
        <f>'Orderformular Color Kids'!M345</f>
        <v>0</v>
      </c>
      <c r="N339" s="97">
        <f>'Orderformular Color Kids'!N345</f>
        <v>0</v>
      </c>
      <c r="O339" s="97">
        <f>'Orderformular Color Kids'!O345</f>
        <v>0</v>
      </c>
      <c r="P339" s="97">
        <f>'Orderformular Color Kids'!P345</f>
        <v>0</v>
      </c>
      <c r="Q339" s="97">
        <f>'Orderformular Color Kids'!Q345</f>
        <v>0</v>
      </c>
      <c r="R339" s="97">
        <f>'Orderformular Color Kids'!R345</f>
        <v>0</v>
      </c>
      <c r="S339" s="97">
        <f t="shared" si="5"/>
        <v>0</v>
      </c>
      <c r="T339" s="109">
        <f>'Orderformular Color Kids'!U345</f>
        <v>32.9</v>
      </c>
    </row>
    <row r="340" spans="1:20" ht="15" customHeight="1" x14ac:dyDescent="0.25">
      <c r="A340" s="110">
        <f>'Orderformular Color Kids'!A346</f>
        <v>743152</v>
      </c>
      <c r="B340" s="111" t="str">
        <f>'Orderformular Color Kids'!B346</f>
        <v>Anonymized Item 346</v>
      </c>
      <c r="C340" s="111" t="str">
        <f>'Orderformular Color Kids'!C346</f>
        <v>Anonymized 7850 Total Eclipse</v>
      </c>
      <c r="D340" s="111" t="str">
        <f>'Orderformular Color Kids'!D346</f>
        <v>Kids</v>
      </c>
      <c r="E340" s="97">
        <f>'Orderformular Color Kids'!E346</f>
        <v>0</v>
      </c>
      <c r="F340" s="97">
        <f>'Orderformular Color Kids'!F346</f>
        <v>0</v>
      </c>
      <c r="G340" s="97">
        <f>'Orderformular Color Kids'!G346</f>
        <v>0</v>
      </c>
      <c r="H340" s="97">
        <f>'Orderformular Color Kids'!H346</f>
        <v>0</v>
      </c>
      <c r="I340" s="97">
        <f>'Orderformular Color Kids'!I346</f>
        <v>0</v>
      </c>
      <c r="J340" s="97">
        <f>'Orderformular Color Kids'!J346</f>
        <v>0</v>
      </c>
      <c r="K340" s="97">
        <f>'Orderformular Color Kids'!K346</f>
        <v>0</v>
      </c>
      <c r="L340" s="97">
        <f>'Orderformular Color Kids'!L346</f>
        <v>0</v>
      </c>
      <c r="M340" s="97">
        <f>'Orderformular Color Kids'!M346</f>
        <v>0</v>
      </c>
      <c r="N340" s="97">
        <f>'Orderformular Color Kids'!N346</f>
        <v>0</v>
      </c>
      <c r="O340" s="97">
        <f>'Orderformular Color Kids'!O346</f>
        <v>0</v>
      </c>
      <c r="P340" s="97">
        <f>'Orderformular Color Kids'!P346</f>
        <v>0</v>
      </c>
      <c r="Q340" s="97">
        <f>'Orderformular Color Kids'!Q346</f>
        <v>0</v>
      </c>
      <c r="R340" s="97">
        <f>'Orderformular Color Kids'!R346</f>
        <v>0</v>
      </c>
      <c r="S340" s="97">
        <f t="shared" si="5"/>
        <v>0</v>
      </c>
      <c r="T340" s="109">
        <f>'Orderformular Color Kids'!U346</f>
        <v>32.9</v>
      </c>
    </row>
    <row r="341" spans="1:20" ht="15" customHeight="1" x14ac:dyDescent="0.25">
      <c r="A341" s="110">
        <f>'Orderformular Color Kids'!A347</f>
        <v>743153</v>
      </c>
      <c r="B341" s="111" t="str">
        <f>'Orderformular Color Kids'!B347</f>
        <v>Anonymized Item 347</v>
      </c>
      <c r="C341" s="111" t="str">
        <f>'Orderformular Color Kids'!C347</f>
        <v xml:space="preserve">Anonymized 1191 Black </v>
      </c>
      <c r="D341" s="111" t="str">
        <f>'Orderformular Color Kids'!D347</f>
        <v>Kids</v>
      </c>
      <c r="E341" s="97">
        <f>'Orderformular Color Kids'!E347</f>
        <v>0</v>
      </c>
      <c r="F341" s="97">
        <f>'Orderformular Color Kids'!F347</f>
        <v>0</v>
      </c>
      <c r="G341" s="97">
        <f>'Orderformular Color Kids'!G347</f>
        <v>0</v>
      </c>
      <c r="H341" s="97">
        <f>'Orderformular Color Kids'!H347</f>
        <v>0</v>
      </c>
      <c r="I341" s="97">
        <f>'Orderformular Color Kids'!I347</f>
        <v>0</v>
      </c>
      <c r="J341" s="97">
        <f>'Orderformular Color Kids'!J347</f>
        <v>0</v>
      </c>
      <c r="K341" s="97">
        <f>'Orderformular Color Kids'!K347</f>
        <v>0</v>
      </c>
      <c r="L341" s="97">
        <f>'Orderformular Color Kids'!L347</f>
        <v>0</v>
      </c>
      <c r="M341" s="97">
        <f>'Orderformular Color Kids'!M347</f>
        <v>0</v>
      </c>
      <c r="N341" s="97">
        <f>'Orderformular Color Kids'!N347</f>
        <v>0</v>
      </c>
      <c r="O341" s="97">
        <f>'Orderformular Color Kids'!O347</f>
        <v>0</v>
      </c>
      <c r="P341" s="97">
        <f>'Orderformular Color Kids'!P347</f>
        <v>0</v>
      </c>
      <c r="Q341" s="97">
        <f>'Orderformular Color Kids'!Q347</f>
        <v>0</v>
      </c>
      <c r="R341" s="97">
        <f>'Orderformular Color Kids'!R347</f>
        <v>0</v>
      </c>
      <c r="S341" s="97">
        <f t="shared" si="5"/>
        <v>0</v>
      </c>
      <c r="T341" s="109">
        <f>'Orderformular Color Kids'!U347</f>
        <v>29.9</v>
      </c>
    </row>
    <row r="342" spans="1:20" ht="15" customHeight="1" x14ac:dyDescent="0.25">
      <c r="A342" s="110">
        <f>'Orderformular Color Kids'!A348</f>
        <v>743153</v>
      </c>
      <c r="B342" s="111" t="str">
        <f>'Orderformular Color Kids'!B348</f>
        <v>Anonymized Item 348</v>
      </c>
      <c r="C342" s="111" t="str">
        <f>'Orderformular Color Kids'!C348</f>
        <v>Anonymized 5381 Pink Glo</v>
      </c>
      <c r="D342" s="111" t="str">
        <f>'Orderformular Color Kids'!D348</f>
        <v>Kids</v>
      </c>
      <c r="E342" s="97">
        <f>'Orderformular Color Kids'!E348</f>
        <v>0</v>
      </c>
      <c r="F342" s="97">
        <f>'Orderformular Color Kids'!F348</f>
        <v>0</v>
      </c>
      <c r="G342" s="97">
        <f>'Orderformular Color Kids'!G348</f>
        <v>0</v>
      </c>
      <c r="H342" s="97">
        <f>'Orderformular Color Kids'!H348</f>
        <v>0</v>
      </c>
      <c r="I342" s="97">
        <f>'Orderformular Color Kids'!I348</f>
        <v>0</v>
      </c>
      <c r="J342" s="97">
        <f>'Orderformular Color Kids'!J348</f>
        <v>0</v>
      </c>
      <c r="K342" s="97">
        <f>'Orderformular Color Kids'!K348</f>
        <v>0</v>
      </c>
      <c r="L342" s="97">
        <f>'Orderformular Color Kids'!L348</f>
        <v>0</v>
      </c>
      <c r="M342" s="97">
        <f>'Orderformular Color Kids'!M348</f>
        <v>0</v>
      </c>
      <c r="N342" s="97">
        <f>'Orderformular Color Kids'!N348</f>
        <v>0</v>
      </c>
      <c r="O342" s="97">
        <f>'Orderformular Color Kids'!O348</f>
        <v>0</v>
      </c>
      <c r="P342" s="97">
        <f>'Orderformular Color Kids'!P348</f>
        <v>0</v>
      </c>
      <c r="Q342" s="97">
        <f>'Orderformular Color Kids'!Q348</f>
        <v>0</v>
      </c>
      <c r="R342" s="97">
        <f>'Orderformular Color Kids'!R348</f>
        <v>0</v>
      </c>
      <c r="S342" s="97">
        <f t="shared" si="5"/>
        <v>0</v>
      </c>
      <c r="T342" s="109">
        <f>'Orderformular Color Kids'!U348</f>
        <v>29.9</v>
      </c>
    </row>
    <row r="343" spans="1:20" ht="15" customHeight="1" x14ac:dyDescent="0.25">
      <c r="A343" s="110">
        <f>'Orderformular Color Kids'!A349</f>
        <v>743154</v>
      </c>
      <c r="B343" s="111" t="str">
        <f>'Orderformular Color Kids'!B349</f>
        <v>Anonymized Item 349</v>
      </c>
      <c r="C343" s="111" t="str">
        <f>'Orderformular Color Kids'!C349</f>
        <v xml:space="preserve">Anonymized 1191 Black </v>
      </c>
      <c r="D343" s="111" t="str">
        <f>'Orderformular Color Kids'!D349</f>
        <v>Kids</v>
      </c>
      <c r="E343" s="97">
        <f>'Orderformular Color Kids'!E349</f>
        <v>0</v>
      </c>
      <c r="F343" s="97">
        <f>'Orderformular Color Kids'!F349</f>
        <v>0</v>
      </c>
      <c r="G343" s="97">
        <f>'Orderformular Color Kids'!G349</f>
        <v>0</v>
      </c>
      <c r="H343" s="97">
        <f>'Orderformular Color Kids'!H349</f>
        <v>0</v>
      </c>
      <c r="I343" s="97">
        <f>'Orderformular Color Kids'!I349</f>
        <v>0</v>
      </c>
      <c r="J343" s="97">
        <f>'Orderformular Color Kids'!J349</f>
        <v>0</v>
      </c>
      <c r="K343" s="97">
        <f>'Orderformular Color Kids'!K349</f>
        <v>0</v>
      </c>
      <c r="L343" s="97">
        <f>'Orderformular Color Kids'!L349</f>
        <v>0</v>
      </c>
      <c r="M343" s="97">
        <f>'Orderformular Color Kids'!M349</f>
        <v>0</v>
      </c>
      <c r="N343" s="97">
        <f>'Orderformular Color Kids'!N349</f>
        <v>0</v>
      </c>
      <c r="O343" s="97">
        <f>'Orderformular Color Kids'!O349</f>
        <v>0</v>
      </c>
      <c r="P343" s="97">
        <f>'Orderformular Color Kids'!P349</f>
        <v>0</v>
      </c>
      <c r="Q343" s="97">
        <f>'Orderformular Color Kids'!Q349</f>
        <v>0</v>
      </c>
      <c r="R343" s="97">
        <f>'Orderformular Color Kids'!R349</f>
        <v>0</v>
      </c>
      <c r="S343" s="97">
        <f t="shared" si="5"/>
        <v>0</v>
      </c>
      <c r="T343" s="109">
        <f>'Orderformular Color Kids'!U349</f>
        <v>26.9</v>
      </c>
    </row>
    <row r="344" spans="1:20" ht="15" customHeight="1" x14ac:dyDescent="0.25">
      <c r="A344" s="110">
        <f>'Orderformular Color Kids'!A350</f>
        <v>743154</v>
      </c>
      <c r="B344" s="111" t="str">
        <f>'Orderformular Color Kids'!B350</f>
        <v>Anonymized Item 350</v>
      </c>
      <c r="C344" s="111" t="str">
        <f>'Orderformular Color Kids'!C350</f>
        <v>Anonymized 5381 Pink Glo</v>
      </c>
      <c r="D344" s="111" t="str">
        <f>'Orderformular Color Kids'!D350</f>
        <v>Kids</v>
      </c>
      <c r="E344" s="97">
        <f>'Orderformular Color Kids'!E350</f>
        <v>0</v>
      </c>
      <c r="F344" s="97">
        <f>'Orderformular Color Kids'!F350</f>
        <v>0</v>
      </c>
      <c r="G344" s="97">
        <f>'Orderformular Color Kids'!G350</f>
        <v>0</v>
      </c>
      <c r="H344" s="97">
        <f>'Orderformular Color Kids'!H350</f>
        <v>0</v>
      </c>
      <c r="I344" s="97">
        <f>'Orderformular Color Kids'!I350</f>
        <v>0</v>
      </c>
      <c r="J344" s="97">
        <f>'Orderformular Color Kids'!J350</f>
        <v>0</v>
      </c>
      <c r="K344" s="97">
        <f>'Orderformular Color Kids'!K350</f>
        <v>0</v>
      </c>
      <c r="L344" s="97">
        <f>'Orderformular Color Kids'!L350</f>
        <v>0</v>
      </c>
      <c r="M344" s="97">
        <f>'Orderformular Color Kids'!M350</f>
        <v>0</v>
      </c>
      <c r="N344" s="97">
        <f>'Orderformular Color Kids'!N350</f>
        <v>0</v>
      </c>
      <c r="O344" s="97">
        <f>'Orderformular Color Kids'!O350</f>
        <v>0</v>
      </c>
      <c r="P344" s="97">
        <f>'Orderformular Color Kids'!P350</f>
        <v>0</v>
      </c>
      <c r="Q344" s="97">
        <f>'Orderformular Color Kids'!Q350</f>
        <v>0</v>
      </c>
      <c r="R344" s="97">
        <f>'Orderformular Color Kids'!R350</f>
        <v>0</v>
      </c>
      <c r="S344" s="97">
        <f t="shared" si="5"/>
        <v>0</v>
      </c>
      <c r="T344" s="109">
        <f>'Orderformular Color Kids'!U350</f>
        <v>26.9</v>
      </c>
    </row>
    <row r="345" spans="1:20" ht="15" customHeight="1" x14ac:dyDescent="0.25">
      <c r="A345" s="110">
        <f>'Orderformular Color Kids'!A351</f>
        <v>743157</v>
      </c>
      <c r="B345" s="111" t="str">
        <f>'Orderformular Color Kids'!B351</f>
        <v>Anonymized Item 351</v>
      </c>
      <c r="C345" s="111" t="str">
        <f>'Orderformular Color Kids'!C351</f>
        <v>Anonymized 2159 Seagrass</v>
      </c>
      <c r="D345" s="111" t="str">
        <f>'Orderformular Color Kids'!D351</f>
        <v>Kids</v>
      </c>
      <c r="E345" s="97">
        <f>'Orderformular Color Kids'!E351</f>
        <v>0</v>
      </c>
      <c r="F345" s="97">
        <f>'Orderformular Color Kids'!F351</f>
        <v>0</v>
      </c>
      <c r="G345" s="97">
        <f>'Orderformular Color Kids'!G351</f>
        <v>0</v>
      </c>
      <c r="H345" s="97">
        <f>'Orderformular Color Kids'!H351</f>
        <v>0</v>
      </c>
      <c r="I345" s="97">
        <f>'Orderformular Color Kids'!I351</f>
        <v>0</v>
      </c>
      <c r="J345" s="97">
        <f>'Orderformular Color Kids'!J351</f>
        <v>0</v>
      </c>
      <c r="K345" s="97">
        <f>'Orderformular Color Kids'!K351</f>
        <v>0</v>
      </c>
      <c r="L345" s="97">
        <f>'Orderformular Color Kids'!L351</f>
        <v>0</v>
      </c>
      <c r="M345" s="97">
        <f>'Orderformular Color Kids'!M351</f>
        <v>0</v>
      </c>
      <c r="N345" s="97">
        <f>'Orderformular Color Kids'!N351</f>
        <v>0</v>
      </c>
      <c r="O345" s="97">
        <f>'Orderformular Color Kids'!O351</f>
        <v>0</v>
      </c>
      <c r="P345" s="97">
        <f>'Orderformular Color Kids'!P351</f>
        <v>0</v>
      </c>
      <c r="Q345" s="97">
        <f>'Orderformular Color Kids'!Q351</f>
        <v>0</v>
      </c>
      <c r="R345" s="97">
        <f>'Orderformular Color Kids'!R351</f>
        <v>0</v>
      </c>
      <c r="S345" s="97">
        <f t="shared" si="5"/>
        <v>0</v>
      </c>
      <c r="T345" s="109">
        <f>'Orderformular Color Kids'!U351</f>
        <v>29.9</v>
      </c>
    </row>
    <row r="346" spans="1:20" ht="15" customHeight="1" x14ac:dyDescent="0.25">
      <c r="A346" s="110">
        <f>'Orderformular Color Kids'!A352</f>
        <v>743157</v>
      </c>
      <c r="B346" s="111" t="str">
        <f>'Orderformular Color Kids'!B352</f>
        <v>Anonymized Item 352</v>
      </c>
      <c r="C346" s="111" t="str">
        <f>'Orderformular Color Kids'!C352</f>
        <v>Anonymized 7334 Persian Jewel</v>
      </c>
      <c r="D346" s="111" t="str">
        <f>'Orderformular Color Kids'!D352</f>
        <v>Kids</v>
      </c>
      <c r="E346" s="97">
        <f>'Orderformular Color Kids'!E352</f>
        <v>0</v>
      </c>
      <c r="F346" s="97">
        <f>'Orderformular Color Kids'!F352</f>
        <v>0</v>
      </c>
      <c r="G346" s="97">
        <f>'Orderformular Color Kids'!G352</f>
        <v>0</v>
      </c>
      <c r="H346" s="97">
        <f>'Orderformular Color Kids'!H352</f>
        <v>0</v>
      </c>
      <c r="I346" s="97">
        <f>'Orderformular Color Kids'!I352</f>
        <v>0</v>
      </c>
      <c r="J346" s="97">
        <f>'Orderformular Color Kids'!J352</f>
        <v>0</v>
      </c>
      <c r="K346" s="97">
        <f>'Orderformular Color Kids'!K352</f>
        <v>0</v>
      </c>
      <c r="L346" s="97">
        <f>'Orderformular Color Kids'!L352</f>
        <v>0</v>
      </c>
      <c r="M346" s="97">
        <f>'Orderformular Color Kids'!M352</f>
        <v>0</v>
      </c>
      <c r="N346" s="97">
        <f>'Orderformular Color Kids'!N352</f>
        <v>0</v>
      </c>
      <c r="O346" s="97">
        <f>'Orderformular Color Kids'!O352</f>
        <v>0</v>
      </c>
      <c r="P346" s="97">
        <f>'Orderformular Color Kids'!P352</f>
        <v>0</v>
      </c>
      <c r="Q346" s="97">
        <f>'Orderformular Color Kids'!Q352</f>
        <v>0</v>
      </c>
      <c r="R346" s="97">
        <f>'Orderformular Color Kids'!R352</f>
        <v>0</v>
      </c>
      <c r="S346" s="97">
        <f t="shared" si="5"/>
        <v>0</v>
      </c>
      <c r="T346" s="109">
        <f>'Orderformular Color Kids'!U352</f>
        <v>29.9</v>
      </c>
    </row>
    <row r="347" spans="1:20" ht="15" customHeight="1" x14ac:dyDescent="0.25">
      <c r="A347" s="110">
        <f>'Orderformular Color Kids'!A353</f>
        <v>743157</v>
      </c>
      <c r="B347" s="111" t="str">
        <f>'Orderformular Color Kids'!B353</f>
        <v>Anonymized Item 353</v>
      </c>
      <c r="C347" s="111" t="str">
        <f>'Orderformular Color Kids'!C353</f>
        <v>Anonymized 7880 Surf The Web</v>
      </c>
      <c r="D347" s="111" t="str">
        <f>'Orderformular Color Kids'!D353</f>
        <v>Kids</v>
      </c>
      <c r="E347" s="97">
        <f>'Orderformular Color Kids'!E353</f>
        <v>0</v>
      </c>
      <c r="F347" s="97">
        <f>'Orderformular Color Kids'!F353</f>
        <v>0</v>
      </c>
      <c r="G347" s="97">
        <f>'Orderformular Color Kids'!G353</f>
        <v>0</v>
      </c>
      <c r="H347" s="97">
        <f>'Orderformular Color Kids'!H353</f>
        <v>0</v>
      </c>
      <c r="I347" s="97">
        <f>'Orderformular Color Kids'!I353</f>
        <v>0</v>
      </c>
      <c r="J347" s="97">
        <f>'Orderformular Color Kids'!J353</f>
        <v>0</v>
      </c>
      <c r="K347" s="97">
        <f>'Orderformular Color Kids'!K353</f>
        <v>0</v>
      </c>
      <c r="L347" s="97">
        <f>'Orderformular Color Kids'!L353</f>
        <v>0</v>
      </c>
      <c r="M347" s="97">
        <f>'Orderformular Color Kids'!M353</f>
        <v>0</v>
      </c>
      <c r="N347" s="97">
        <f>'Orderformular Color Kids'!N353</f>
        <v>0</v>
      </c>
      <c r="O347" s="97">
        <f>'Orderformular Color Kids'!O353</f>
        <v>0</v>
      </c>
      <c r="P347" s="97">
        <f>'Orderformular Color Kids'!P353</f>
        <v>0</v>
      </c>
      <c r="Q347" s="97">
        <f>'Orderformular Color Kids'!Q353</f>
        <v>0</v>
      </c>
      <c r="R347" s="97">
        <f>'Orderformular Color Kids'!R353</f>
        <v>0</v>
      </c>
      <c r="S347" s="97">
        <f t="shared" si="5"/>
        <v>0</v>
      </c>
      <c r="T347" s="109">
        <f>'Orderformular Color Kids'!U353</f>
        <v>29.9</v>
      </c>
    </row>
    <row r="348" spans="1:20" ht="15" customHeight="1" x14ac:dyDescent="0.25">
      <c r="A348" s="110">
        <f>'Orderformular Color Kids'!A354</f>
        <v>743158</v>
      </c>
      <c r="B348" s="111" t="str">
        <f>'Orderformular Color Kids'!B354</f>
        <v>Anonymized Item 354</v>
      </c>
      <c r="C348" s="111" t="str">
        <f>'Orderformular Color Kids'!C354</f>
        <v>Anonymized 7850 Total Eclipse</v>
      </c>
      <c r="D348" s="111" t="str">
        <f>'Orderformular Color Kids'!D354</f>
        <v>Kids</v>
      </c>
      <c r="E348" s="97">
        <f>'Orderformular Color Kids'!E354</f>
        <v>0</v>
      </c>
      <c r="F348" s="97">
        <f>'Orderformular Color Kids'!F354</f>
        <v>0</v>
      </c>
      <c r="G348" s="97">
        <f>'Orderformular Color Kids'!G354</f>
        <v>0</v>
      </c>
      <c r="H348" s="97">
        <f>'Orderformular Color Kids'!H354</f>
        <v>0</v>
      </c>
      <c r="I348" s="97">
        <f>'Orderformular Color Kids'!I354</f>
        <v>0</v>
      </c>
      <c r="J348" s="97">
        <f>'Orderformular Color Kids'!J354</f>
        <v>0</v>
      </c>
      <c r="K348" s="97">
        <f>'Orderformular Color Kids'!K354</f>
        <v>0</v>
      </c>
      <c r="L348" s="97">
        <f>'Orderformular Color Kids'!L354</f>
        <v>0</v>
      </c>
      <c r="M348" s="97">
        <f>'Orderformular Color Kids'!M354</f>
        <v>0</v>
      </c>
      <c r="N348" s="97">
        <f>'Orderformular Color Kids'!N354</f>
        <v>0</v>
      </c>
      <c r="O348" s="97">
        <f>'Orderformular Color Kids'!O354</f>
        <v>0</v>
      </c>
      <c r="P348" s="97">
        <f>'Orderformular Color Kids'!P354</f>
        <v>0</v>
      </c>
      <c r="Q348" s="97">
        <f>'Orderformular Color Kids'!Q354</f>
        <v>0</v>
      </c>
      <c r="R348" s="97">
        <f>'Orderformular Color Kids'!R354</f>
        <v>0</v>
      </c>
      <c r="S348" s="97">
        <f t="shared" si="5"/>
        <v>0</v>
      </c>
      <c r="T348" s="109">
        <f>'Orderformular Color Kids'!U354</f>
        <v>23.9</v>
      </c>
    </row>
    <row r="349" spans="1:20" ht="15" customHeight="1" x14ac:dyDescent="0.25">
      <c r="A349" s="110">
        <f>'Orderformular Color Kids'!A355</f>
        <v>743161</v>
      </c>
      <c r="B349" s="111" t="str">
        <f>'Orderformular Color Kids'!B355</f>
        <v>Anonymized Item 355</v>
      </c>
      <c r="C349" s="111" t="str">
        <f>'Orderformular Color Kids'!C355</f>
        <v>Anonymized 1161 Snow White</v>
      </c>
      <c r="D349" s="111" t="str">
        <f>'Orderformular Color Kids'!D355</f>
        <v>Kids</v>
      </c>
      <c r="E349" s="97">
        <f>'Orderformular Color Kids'!E355</f>
        <v>0</v>
      </c>
      <c r="F349" s="97">
        <f>'Orderformular Color Kids'!F355</f>
        <v>0</v>
      </c>
      <c r="G349" s="97">
        <f>'Orderformular Color Kids'!G355</f>
        <v>0</v>
      </c>
      <c r="H349" s="97">
        <f>'Orderformular Color Kids'!H355</f>
        <v>0</v>
      </c>
      <c r="I349" s="97">
        <f>'Orderformular Color Kids'!I355</f>
        <v>0</v>
      </c>
      <c r="J349" s="97">
        <f>'Orderformular Color Kids'!J355</f>
        <v>0</v>
      </c>
      <c r="K349" s="97">
        <f>'Orderformular Color Kids'!K355</f>
        <v>0</v>
      </c>
      <c r="L349" s="97">
        <f>'Orderformular Color Kids'!L355</f>
        <v>0</v>
      </c>
      <c r="M349" s="97">
        <f>'Orderformular Color Kids'!M355</f>
        <v>0</v>
      </c>
      <c r="N349" s="97">
        <f>'Orderformular Color Kids'!N355</f>
        <v>0</v>
      </c>
      <c r="O349" s="97">
        <f>'Orderformular Color Kids'!O355</f>
        <v>0</v>
      </c>
      <c r="P349" s="97">
        <f>'Orderformular Color Kids'!P355</f>
        <v>0</v>
      </c>
      <c r="Q349" s="97">
        <f>'Orderformular Color Kids'!Q355</f>
        <v>0</v>
      </c>
      <c r="R349" s="97">
        <f>'Orderformular Color Kids'!R355</f>
        <v>0</v>
      </c>
      <c r="S349" s="97">
        <f t="shared" si="5"/>
        <v>0</v>
      </c>
      <c r="T349" s="109">
        <f>'Orderformular Color Kids'!U355</f>
        <v>29.9</v>
      </c>
    </row>
    <row r="350" spans="1:20" ht="15" customHeight="1" x14ac:dyDescent="0.25">
      <c r="A350" s="110">
        <f>'Orderformular Color Kids'!A356</f>
        <v>743161</v>
      </c>
      <c r="B350" s="111" t="str">
        <f>'Orderformular Color Kids'!B356</f>
        <v>Anonymized Item 356</v>
      </c>
      <c r="C350" s="111" t="str">
        <f>'Orderformular Color Kids'!C356</f>
        <v xml:space="preserve">Anonymized 1191 Black </v>
      </c>
      <c r="D350" s="111" t="str">
        <f>'Orderformular Color Kids'!D356</f>
        <v>Kids</v>
      </c>
      <c r="E350" s="97">
        <f>'Orderformular Color Kids'!E356</f>
        <v>0</v>
      </c>
      <c r="F350" s="97">
        <f>'Orderformular Color Kids'!F356</f>
        <v>0</v>
      </c>
      <c r="G350" s="97">
        <f>'Orderformular Color Kids'!G356</f>
        <v>0</v>
      </c>
      <c r="H350" s="97">
        <f>'Orderformular Color Kids'!H356</f>
        <v>0</v>
      </c>
      <c r="I350" s="97">
        <f>'Orderformular Color Kids'!I356</f>
        <v>0</v>
      </c>
      <c r="J350" s="97">
        <f>'Orderformular Color Kids'!J356</f>
        <v>0</v>
      </c>
      <c r="K350" s="97">
        <f>'Orderformular Color Kids'!K356</f>
        <v>0</v>
      </c>
      <c r="L350" s="97">
        <f>'Orderformular Color Kids'!L356</f>
        <v>0</v>
      </c>
      <c r="M350" s="97">
        <f>'Orderformular Color Kids'!M356</f>
        <v>0</v>
      </c>
      <c r="N350" s="97">
        <f>'Orderformular Color Kids'!N356</f>
        <v>0</v>
      </c>
      <c r="O350" s="97">
        <f>'Orderformular Color Kids'!O356</f>
        <v>0</v>
      </c>
      <c r="P350" s="97">
        <f>'Orderformular Color Kids'!P356</f>
        <v>0</v>
      </c>
      <c r="Q350" s="97">
        <f>'Orderformular Color Kids'!Q356</f>
        <v>0</v>
      </c>
      <c r="R350" s="97">
        <f>'Orderformular Color Kids'!R356</f>
        <v>0</v>
      </c>
      <c r="S350" s="97">
        <f t="shared" si="5"/>
        <v>0</v>
      </c>
      <c r="T350" s="109">
        <f>'Orderformular Color Kids'!U356</f>
        <v>29.9</v>
      </c>
    </row>
    <row r="351" spans="1:20" ht="15" customHeight="1" x14ac:dyDescent="0.25">
      <c r="A351" s="110">
        <f>'Orderformular Color Kids'!A357</f>
        <v>743161</v>
      </c>
      <c r="B351" s="111" t="str">
        <f>'Orderformular Color Kids'!B357</f>
        <v>Anonymized Item 357</v>
      </c>
      <c r="C351" s="111" t="str">
        <f>'Orderformular Color Kids'!C357</f>
        <v>Anonymized 7850 Total Eclipse</v>
      </c>
      <c r="D351" s="111" t="str">
        <f>'Orderformular Color Kids'!D357</f>
        <v>Kids</v>
      </c>
      <c r="E351" s="97">
        <f>'Orderformular Color Kids'!E357</f>
        <v>0</v>
      </c>
      <c r="F351" s="97">
        <f>'Orderformular Color Kids'!F357</f>
        <v>0</v>
      </c>
      <c r="G351" s="97">
        <f>'Orderformular Color Kids'!G357</f>
        <v>0</v>
      </c>
      <c r="H351" s="97">
        <f>'Orderformular Color Kids'!H357</f>
        <v>0</v>
      </c>
      <c r="I351" s="97">
        <f>'Orderformular Color Kids'!I357</f>
        <v>0</v>
      </c>
      <c r="J351" s="97">
        <f>'Orderformular Color Kids'!J357</f>
        <v>0</v>
      </c>
      <c r="K351" s="97">
        <f>'Orderformular Color Kids'!K357</f>
        <v>0</v>
      </c>
      <c r="L351" s="97">
        <f>'Orderformular Color Kids'!L357</f>
        <v>0</v>
      </c>
      <c r="M351" s="97">
        <f>'Orderformular Color Kids'!M357</f>
        <v>0</v>
      </c>
      <c r="N351" s="97">
        <f>'Orderformular Color Kids'!N357</f>
        <v>0</v>
      </c>
      <c r="O351" s="97">
        <f>'Orderformular Color Kids'!O357</f>
        <v>0</v>
      </c>
      <c r="P351" s="97">
        <f>'Orderformular Color Kids'!P357</f>
        <v>0</v>
      </c>
      <c r="Q351" s="97">
        <f>'Orderformular Color Kids'!Q357</f>
        <v>0</v>
      </c>
      <c r="R351" s="97">
        <f>'Orderformular Color Kids'!R357</f>
        <v>0</v>
      </c>
      <c r="S351" s="97">
        <f t="shared" si="5"/>
        <v>0</v>
      </c>
      <c r="T351" s="109">
        <f>'Orderformular Color Kids'!U357</f>
        <v>29.9</v>
      </c>
    </row>
    <row r="352" spans="1:20" ht="15" customHeight="1" x14ac:dyDescent="0.25">
      <c r="A352" s="110">
        <f>'Orderformular Color Kids'!A358</f>
        <v>743164</v>
      </c>
      <c r="B352" s="111" t="str">
        <f>'Orderformular Color Kids'!B358</f>
        <v>Anonymized Item 358</v>
      </c>
      <c r="C352" s="111" t="str">
        <f>'Orderformular Color Kids'!C358</f>
        <v>Anonymized 7334 Persian Jewel</v>
      </c>
      <c r="D352" s="111" t="str">
        <f>'Orderformular Color Kids'!D358</f>
        <v>Kids</v>
      </c>
      <c r="E352" s="97">
        <f>'Orderformular Color Kids'!E358</f>
        <v>0</v>
      </c>
      <c r="F352" s="97">
        <f>'Orderformular Color Kids'!F358</f>
        <v>0</v>
      </c>
      <c r="G352" s="97">
        <f>'Orderformular Color Kids'!G358</f>
        <v>0</v>
      </c>
      <c r="H352" s="97">
        <f>'Orderformular Color Kids'!H358</f>
        <v>0</v>
      </c>
      <c r="I352" s="97">
        <f>'Orderformular Color Kids'!I358</f>
        <v>0</v>
      </c>
      <c r="J352" s="97">
        <f>'Orderformular Color Kids'!J358</f>
        <v>0</v>
      </c>
      <c r="K352" s="97">
        <f>'Orderformular Color Kids'!K358</f>
        <v>0</v>
      </c>
      <c r="L352" s="97">
        <f>'Orderformular Color Kids'!L358</f>
        <v>0</v>
      </c>
      <c r="M352" s="97">
        <f>'Orderformular Color Kids'!M358</f>
        <v>0</v>
      </c>
      <c r="N352" s="97">
        <f>'Orderformular Color Kids'!N358</f>
        <v>0</v>
      </c>
      <c r="O352" s="97">
        <f>'Orderformular Color Kids'!O358</f>
        <v>0</v>
      </c>
      <c r="P352" s="97">
        <f>'Orderformular Color Kids'!P358</f>
        <v>0</v>
      </c>
      <c r="Q352" s="97">
        <f>'Orderformular Color Kids'!Q358</f>
        <v>0</v>
      </c>
      <c r="R352" s="97">
        <f>'Orderformular Color Kids'!R358</f>
        <v>0</v>
      </c>
      <c r="S352" s="97">
        <f t="shared" si="5"/>
        <v>0</v>
      </c>
      <c r="T352" s="109">
        <f>'Orderformular Color Kids'!U358</f>
        <v>29.9</v>
      </c>
    </row>
    <row r="353" spans="1:20" ht="15" customHeight="1" x14ac:dyDescent="0.25">
      <c r="A353" s="110">
        <f>'Orderformular Color Kids'!A359</f>
        <v>743164</v>
      </c>
      <c r="B353" s="111" t="str">
        <f>'Orderformular Color Kids'!B359</f>
        <v>Anonymized Item 359</v>
      </c>
      <c r="C353" s="111" t="str">
        <f>'Orderformular Color Kids'!C359</f>
        <v>Anonymized 7850 Total Eclipse</v>
      </c>
      <c r="D353" s="111" t="str">
        <f>'Orderformular Color Kids'!D359</f>
        <v>Kids</v>
      </c>
      <c r="E353" s="97">
        <f>'Orderformular Color Kids'!E359</f>
        <v>0</v>
      </c>
      <c r="F353" s="97">
        <f>'Orderformular Color Kids'!F359</f>
        <v>0</v>
      </c>
      <c r="G353" s="97">
        <f>'Orderformular Color Kids'!G359</f>
        <v>0</v>
      </c>
      <c r="H353" s="97">
        <f>'Orderformular Color Kids'!H359</f>
        <v>0</v>
      </c>
      <c r="I353" s="97">
        <f>'Orderformular Color Kids'!I359</f>
        <v>0</v>
      </c>
      <c r="J353" s="97">
        <f>'Orderformular Color Kids'!J359</f>
        <v>0</v>
      </c>
      <c r="K353" s="97">
        <f>'Orderformular Color Kids'!K359</f>
        <v>0</v>
      </c>
      <c r="L353" s="97">
        <f>'Orderformular Color Kids'!L359</f>
        <v>0</v>
      </c>
      <c r="M353" s="97">
        <f>'Orderformular Color Kids'!M359</f>
        <v>0</v>
      </c>
      <c r="N353" s="97">
        <f>'Orderformular Color Kids'!N359</f>
        <v>0</v>
      </c>
      <c r="O353" s="97">
        <f>'Orderformular Color Kids'!O359</f>
        <v>0</v>
      </c>
      <c r="P353" s="97">
        <f>'Orderformular Color Kids'!P359</f>
        <v>0</v>
      </c>
      <c r="Q353" s="97">
        <f>'Orderformular Color Kids'!Q359</f>
        <v>0</v>
      </c>
      <c r="R353" s="97">
        <f>'Orderformular Color Kids'!R359</f>
        <v>0</v>
      </c>
      <c r="S353" s="97">
        <f t="shared" si="5"/>
        <v>0</v>
      </c>
      <c r="T353" s="109">
        <f>'Orderformular Color Kids'!U359</f>
        <v>29.9</v>
      </c>
    </row>
    <row r="354" spans="1:20" ht="15" customHeight="1" x14ac:dyDescent="0.25">
      <c r="A354" s="110">
        <f>'Orderformular Color Kids'!A360</f>
        <v>743165</v>
      </c>
      <c r="B354" s="111" t="str">
        <f>'Orderformular Color Kids'!B360</f>
        <v>Anonymized Item 360</v>
      </c>
      <c r="C354" s="111" t="str">
        <f>'Orderformular Color Kids'!C360</f>
        <v xml:space="preserve">Anonymized 1191 Black </v>
      </c>
      <c r="D354" s="111" t="str">
        <f>'Orderformular Color Kids'!D360</f>
        <v>Kids</v>
      </c>
      <c r="E354" s="97">
        <f>'Orderformular Color Kids'!E360</f>
        <v>0</v>
      </c>
      <c r="F354" s="97">
        <f>'Orderformular Color Kids'!F360</f>
        <v>0</v>
      </c>
      <c r="G354" s="97">
        <f>'Orderformular Color Kids'!G360</f>
        <v>0</v>
      </c>
      <c r="H354" s="97">
        <f>'Orderformular Color Kids'!H360</f>
        <v>0</v>
      </c>
      <c r="I354" s="97">
        <f>'Orderformular Color Kids'!I360</f>
        <v>0</v>
      </c>
      <c r="J354" s="97">
        <f>'Orderformular Color Kids'!J360</f>
        <v>0</v>
      </c>
      <c r="K354" s="97">
        <f>'Orderformular Color Kids'!K360</f>
        <v>0</v>
      </c>
      <c r="L354" s="97">
        <f>'Orderformular Color Kids'!L360</f>
        <v>0</v>
      </c>
      <c r="M354" s="97">
        <f>'Orderformular Color Kids'!M360</f>
        <v>0</v>
      </c>
      <c r="N354" s="97">
        <f>'Orderformular Color Kids'!N360</f>
        <v>0</v>
      </c>
      <c r="O354" s="97">
        <f>'Orderformular Color Kids'!O360</f>
        <v>0</v>
      </c>
      <c r="P354" s="97">
        <f>'Orderformular Color Kids'!P360</f>
        <v>0</v>
      </c>
      <c r="Q354" s="97">
        <f>'Orderformular Color Kids'!Q360</f>
        <v>0</v>
      </c>
      <c r="R354" s="97">
        <f>'Orderformular Color Kids'!R360</f>
        <v>0</v>
      </c>
      <c r="S354" s="97">
        <f t="shared" si="5"/>
        <v>0</v>
      </c>
      <c r="T354" s="109">
        <f>'Orderformular Color Kids'!U360</f>
        <v>29.9</v>
      </c>
    </row>
    <row r="355" spans="1:20" ht="15" customHeight="1" x14ac:dyDescent="0.25">
      <c r="A355" s="110">
        <f>'Orderformular Color Kids'!A361</f>
        <v>743165</v>
      </c>
      <c r="B355" s="111" t="str">
        <f>'Orderformular Color Kids'!B361</f>
        <v>Anonymized Item 361</v>
      </c>
      <c r="C355" s="111" t="str">
        <f>'Orderformular Color Kids'!C361</f>
        <v>Anonymized 6685 Violet Tulle</v>
      </c>
      <c r="D355" s="111" t="str">
        <f>'Orderformular Color Kids'!D361</f>
        <v>Kids</v>
      </c>
      <c r="E355" s="97">
        <f>'Orderformular Color Kids'!E361</f>
        <v>0</v>
      </c>
      <c r="F355" s="97">
        <f>'Orderformular Color Kids'!F361</f>
        <v>0</v>
      </c>
      <c r="G355" s="97">
        <f>'Orderformular Color Kids'!G361</f>
        <v>0</v>
      </c>
      <c r="H355" s="97">
        <f>'Orderformular Color Kids'!H361</f>
        <v>0</v>
      </c>
      <c r="I355" s="97">
        <f>'Orderformular Color Kids'!I361</f>
        <v>0</v>
      </c>
      <c r="J355" s="97">
        <f>'Orderformular Color Kids'!J361</f>
        <v>0</v>
      </c>
      <c r="K355" s="97">
        <f>'Orderformular Color Kids'!K361</f>
        <v>0</v>
      </c>
      <c r="L355" s="97">
        <f>'Orderformular Color Kids'!L361</f>
        <v>0</v>
      </c>
      <c r="M355" s="97">
        <f>'Orderformular Color Kids'!M361</f>
        <v>0</v>
      </c>
      <c r="N355" s="97">
        <f>'Orderformular Color Kids'!N361</f>
        <v>0</v>
      </c>
      <c r="O355" s="97">
        <f>'Orderformular Color Kids'!O361</f>
        <v>0</v>
      </c>
      <c r="P355" s="97">
        <f>'Orderformular Color Kids'!P361</f>
        <v>0</v>
      </c>
      <c r="Q355" s="97">
        <f>'Orderformular Color Kids'!Q361</f>
        <v>0</v>
      </c>
      <c r="R355" s="97">
        <f>'Orderformular Color Kids'!R361</f>
        <v>0</v>
      </c>
      <c r="S355" s="97">
        <f t="shared" si="5"/>
        <v>0</v>
      </c>
      <c r="T355" s="109">
        <f>'Orderformular Color Kids'!U361</f>
        <v>29.9</v>
      </c>
    </row>
    <row r="356" spans="1:20" ht="15" customHeight="1" x14ac:dyDescent="0.25">
      <c r="A356" s="110">
        <f>'Orderformular Color Kids'!A362</f>
        <v>743165</v>
      </c>
      <c r="B356" s="111" t="str">
        <f>'Orderformular Color Kids'!B362</f>
        <v>Anonymized Item 362</v>
      </c>
      <c r="C356" s="111" t="str">
        <f>'Orderformular Color Kids'!C362</f>
        <v>Anonymized 7334 Persian Jewel</v>
      </c>
      <c r="D356" s="111" t="str">
        <f>'Orderformular Color Kids'!D362</f>
        <v>Kids</v>
      </c>
      <c r="E356" s="97">
        <f>'Orderformular Color Kids'!E362</f>
        <v>0</v>
      </c>
      <c r="F356" s="97">
        <f>'Orderformular Color Kids'!F362</f>
        <v>0</v>
      </c>
      <c r="G356" s="97">
        <f>'Orderformular Color Kids'!G362</f>
        <v>0</v>
      </c>
      <c r="H356" s="97">
        <f>'Orderformular Color Kids'!H362</f>
        <v>0</v>
      </c>
      <c r="I356" s="97">
        <f>'Orderformular Color Kids'!I362</f>
        <v>0</v>
      </c>
      <c r="J356" s="97">
        <f>'Orderformular Color Kids'!J362</f>
        <v>0</v>
      </c>
      <c r="K356" s="97">
        <f>'Orderformular Color Kids'!K362</f>
        <v>0</v>
      </c>
      <c r="L356" s="97">
        <f>'Orderformular Color Kids'!L362</f>
        <v>0</v>
      </c>
      <c r="M356" s="97">
        <f>'Orderformular Color Kids'!M362</f>
        <v>0</v>
      </c>
      <c r="N356" s="97">
        <f>'Orderformular Color Kids'!N362</f>
        <v>0</v>
      </c>
      <c r="O356" s="97">
        <f>'Orderformular Color Kids'!O362</f>
        <v>0</v>
      </c>
      <c r="P356" s="97">
        <f>'Orderformular Color Kids'!P362</f>
        <v>0</v>
      </c>
      <c r="Q356" s="97">
        <f>'Orderformular Color Kids'!Q362</f>
        <v>0</v>
      </c>
      <c r="R356" s="97">
        <f>'Orderformular Color Kids'!R362</f>
        <v>0</v>
      </c>
      <c r="S356" s="97">
        <f t="shared" si="5"/>
        <v>0</v>
      </c>
      <c r="T356" s="109">
        <f>'Orderformular Color Kids'!U362</f>
        <v>29.9</v>
      </c>
    </row>
    <row r="357" spans="1:20" ht="15" customHeight="1" x14ac:dyDescent="0.25">
      <c r="A357" s="110">
        <f>'Orderformular Color Kids'!A363</f>
        <v>743168</v>
      </c>
      <c r="B357" s="111" t="str">
        <f>'Orderformular Color Kids'!B363</f>
        <v>Anonymized Item 363</v>
      </c>
      <c r="C357" s="111" t="str">
        <f>'Orderformular Color Kids'!C363</f>
        <v>Anonymized 5381 Pink Glo</v>
      </c>
      <c r="D357" s="111" t="str">
        <f>'Orderformular Color Kids'!D363</f>
        <v>Kids</v>
      </c>
      <c r="E357" s="97">
        <f>'Orderformular Color Kids'!E363</f>
        <v>0</v>
      </c>
      <c r="F357" s="97">
        <f>'Orderformular Color Kids'!F363</f>
        <v>0</v>
      </c>
      <c r="G357" s="97">
        <f>'Orderformular Color Kids'!G363</f>
        <v>0</v>
      </c>
      <c r="H357" s="97">
        <f>'Orderformular Color Kids'!H363</f>
        <v>0</v>
      </c>
      <c r="I357" s="97">
        <f>'Orderformular Color Kids'!I363</f>
        <v>0</v>
      </c>
      <c r="J357" s="97">
        <f>'Orderformular Color Kids'!J363</f>
        <v>0</v>
      </c>
      <c r="K357" s="97">
        <f>'Orderformular Color Kids'!K363</f>
        <v>0</v>
      </c>
      <c r="L357" s="97">
        <f>'Orderformular Color Kids'!L363</f>
        <v>0</v>
      </c>
      <c r="M357" s="97">
        <f>'Orderformular Color Kids'!M363</f>
        <v>0</v>
      </c>
      <c r="N357" s="97">
        <f>'Orderformular Color Kids'!N363</f>
        <v>0</v>
      </c>
      <c r="O357" s="97">
        <f>'Orderformular Color Kids'!O363</f>
        <v>0</v>
      </c>
      <c r="P357" s="97">
        <f>'Orderformular Color Kids'!P363</f>
        <v>0</v>
      </c>
      <c r="Q357" s="97">
        <f>'Orderformular Color Kids'!Q363</f>
        <v>0</v>
      </c>
      <c r="R357" s="97">
        <f>'Orderformular Color Kids'!R363</f>
        <v>0</v>
      </c>
      <c r="S357" s="97">
        <f t="shared" si="5"/>
        <v>0</v>
      </c>
      <c r="T357" s="109">
        <f>'Orderformular Color Kids'!U363</f>
        <v>25.9</v>
      </c>
    </row>
    <row r="358" spans="1:20" ht="15" customHeight="1" x14ac:dyDescent="0.25">
      <c r="A358" s="110">
        <f>'Orderformular Color Kids'!A364</f>
        <v>743168</v>
      </c>
      <c r="B358" s="111" t="str">
        <f>'Orderformular Color Kids'!B364</f>
        <v>Anonymized Item 364</v>
      </c>
      <c r="C358" s="111" t="str">
        <f>'Orderformular Color Kids'!C364</f>
        <v>Anonymized 6685 Violet Tulle</v>
      </c>
      <c r="D358" s="111" t="str">
        <f>'Orderformular Color Kids'!D364</f>
        <v>Kids</v>
      </c>
      <c r="E358" s="97">
        <f>'Orderformular Color Kids'!E364</f>
        <v>0</v>
      </c>
      <c r="F358" s="97">
        <f>'Orderformular Color Kids'!F364</f>
        <v>0</v>
      </c>
      <c r="G358" s="97">
        <f>'Orderformular Color Kids'!G364</f>
        <v>0</v>
      </c>
      <c r="H358" s="97">
        <f>'Orderformular Color Kids'!H364</f>
        <v>0</v>
      </c>
      <c r="I358" s="97">
        <f>'Orderformular Color Kids'!I364</f>
        <v>0</v>
      </c>
      <c r="J358" s="97">
        <f>'Orderformular Color Kids'!J364</f>
        <v>0</v>
      </c>
      <c r="K358" s="97">
        <f>'Orderformular Color Kids'!K364</f>
        <v>0</v>
      </c>
      <c r="L358" s="97">
        <f>'Orderformular Color Kids'!L364</f>
        <v>0</v>
      </c>
      <c r="M358" s="97">
        <f>'Orderformular Color Kids'!M364</f>
        <v>0</v>
      </c>
      <c r="N358" s="97">
        <f>'Orderformular Color Kids'!N364</f>
        <v>0</v>
      </c>
      <c r="O358" s="97">
        <f>'Orderformular Color Kids'!O364</f>
        <v>0</v>
      </c>
      <c r="P358" s="97">
        <f>'Orderformular Color Kids'!P364</f>
        <v>0</v>
      </c>
      <c r="Q358" s="97">
        <f>'Orderformular Color Kids'!Q364</f>
        <v>0</v>
      </c>
      <c r="R358" s="97">
        <f>'Orderformular Color Kids'!R364</f>
        <v>0</v>
      </c>
      <c r="S358" s="97">
        <f t="shared" si="5"/>
        <v>0</v>
      </c>
      <c r="T358" s="109">
        <f>'Orderformular Color Kids'!U364</f>
        <v>25.9</v>
      </c>
    </row>
    <row r="359" spans="1:20" ht="15" customHeight="1" x14ac:dyDescent="0.25">
      <c r="A359" s="110">
        <f>'Orderformular Color Kids'!A365</f>
        <v>743170</v>
      </c>
      <c r="B359" s="111" t="str">
        <f>'Orderformular Color Kids'!B365</f>
        <v>Anonymized Item 365</v>
      </c>
      <c r="C359" s="111" t="str">
        <f>'Orderformular Color Kids'!C365</f>
        <v>Anonymized 3431 Peach Sorbet</v>
      </c>
      <c r="D359" s="111" t="str">
        <f>'Orderformular Color Kids'!D365</f>
        <v>Kids</v>
      </c>
      <c r="E359" s="97">
        <f>'Orderformular Color Kids'!E365</f>
        <v>0</v>
      </c>
      <c r="F359" s="97">
        <f>'Orderformular Color Kids'!F365</f>
        <v>0</v>
      </c>
      <c r="G359" s="97">
        <f>'Orderformular Color Kids'!G365</f>
        <v>0</v>
      </c>
      <c r="H359" s="97">
        <f>'Orderformular Color Kids'!H365</f>
        <v>0</v>
      </c>
      <c r="I359" s="97">
        <f>'Orderformular Color Kids'!I365</f>
        <v>0</v>
      </c>
      <c r="J359" s="97">
        <f>'Orderformular Color Kids'!J365</f>
        <v>0</v>
      </c>
      <c r="K359" s="97">
        <f>'Orderformular Color Kids'!K365</f>
        <v>0</v>
      </c>
      <c r="L359" s="97">
        <f>'Orderformular Color Kids'!L365</f>
        <v>0</v>
      </c>
      <c r="M359" s="97">
        <f>'Orderformular Color Kids'!M365</f>
        <v>0</v>
      </c>
      <c r="N359" s="97">
        <f>'Orderformular Color Kids'!N365</f>
        <v>0</v>
      </c>
      <c r="O359" s="97">
        <f>'Orderformular Color Kids'!O365</f>
        <v>0</v>
      </c>
      <c r="P359" s="97">
        <f>'Orderformular Color Kids'!P365</f>
        <v>0</v>
      </c>
      <c r="Q359" s="97">
        <f>'Orderformular Color Kids'!Q365</f>
        <v>0</v>
      </c>
      <c r="R359" s="97">
        <f>'Orderformular Color Kids'!R365</f>
        <v>0</v>
      </c>
      <c r="S359" s="97">
        <f t="shared" si="5"/>
        <v>0</v>
      </c>
      <c r="T359" s="109">
        <f>'Orderformular Color Kids'!U365</f>
        <v>25.9</v>
      </c>
    </row>
    <row r="360" spans="1:20" ht="15" customHeight="1" x14ac:dyDescent="0.25">
      <c r="A360" s="110">
        <f>'Orderformular Color Kids'!A366</f>
        <v>743170</v>
      </c>
      <c r="B360" s="111" t="str">
        <f>'Orderformular Color Kids'!B366</f>
        <v>Anonymized Item 366</v>
      </c>
      <c r="C360" s="111" t="str">
        <f>'Orderformular Color Kids'!C366</f>
        <v>Anonymized 3810 Tender Yellow</v>
      </c>
      <c r="D360" s="111" t="str">
        <f>'Orderformular Color Kids'!D366</f>
        <v>Kids</v>
      </c>
      <c r="E360" s="97">
        <f>'Orderformular Color Kids'!E366</f>
        <v>0</v>
      </c>
      <c r="F360" s="97">
        <f>'Orderformular Color Kids'!F366</f>
        <v>0</v>
      </c>
      <c r="G360" s="97">
        <f>'Orderformular Color Kids'!G366</f>
        <v>0</v>
      </c>
      <c r="H360" s="97">
        <f>'Orderformular Color Kids'!H366</f>
        <v>0</v>
      </c>
      <c r="I360" s="97">
        <f>'Orderformular Color Kids'!I366</f>
        <v>0</v>
      </c>
      <c r="J360" s="97">
        <f>'Orderformular Color Kids'!J366</f>
        <v>0</v>
      </c>
      <c r="K360" s="97">
        <f>'Orderformular Color Kids'!K366</f>
        <v>0</v>
      </c>
      <c r="L360" s="97">
        <f>'Orderformular Color Kids'!L366</f>
        <v>0</v>
      </c>
      <c r="M360" s="97">
        <f>'Orderformular Color Kids'!M366</f>
        <v>0</v>
      </c>
      <c r="N360" s="97">
        <f>'Orderformular Color Kids'!N366</f>
        <v>0</v>
      </c>
      <c r="O360" s="97">
        <f>'Orderformular Color Kids'!O366</f>
        <v>0</v>
      </c>
      <c r="P360" s="97">
        <f>'Orderformular Color Kids'!P366</f>
        <v>0</v>
      </c>
      <c r="Q360" s="97">
        <f>'Orderformular Color Kids'!Q366</f>
        <v>0</v>
      </c>
      <c r="R360" s="97">
        <f>'Orderformular Color Kids'!R366</f>
        <v>0</v>
      </c>
      <c r="S360" s="97">
        <f t="shared" si="5"/>
        <v>0</v>
      </c>
      <c r="T360" s="109">
        <f>'Orderformular Color Kids'!U366</f>
        <v>25.9</v>
      </c>
    </row>
    <row r="361" spans="1:20" ht="15" customHeight="1" x14ac:dyDescent="0.25">
      <c r="A361" s="110">
        <f>'Orderformular Color Kids'!A367</f>
        <v>743170</v>
      </c>
      <c r="B361" s="111" t="str">
        <f>'Orderformular Color Kids'!B367</f>
        <v>Anonymized Item 367</v>
      </c>
      <c r="C361" s="111" t="str">
        <f>'Orderformular Color Kids'!C367</f>
        <v>Anonymized 7334 Persian Jewel</v>
      </c>
      <c r="D361" s="111" t="str">
        <f>'Orderformular Color Kids'!D367</f>
        <v>Kids</v>
      </c>
      <c r="E361" s="97">
        <f>'Orderformular Color Kids'!E367</f>
        <v>0</v>
      </c>
      <c r="F361" s="97">
        <f>'Orderformular Color Kids'!F367</f>
        <v>0</v>
      </c>
      <c r="G361" s="97">
        <f>'Orderformular Color Kids'!G367</f>
        <v>0</v>
      </c>
      <c r="H361" s="97">
        <f>'Orderformular Color Kids'!H367</f>
        <v>0</v>
      </c>
      <c r="I361" s="97">
        <f>'Orderformular Color Kids'!I367</f>
        <v>0</v>
      </c>
      <c r="J361" s="97">
        <f>'Orderformular Color Kids'!J367</f>
        <v>0</v>
      </c>
      <c r="K361" s="97">
        <f>'Orderformular Color Kids'!K367</f>
        <v>0</v>
      </c>
      <c r="L361" s="97">
        <f>'Orderformular Color Kids'!L367</f>
        <v>0</v>
      </c>
      <c r="M361" s="97">
        <f>'Orderformular Color Kids'!M367</f>
        <v>0</v>
      </c>
      <c r="N361" s="97">
        <f>'Orderformular Color Kids'!N367</f>
        <v>0</v>
      </c>
      <c r="O361" s="97">
        <f>'Orderformular Color Kids'!O367</f>
        <v>0</v>
      </c>
      <c r="P361" s="97">
        <f>'Orderformular Color Kids'!P367</f>
        <v>0</v>
      </c>
      <c r="Q361" s="97">
        <f>'Orderformular Color Kids'!Q367</f>
        <v>0</v>
      </c>
      <c r="R361" s="97">
        <f>'Orderformular Color Kids'!R367</f>
        <v>0</v>
      </c>
      <c r="S361" s="97">
        <f t="shared" si="5"/>
        <v>0</v>
      </c>
      <c r="T361" s="109">
        <f>'Orderformular Color Kids'!U367</f>
        <v>25.9</v>
      </c>
    </row>
    <row r="362" spans="1:20" ht="15" customHeight="1" x14ac:dyDescent="0.25">
      <c r="A362" s="110">
        <f>'Orderformular Color Kids'!A368</f>
        <v>743170</v>
      </c>
      <c r="B362" s="111" t="str">
        <f>'Orderformular Color Kids'!B368</f>
        <v>Anonymized Item 368</v>
      </c>
      <c r="C362" s="111" t="str">
        <f>'Orderformular Color Kids'!C368</f>
        <v>Anonymized 7850 Total Eclipse</v>
      </c>
      <c r="D362" s="111" t="str">
        <f>'Orderformular Color Kids'!D368</f>
        <v>Kids</v>
      </c>
      <c r="E362" s="97">
        <f>'Orderformular Color Kids'!E368</f>
        <v>0</v>
      </c>
      <c r="F362" s="97">
        <f>'Orderformular Color Kids'!F368</f>
        <v>0</v>
      </c>
      <c r="G362" s="97">
        <f>'Orderformular Color Kids'!G368</f>
        <v>0</v>
      </c>
      <c r="H362" s="97">
        <f>'Orderformular Color Kids'!H368</f>
        <v>0</v>
      </c>
      <c r="I362" s="97">
        <f>'Orderformular Color Kids'!I368</f>
        <v>0</v>
      </c>
      <c r="J362" s="97">
        <f>'Orderformular Color Kids'!J368</f>
        <v>0</v>
      </c>
      <c r="K362" s="97">
        <f>'Orderformular Color Kids'!K368</f>
        <v>0</v>
      </c>
      <c r="L362" s="97">
        <f>'Orderformular Color Kids'!L368</f>
        <v>0</v>
      </c>
      <c r="M362" s="97">
        <f>'Orderformular Color Kids'!M368</f>
        <v>0</v>
      </c>
      <c r="N362" s="97">
        <f>'Orderformular Color Kids'!N368</f>
        <v>0</v>
      </c>
      <c r="O362" s="97">
        <f>'Orderformular Color Kids'!O368</f>
        <v>0</v>
      </c>
      <c r="P362" s="97">
        <f>'Orderformular Color Kids'!P368</f>
        <v>0</v>
      </c>
      <c r="Q362" s="97">
        <f>'Orderformular Color Kids'!Q368</f>
        <v>0</v>
      </c>
      <c r="R362" s="97">
        <f>'Orderformular Color Kids'!R368</f>
        <v>0</v>
      </c>
      <c r="S362" s="97">
        <f t="shared" si="5"/>
        <v>0</v>
      </c>
      <c r="T362" s="109">
        <f>'Orderformular Color Kids'!U368</f>
        <v>25.9</v>
      </c>
    </row>
    <row r="363" spans="1:20" ht="15" customHeight="1" x14ac:dyDescent="0.25">
      <c r="A363" s="110">
        <f>'Orderformular Color Kids'!A369</f>
        <v>743170</v>
      </c>
      <c r="B363" s="111" t="str">
        <f>'Orderformular Color Kids'!B369</f>
        <v>Anonymized Item 369</v>
      </c>
      <c r="C363" s="111" t="str">
        <f>'Orderformular Color Kids'!C369</f>
        <v>Anonymized 7880 Surf The Web</v>
      </c>
      <c r="D363" s="111" t="str">
        <f>'Orderformular Color Kids'!D369</f>
        <v>Kids</v>
      </c>
      <c r="E363" s="97">
        <f>'Orderformular Color Kids'!E369</f>
        <v>0</v>
      </c>
      <c r="F363" s="97">
        <f>'Orderformular Color Kids'!F369</f>
        <v>0</v>
      </c>
      <c r="G363" s="97">
        <f>'Orderformular Color Kids'!G369</f>
        <v>0</v>
      </c>
      <c r="H363" s="97">
        <f>'Orderformular Color Kids'!H369</f>
        <v>0</v>
      </c>
      <c r="I363" s="97">
        <f>'Orderformular Color Kids'!I369</f>
        <v>0</v>
      </c>
      <c r="J363" s="97">
        <f>'Orderformular Color Kids'!J369</f>
        <v>0</v>
      </c>
      <c r="K363" s="97">
        <f>'Orderformular Color Kids'!K369</f>
        <v>0</v>
      </c>
      <c r="L363" s="97">
        <f>'Orderformular Color Kids'!L369</f>
        <v>0</v>
      </c>
      <c r="M363" s="97">
        <f>'Orderformular Color Kids'!M369</f>
        <v>0</v>
      </c>
      <c r="N363" s="97">
        <f>'Orderformular Color Kids'!N369</f>
        <v>0</v>
      </c>
      <c r="O363" s="97">
        <f>'Orderformular Color Kids'!O369</f>
        <v>0</v>
      </c>
      <c r="P363" s="97">
        <f>'Orderformular Color Kids'!P369</f>
        <v>0</v>
      </c>
      <c r="Q363" s="97">
        <f>'Orderformular Color Kids'!Q369</f>
        <v>0</v>
      </c>
      <c r="R363" s="97">
        <f>'Orderformular Color Kids'!R369</f>
        <v>0</v>
      </c>
      <c r="S363" s="97">
        <f t="shared" si="5"/>
        <v>0</v>
      </c>
      <c r="T363" s="109">
        <f>'Orderformular Color Kids'!U369</f>
        <v>25.9</v>
      </c>
    </row>
    <row r="364" spans="1:20" ht="15" customHeight="1" x14ac:dyDescent="0.25">
      <c r="A364" s="110">
        <f>'Orderformular Color Kids'!A370</f>
        <v>743172</v>
      </c>
      <c r="B364" s="111" t="str">
        <f>'Orderformular Color Kids'!B370</f>
        <v>Anonymized Item 370</v>
      </c>
      <c r="C364" s="111" t="str">
        <f>'Orderformular Color Kids'!C370</f>
        <v>Anonymized 3431 Peach Sorbet</v>
      </c>
      <c r="D364" s="111" t="str">
        <f>'Orderformular Color Kids'!D370</f>
        <v>Kids</v>
      </c>
      <c r="E364" s="97">
        <f>'Orderformular Color Kids'!E370</f>
        <v>0</v>
      </c>
      <c r="F364" s="97">
        <f>'Orderformular Color Kids'!F370</f>
        <v>0</v>
      </c>
      <c r="G364" s="97">
        <f>'Orderformular Color Kids'!G370</f>
        <v>0</v>
      </c>
      <c r="H364" s="97">
        <f>'Orderformular Color Kids'!H370</f>
        <v>0</v>
      </c>
      <c r="I364" s="97">
        <f>'Orderformular Color Kids'!I370</f>
        <v>0</v>
      </c>
      <c r="J364" s="97">
        <f>'Orderformular Color Kids'!J370</f>
        <v>0</v>
      </c>
      <c r="K364" s="97">
        <f>'Orderformular Color Kids'!K370</f>
        <v>0</v>
      </c>
      <c r="L364" s="97">
        <f>'Orderformular Color Kids'!L370</f>
        <v>0</v>
      </c>
      <c r="M364" s="97">
        <f>'Orderformular Color Kids'!M370</f>
        <v>0</v>
      </c>
      <c r="N364" s="97">
        <f>'Orderformular Color Kids'!N370</f>
        <v>0</v>
      </c>
      <c r="O364" s="97">
        <f>'Orderformular Color Kids'!O370</f>
        <v>0</v>
      </c>
      <c r="P364" s="97">
        <f>'Orderformular Color Kids'!P370</f>
        <v>0</v>
      </c>
      <c r="Q364" s="97">
        <f>'Orderformular Color Kids'!Q370</f>
        <v>0</v>
      </c>
      <c r="R364" s="97">
        <f>'Orderformular Color Kids'!R370</f>
        <v>0</v>
      </c>
      <c r="S364" s="97">
        <f t="shared" si="5"/>
        <v>0</v>
      </c>
      <c r="T364" s="109">
        <f>'Orderformular Color Kids'!U370</f>
        <v>39.9</v>
      </c>
    </row>
    <row r="365" spans="1:20" ht="15" customHeight="1" x14ac:dyDescent="0.25">
      <c r="A365" s="110">
        <f>'Orderformular Color Kids'!A371</f>
        <v>743172</v>
      </c>
      <c r="B365" s="111" t="str">
        <f>'Orderformular Color Kids'!B371</f>
        <v>Anonymized Item 371</v>
      </c>
      <c r="C365" s="111" t="str">
        <f>'Orderformular Color Kids'!C371</f>
        <v>Anonymized 3810 Tender Yellow</v>
      </c>
      <c r="D365" s="111" t="str">
        <f>'Orderformular Color Kids'!D371</f>
        <v>Kids</v>
      </c>
      <c r="E365" s="97">
        <f>'Orderformular Color Kids'!E371</f>
        <v>0</v>
      </c>
      <c r="F365" s="97">
        <f>'Orderformular Color Kids'!F371</f>
        <v>0</v>
      </c>
      <c r="G365" s="97">
        <f>'Orderformular Color Kids'!G371</f>
        <v>0</v>
      </c>
      <c r="H365" s="97">
        <f>'Orderformular Color Kids'!H371</f>
        <v>0</v>
      </c>
      <c r="I365" s="97">
        <f>'Orderformular Color Kids'!I371</f>
        <v>0</v>
      </c>
      <c r="J365" s="97">
        <f>'Orderformular Color Kids'!J371</f>
        <v>0</v>
      </c>
      <c r="K365" s="97">
        <f>'Orderformular Color Kids'!K371</f>
        <v>0</v>
      </c>
      <c r="L365" s="97">
        <f>'Orderformular Color Kids'!L371</f>
        <v>0</v>
      </c>
      <c r="M365" s="97">
        <f>'Orderformular Color Kids'!M371</f>
        <v>0</v>
      </c>
      <c r="N365" s="97">
        <f>'Orderformular Color Kids'!N371</f>
        <v>0</v>
      </c>
      <c r="O365" s="97">
        <f>'Orderformular Color Kids'!O371</f>
        <v>0</v>
      </c>
      <c r="P365" s="97">
        <f>'Orderformular Color Kids'!P371</f>
        <v>0</v>
      </c>
      <c r="Q365" s="97">
        <f>'Orderformular Color Kids'!Q371</f>
        <v>0</v>
      </c>
      <c r="R365" s="97">
        <f>'Orderformular Color Kids'!R371</f>
        <v>0</v>
      </c>
      <c r="S365" s="97">
        <f t="shared" si="5"/>
        <v>0</v>
      </c>
      <c r="T365" s="109">
        <f>'Orderformular Color Kids'!U371</f>
        <v>39.9</v>
      </c>
    </row>
    <row r="366" spans="1:20" ht="15" customHeight="1" x14ac:dyDescent="0.25">
      <c r="A366" s="110">
        <f>'Orderformular Color Kids'!A372</f>
        <v>743174</v>
      </c>
      <c r="B366" s="111" t="str">
        <f>'Orderformular Color Kids'!B372</f>
        <v>Anonymized Item 372</v>
      </c>
      <c r="C366" s="111" t="str">
        <f>'Orderformular Color Kids'!C372</f>
        <v>Anonymized 6685 Violet Tulle</v>
      </c>
      <c r="D366" s="111" t="str">
        <f>'Orderformular Color Kids'!D372</f>
        <v>Kids</v>
      </c>
      <c r="E366" s="97">
        <f>'Orderformular Color Kids'!E372</f>
        <v>0</v>
      </c>
      <c r="F366" s="97">
        <f>'Orderformular Color Kids'!F372</f>
        <v>0</v>
      </c>
      <c r="G366" s="97">
        <f>'Orderformular Color Kids'!G372</f>
        <v>0</v>
      </c>
      <c r="H366" s="97">
        <f>'Orderformular Color Kids'!H372</f>
        <v>0</v>
      </c>
      <c r="I366" s="97">
        <f>'Orderformular Color Kids'!I372</f>
        <v>0</v>
      </c>
      <c r="J366" s="97">
        <f>'Orderformular Color Kids'!J372</f>
        <v>0</v>
      </c>
      <c r="K366" s="97">
        <f>'Orderformular Color Kids'!K372</f>
        <v>0</v>
      </c>
      <c r="L366" s="97">
        <f>'Orderformular Color Kids'!L372</f>
        <v>0</v>
      </c>
      <c r="M366" s="97">
        <f>'Orderformular Color Kids'!M372</f>
        <v>0</v>
      </c>
      <c r="N366" s="97">
        <f>'Orderformular Color Kids'!N372</f>
        <v>0</v>
      </c>
      <c r="O366" s="97">
        <f>'Orderformular Color Kids'!O372</f>
        <v>0</v>
      </c>
      <c r="P366" s="97">
        <f>'Orderformular Color Kids'!P372</f>
        <v>0</v>
      </c>
      <c r="Q366" s="97">
        <f>'Orderformular Color Kids'!Q372</f>
        <v>0</v>
      </c>
      <c r="R366" s="97">
        <f>'Orderformular Color Kids'!R372</f>
        <v>0</v>
      </c>
      <c r="S366" s="97">
        <f t="shared" si="5"/>
        <v>0</v>
      </c>
      <c r="T366" s="109">
        <f>'Orderformular Color Kids'!U372</f>
        <v>33.9</v>
      </c>
    </row>
    <row r="367" spans="1:20" ht="15" customHeight="1" x14ac:dyDescent="0.25">
      <c r="A367" s="110">
        <f>'Orderformular Color Kids'!A373</f>
        <v>743174</v>
      </c>
      <c r="B367" s="111" t="str">
        <f>'Orderformular Color Kids'!B373</f>
        <v>Anonymized Item 373</v>
      </c>
      <c r="C367" s="111" t="str">
        <f>'Orderformular Color Kids'!C373</f>
        <v>Anonymized 7334 Persian Jewel</v>
      </c>
      <c r="D367" s="111" t="str">
        <f>'Orderformular Color Kids'!D373</f>
        <v>Kids</v>
      </c>
      <c r="E367" s="97">
        <f>'Orderformular Color Kids'!E373</f>
        <v>0</v>
      </c>
      <c r="F367" s="97">
        <f>'Orderformular Color Kids'!F373</f>
        <v>0</v>
      </c>
      <c r="G367" s="97">
        <f>'Orderformular Color Kids'!G373</f>
        <v>0</v>
      </c>
      <c r="H367" s="97">
        <f>'Orderformular Color Kids'!H373</f>
        <v>0</v>
      </c>
      <c r="I367" s="97">
        <f>'Orderformular Color Kids'!I373</f>
        <v>0</v>
      </c>
      <c r="J367" s="97">
        <f>'Orderformular Color Kids'!J373</f>
        <v>0</v>
      </c>
      <c r="K367" s="97">
        <f>'Orderformular Color Kids'!K373</f>
        <v>0</v>
      </c>
      <c r="L367" s="97">
        <f>'Orderformular Color Kids'!L373</f>
        <v>0</v>
      </c>
      <c r="M367" s="97">
        <f>'Orderformular Color Kids'!M373</f>
        <v>0</v>
      </c>
      <c r="N367" s="97">
        <f>'Orderformular Color Kids'!N373</f>
        <v>0</v>
      </c>
      <c r="O367" s="97">
        <f>'Orderformular Color Kids'!O373</f>
        <v>0</v>
      </c>
      <c r="P367" s="97">
        <f>'Orderformular Color Kids'!P373</f>
        <v>0</v>
      </c>
      <c r="Q367" s="97">
        <f>'Orderformular Color Kids'!Q373</f>
        <v>0</v>
      </c>
      <c r="R367" s="97">
        <f>'Orderformular Color Kids'!R373</f>
        <v>0</v>
      </c>
      <c r="S367" s="97">
        <f t="shared" si="5"/>
        <v>0</v>
      </c>
      <c r="T367" s="109">
        <f>'Orderformular Color Kids'!U373</f>
        <v>33.9</v>
      </c>
    </row>
    <row r="368" spans="1:20" ht="15" customHeight="1" x14ac:dyDescent="0.25">
      <c r="A368" s="110">
        <f>'Orderformular Color Kids'!A374</f>
        <v>743176</v>
      </c>
      <c r="B368" s="111" t="str">
        <f>'Orderformular Color Kids'!B374</f>
        <v>Anonymized Item 374</v>
      </c>
      <c r="C368" s="111" t="str">
        <f>'Orderformular Color Kids'!C374</f>
        <v>Anonymized 3810 Tender Yellow</v>
      </c>
      <c r="D368" s="111" t="str">
        <f>'Orderformular Color Kids'!D374</f>
        <v>Kids</v>
      </c>
      <c r="E368" s="97">
        <f>'Orderformular Color Kids'!E374</f>
        <v>0</v>
      </c>
      <c r="F368" s="97">
        <f>'Orderformular Color Kids'!F374</f>
        <v>0</v>
      </c>
      <c r="G368" s="97">
        <f>'Orderformular Color Kids'!G374</f>
        <v>0</v>
      </c>
      <c r="H368" s="97">
        <f>'Orderformular Color Kids'!H374</f>
        <v>0</v>
      </c>
      <c r="I368" s="97">
        <f>'Orderformular Color Kids'!I374</f>
        <v>0</v>
      </c>
      <c r="J368" s="97">
        <f>'Orderformular Color Kids'!J374</f>
        <v>0</v>
      </c>
      <c r="K368" s="97">
        <f>'Orderformular Color Kids'!K374</f>
        <v>0</v>
      </c>
      <c r="L368" s="97">
        <f>'Orderformular Color Kids'!L374</f>
        <v>0</v>
      </c>
      <c r="M368" s="97">
        <f>'Orderformular Color Kids'!M374</f>
        <v>0</v>
      </c>
      <c r="N368" s="97">
        <f>'Orderformular Color Kids'!N374</f>
        <v>0</v>
      </c>
      <c r="O368" s="97">
        <f>'Orderformular Color Kids'!O374</f>
        <v>0</v>
      </c>
      <c r="P368" s="97">
        <f>'Orderformular Color Kids'!P374</f>
        <v>0</v>
      </c>
      <c r="Q368" s="97">
        <f>'Orderformular Color Kids'!Q374</f>
        <v>0</v>
      </c>
      <c r="R368" s="97">
        <f>'Orderformular Color Kids'!R374</f>
        <v>0</v>
      </c>
      <c r="S368" s="97">
        <f t="shared" si="5"/>
        <v>0</v>
      </c>
      <c r="T368" s="109">
        <f>'Orderformular Color Kids'!U374</f>
        <v>23.9</v>
      </c>
    </row>
    <row r="369" spans="1:20" ht="15" customHeight="1" x14ac:dyDescent="0.25">
      <c r="A369" s="110">
        <f>'Orderformular Color Kids'!A375</f>
        <v>743176</v>
      </c>
      <c r="B369" s="111" t="str">
        <f>'Orderformular Color Kids'!B375</f>
        <v>Anonymized Item 375</v>
      </c>
      <c r="C369" s="111" t="str">
        <f>'Orderformular Color Kids'!C375</f>
        <v>Anonymized 6685 Violet Tulle</v>
      </c>
      <c r="D369" s="111" t="str">
        <f>'Orderformular Color Kids'!D375</f>
        <v>Kids</v>
      </c>
      <c r="E369" s="97">
        <f>'Orderformular Color Kids'!E375</f>
        <v>0</v>
      </c>
      <c r="F369" s="97">
        <f>'Orderformular Color Kids'!F375</f>
        <v>0</v>
      </c>
      <c r="G369" s="97">
        <f>'Orderformular Color Kids'!G375</f>
        <v>0</v>
      </c>
      <c r="H369" s="97">
        <f>'Orderformular Color Kids'!H375</f>
        <v>0</v>
      </c>
      <c r="I369" s="97">
        <f>'Orderformular Color Kids'!I375</f>
        <v>0</v>
      </c>
      <c r="J369" s="97">
        <f>'Orderformular Color Kids'!J375</f>
        <v>0</v>
      </c>
      <c r="K369" s="97">
        <f>'Orderformular Color Kids'!K375</f>
        <v>0</v>
      </c>
      <c r="L369" s="97">
        <f>'Orderformular Color Kids'!L375</f>
        <v>0</v>
      </c>
      <c r="M369" s="97">
        <f>'Orderformular Color Kids'!M375</f>
        <v>0</v>
      </c>
      <c r="N369" s="97">
        <f>'Orderformular Color Kids'!N375</f>
        <v>0</v>
      </c>
      <c r="O369" s="97">
        <f>'Orderformular Color Kids'!O375</f>
        <v>0</v>
      </c>
      <c r="P369" s="97">
        <f>'Orderformular Color Kids'!P375</f>
        <v>0</v>
      </c>
      <c r="Q369" s="97">
        <f>'Orderformular Color Kids'!Q375</f>
        <v>0</v>
      </c>
      <c r="R369" s="97">
        <f>'Orderformular Color Kids'!R375</f>
        <v>0</v>
      </c>
      <c r="S369" s="97">
        <f t="shared" si="5"/>
        <v>0</v>
      </c>
      <c r="T369" s="109">
        <f>'Orderformular Color Kids'!U375</f>
        <v>23.9</v>
      </c>
    </row>
    <row r="370" spans="1:20" ht="15" customHeight="1" x14ac:dyDescent="0.25">
      <c r="A370" s="110">
        <f>'Orderformular Color Kids'!A376</f>
        <v>743176</v>
      </c>
      <c r="B370" s="111" t="str">
        <f>'Orderformular Color Kids'!B376</f>
        <v>Anonymized Item 376</v>
      </c>
      <c r="C370" s="111" t="str">
        <f>'Orderformular Color Kids'!C376</f>
        <v>Anonymized 7334 Persian Jewel</v>
      </c>
      <c r="D370" s="111" t="str">
        <f>'Orderformular Color Kids'!D376</f>
        <v>Kids</v>
      </c>
      <c r="E370" s="97">
        <f>'Orderformular Color Kids'!E376</f>
        <v>0</v>
      </c>
      <c r="F370" s="97">
        <f>'Orderformular Color Kids'!F376</f>
        <v>0</v>
      </c>
      <c r="G370" s="97">
        <f>'Orderformular Color Kids'!G376</f>
        <v>0</v>
      </c>
      <c r="H370" s="97">
        <f>'Orderformular Color Kids'!H376</f>
        <v>0</v>
      </c>
      <c r="I370" s="97">
        <f>'Orderformular Color Kids'!I376</f>
        <v>0</v>
      </c>
      <c r="J370" s="97">
        <f>'Orderformular Color Kids'!J376</f>
        <v>0</v>
      </c>
      <c r="K370" s="97">
        <f>'Orderformular Color Kids'!K376</f>
        <v>0</v>
      </c>
      <c r="L370" s="97">
        <f>'Orderformular Color Kids'!L376</f>
        <v>0</v>
      </c>
      <c r="M370" s="97">
        <f>'Orderformular Color Kids'!M376</f>
        <v>0</v>
      </c>
      <c r="N370" s="97">
        <f>'Orderformular Color Kids'!N376</f>
        <v>0</v>
      </c>
      <c r="O370" s="97">
        <f>'Orderformular Color Kids'!O376</f>
        <v>0</v>
      </c>
      <c r="P370" s="97">
        <f>'Orderformular Color Kids'!P376</f>
        <v>0</v>
      </c>
      <c r="Q370" s="97">
        <f>'Orderformular Color Kids'!Q376</f>
        <v>0</v>
      </c>
      <c r="R370" s="97">
        <f>'Orderformular Color Kids'!R376</f>
        <v>0</v>
      </c>
      <c r="S370" s="97">
        <f t="shared" si="5"/>
        <v>0</v>
      </c>
      <c r="T370" s="109">
        <f>'Orderformular Color Kids'!U376</f>
        <v>23.9</v>
      </c>
    </row>
    <row r="371" spans="1:20" ht="15" customHeight="1" x14ac:dyDescent="0.25">
      <c r="A371" s="110">
        <f>'Orderformular Color Kids'!A377</f>
        <v>743177</v>
      </c>
      <c r="B371" s="111" t="str">
        <f>'Orderformular Color Kids'!B377</f>
        <v>Anonymized Item 377</v>
      </c>
      <c r="C371" s="111" t="str">
        <f>'Orderformular Color Kids'!C377</f>
        <v>Anonymized 1919 Phantom</v>
      </c>
      <c r="D371" s="111" t="str">
        <f>'Orderformular Color Kids'!D377</f>
        <v>Kids</v>
      </c>
      <c r="E371" s="97">
        <f>'Orderformular Color Kids'!E377</f>
        <v>0</v>
      </c>
      <c r="F371" s="97">
        <f>'Orderformular Color Kids'!F377</f>
        <v>0</v>
      </c>
      <c r="G371" s="97">
        <f>'Orderformular Color Kids'!G377</f>
        <v>0</v>
      </c>
      <c r="H371" s="97">
        <f>'Orderformular Color Kids'!H377</f>
        <v>0</v>
      </c>
      <c r="I371" s="97">
        <f>'Orderformular Color Kids'!I377</f>
        <v>0</v>
      </c>
      <c r="J371" s="97">
        <f>'Orderformular Color Kids'!J377</f>
        <v>0</v>
      </c>
      <c r="K371" s="97">
        <f>'Orderformular Color Kids'!K377</f>
        <v>0</v>
      </c>
      <c r="L371" s="97">
        <f>'Orderformular Color Kids'!L377</f>
        <v>0</v>
      </c>
      <c r="M371" s="97">
        <f>'Orderformular Color Kids'!M377</f>
        <v>0</v>
      </c>
      <c r="N371" s="97">
        <f>'Orderformular Color Kids'!N377</f>
        <v>0</v>
      </c>
      <c r="O371" s="97">
        <f>'Orderformular Color Kids'!O377</f>
        <v>0</v>
      </c>
      <c r="P371" s="97">
        <f>'Orderformular Color Kids'!P377</f>
        <v>0</v>
      </c>
      <c r="Q371" s="97">
        <f>'Orderformular Color Kids'!Q377</f>
        <v>0</v>
      </c>
      <c r="R371" s="97">
        <f>'Orderformular Color Kids'!R377</f>
        <v>0</v>
      </c>
      <c r="S371" s="97">
        <f t="shared" si="5"/>
        <v>0</v>
      </c>
      <c r="T371" s="109">
        <f>'Orderformular Color Kids'!U377</f>
        <v>25.9</v>
      </c>
    </row>
    <row r="372" spans="1:20" ht="15" customHeight="1" x14ac:dyDescent="0.25">
      <c r="A372" s="110">
        <f>'Orderformular Color Kids'!A378</f>
        <v>743177</v>
      </c>
      <c r="B372" s="111" t="str">
        <f>'Orderformular Color Kids'!B378</f>
        <v>Anonymized Item 378</v>
      </c>
      <c r="C372" s="111" t="str">
        <f>'Orderformular Color Kids'!C378</f>
        <v>Anonymized 3257 Sun Orange</v>
      </c>
      <c r="D372" s="111" t="str">
        <f>'Orderformular Color Kids'!D378</f>
        <v>Kids</v>
      </c>
      <c r="E372" s="97">
        <f>'Orderformular Color Kids'!E378</f>
        <v>0</v>
      </c>
      <c r="F372" s="97">
        <f>'Orderformular Color Kids'!F378</f>
        <v>0</v>
      </c>
      <c r="G372" s="97">
        <f>'Orderformular Color Kids'!G378</f>
        <v>0</v>
      </c>
      <c r="H372" s="97">
        <f>'Orderformular Color Kids'!H378</f>
        <v>0</v>
      </c>
      <c r="I372" s="97">
        <f>'Orderformular Color Kids'!I378</f>
        <v>0</v>
      </c>
      <c r="J372" s="97">
        <f>'Orderformular Color Kids'!J378</f>
        <v>0</v>
      </c>
      <c r="K372" s="97">
        <f>'Orderformular Color Kids'!K378</f>
        <v>0</v>
      </c>
      <c r="L372" s="97">
        <f>'Orderformular Color Kids'!L378</f>
        <v>0</v>
      </c>
      <c r="M372" s="97">
        <f>'Orderformular Color Kids'!M378</f>
        <v>0</v>
      </c>
      <c r="N372" s="97">
        <f>'Orderformular Color Kids'!N378</f>
        <v>0</v>
      </c>
      <c r="O372" s="97">
        <f>'Orderformular Color Kids'!O378</f>
        <v>0</v>
      </c>
      <c r="P372" s="97">
        <f>'Orderformular Color Kids'!P378</f>
        <v>0</v>
      </c>
      <c r="Q372" s="97">
        <f>'Orderformular Color Kids'!Q378</f>
        <v>0</v>
      </c>
      <c r="R372" s="97">
        <f>'Orderformular Color Kids'!R378</f>
        <v>0</v>
      </c>
      <c r="S372" s="97">
        <f t="shared" si="5"/>
        <v>0</v>
      </c>
      <c r="T372" s="109">
        <f>'Orderformular Color Kids'!U378</f>
        <v>25.9</v>
      </c>
    </row>
    <row r="373" spans="1:20" ht="15" customHeight="1" x14ac:dyDescent="0.25">
      <c r="A373" s="110">
        <f>'Orderformular Color Kids'!A379</f>
        <v>743177</v>
      </c>
      <c r="B373" s="111" t="str">
        <f>'Orderformular Color Kids'!B379</f>
        <v>Anonymized Item 379</v>
      </c>
      <c r="C373" s="111" t="str">
        <f>'Orderformular Color Kids'!C379</f>
        <v>Anonymized 3741 Sunny Lime</v>
      </c>
      <c r="D373" s="111" t="str">
        <f>'Orderformular Color Kids'!D379</f>
        <v>Kids</v>
      </c>
      <c r="E373" s="97">
        <f>'Orderformular Color Kids'!E379</f>
        <v>0</v>
      </c>
      <c r="F373" s="97">
        <f>'Orderformular Color Kids'!F379</f>
        <v>0</v>
      </c>
      <c r="G373" s="97">
        <f>'Orderformular Color Kids'!G379</f>
        <v>0</v>
      </c>
      <c r="H373" s="97">
        <f>'Orderformular Color Kids'!H379</f>
        <v>0</v>
      </c>
      <c r="I373" s="97">
        <f>'Orderformular Color Kids'!I379</f>
        <v>0</v>
      </c>
      <c r="J373" s="97">
        <f>'Orderformular Color Kids'!J379</f>
        <v>0</v>
      </c>
      <c r="K373" s="97">
        <f>'Orderformular Color Kids'!K379</f>
        <v>0</v>
      </c>
      <c r="L373" s="97">
        <f>'Orderformular Color Kids'!L379</f>
        <v>0</v>
      </c>
      <c r="M373" s="97">
        <f>'Orderformular Color Kids'!M379</f>
        <v>0</v>
      </c>
      <c r="N373" s="97">
        <f>'Orderformular Color Kids'!N379</f>
        <v>0</v>
      </c>
      <c r="O373" s="97">
        <f>'Orderformular Color Kids'!O379</f>
        <v>0</v>
      </c>
      <c r="P373" s="97">
        <f>'Orderformular Color Kids'!P379</f>
        <v>0</v>
      </c>
      <c r="Q373" s="97">
        <f>'Orderformular Color Kids'!Q379</f>
        <v>0</v>
      </c>
      <c r="R373" s="97">
        <f>'Orderformular Color Kids'!R379</f>
        <v>0</v>
      </c>
      <c r="S373" s="97">
        <f t="shared" si="5"/>
        <v>0</v>
      </c>
      <c r="T373" s="109">
        <f>'Orderformular Color Kids'!U379</f>
        <v>25.9</v>
      </c>
    </row>
    <row r="374" spans="1:20" ht="15" customHeight="1" x14ac:dyDescent="0.25">
      <c r="A374" s="110">
        <f>'Orderformular Color Kids'!A380</f>
        <v>743177</v>
      </c>
      <c r="B374" s="111" t="str">
        <f>'Orderformular Color Kids'!B380</f>
        <v>Anonymized Item 380</v>
      </c>
      <c r="C374" s="111" t="str">
        <f>'Orderformular Color Kids'!C380</f>
        <v>Anonymized 7850 Total Eclipse</v>
      </c>
      <c r="D374" s="111" t="str">
        <f>'Orderformular Color Kids'!D380</f>
        <v>Kids</v>
      </c>
      <c r="E374" s="97">
        <f>'Orderformular Color Kids'!E380</f>
        <v>0</v>
      </c>
      <c r="F374" s="97">
        <f>'Orderformular Color Kids'!F380</f>
        <v>0</v>
      </c>
      <c r="G374" s="97">
        <f>'Orderformular Color Kids'!G380</f>
        <v>0</v>
      </c>
      <c r="H374" s="97">
        <f>'Orderformular Color Kids'!H380</f>
        <v>0</v>
      </c>
      <c r="I374" s="97">
        <f>'Orderformular Color Kids'!I380</f>
        <v>0</v>
      </c>
      <c r="J374" s="97">
        <f>'Orderformular Color Kids'!J380</f>
        <v>0</v>
      </c>
      <c r="K374" s="97">
        <f>'Orderformular Color Kids'!K380</f>
        <v>0</v>
      </c>
      <c r="L374" s="97">
        <f>'Orderformular Color Kids'!L380</f>
        <v>0</v>
      </c>
      <c r="M374" s="97">
        <f>'Orderformular Color Kids'!M380</f>
        <v>0</v>
      </c>
      <c r="N374" s="97">
        <f>'Orderformular Color Kids'!N380</f>
        <v>0</v>
      </c>
      <c r="O374" s="97">
        <f>'Orderformular Color Kids'!O380</f>
        <v>0</v>
      </c>
      <c r="P374" s="97">
        <f>'Orderformular Color Kids'!P380</f>
        <v>0</v>
      </c>
      <c r="Q374" s="97">
        <f>'Orderformular Color Kids'!Q380</f>
        <v>0</v>
      </c>
      <c r="R374" s="97">
        <f>'Orderformular Color Kids'!R380</f>
        <v>0</v>
      </c>
      <c r="S374" s="97">
        <f t="shared" si="5"/>
        <v>0</v>
      </c>
      <c r="T374" s="109">
        <f>'Orderformular Color Kids'!U380</f>
        <v>25.9</v>
      </c>
    </row>
    <row r="375" spans="1:20" ht="15" customHeight="1" x14ac:dyDescent="0.25">
      <c r="A375" s="110">
        <f>'Orderformular Color Kids'!A381</f>
        <v>743177</v>
      </c>
      <c r="B375" s="111" t="str">
        <f>'Orderformular Color Kids'!B381</f>
        <v>Anonymized Item 381</v>
      </c>
      <c r="C375" s="111" t="str">
        <f>'Orderformular Color Kids'!C381</f>
        <v xml:space="preserve">Anonymized 9153 Kalamata </v>
      </c>
      <c r="D375" s="111" t="str">
        <f>'Orderformular Color Kids'!D381</f>
        <v>Kids</v>
      </c>
      <c r="E375" s="97">
        <f>'Orderformular Color Kids'!E381</f>
        <v>0</v>
      </c>
      <c r="F375" s="97">
        <f>'Orderformular Color Kids'!F381</f>
        <v>0</v>
      </c>
      <c r="G375" s="97">
        <f>'Orderformular Color Kids'!G381</f>
        <v>0</v>
      </c>
      <c r="H375" s="97">
        <f>'Orderformular Color Kids'!H381</f>
        <v>0</v>
      </c>
      <c r="I375" s="97">
        <f>'Orderformular Color Kids'!I381</f>
        <v>0</v>
      </c>
      <c r="J375" s="97">
        <f>'Orderformular Color Kids'!J381</f>
        <v>0</v>
      </c>
      <c r="K375" s="97">
        <f>'Orderformular Color Kids'!K381</f>
        <v>0</v>
      </c>
      <c r="L375" s="97">
        <f>'Orderformular Color Kids'!L381</f>
        <v>0</v>
      </c>
      <c r="M375" s="97">
        <f>'Orderformular Color Kids'!M381</f>
        <v>0</v>
      </c>
      <c r="N375" s="97">
        <f>'Orderformular Color Kids'!N381</f>
        <v>0</v>
      </c>
      <c r="O375" s="97">
        <f>'Orderformular Color Kids'!O381</f>
        <v>0</v>
      </c>
      <c r="P375" s="97">
        <f>'Orderformular Color Kids'!P381</f>
        <v>0</v>
      </c>
      <c r="Q375" s="97">
        <f>'Orderformular Color Kids'!Q381</f>
        <v>0</v>
      </c>
      <c r="R375" s="97">
        <f>'Orderformular Color Kids'!R381</f>
        <v>0</v>
      </c>
      <c r="S375" s="97">
        <f t="shared" si="5"/>
        <v>0</v>
      </c>
      <c r="T375" s="109">
        <f>'Orderformular Color Kids'!U381</f>
        <v>25.9</v>
      </c>
    </row>
    <row r="376" spans="1:20" ht="15" customHeight="1" x14ac:dyDescent="0.25">
      <c r="A376" s="110">
        <f>'Orderformular Color Kids'!A382</f>
        <v>743179</v>
      </c>
      <c r="B376" s="111" t="str">
        <f>'Orderformular Color Kids'!B382</f>
        <v>Anonymized Item 382</v>
      </c>
      <c r="C376" s="111" t="str">
        <f>'Orderformular Color Kids'!C382</f>
        <v>Anonymized 2159 Seagrass</v>
      </c>
      <c r="D376" s="111" t="str">
        <f>'Orderformular Color Kids'!D382</f>
        <v>Kids</v>
      </c>
      <c r="E376" s="97">
        <f>'Orderformular Color Kids'!E382</f>
        <v>0</v>
      </c>
      <c r="F376" s="97">
        <f>'Orderformular Color Kids'!F382</f>
        <v>0</v>
      </c>
      <c r="G376" s="97">
        <f>'Orderformular Color Kids'!G382</f>
        <v>0</v>
      </c>
      <c r="H376" s="97">
        <f>'Orderformular Color Kids'!H382</f>
        <v>0</v>
      </c>
      <c r="I376" s="97">
        <f>'Orderformular Color Kids'!I382</f>
        <v>0</v>
      </c>
      <c r="J376" s="97">
        <f>'Orderformular Color Kids'!J382</f>
        <v>0</v>
      </c>
      <c r="K376" s="97">
        <f>'Orderformular Color Kids'!K382</f>
        <v>0</v>
      </c>
      <c r="L376" s="97">
        <f>'Orderformular Color Kids'!L382</f>
        <v>0</v>
      </c>
      <c r="M376" s="97">
        <f>'Orderformular Color Kids'!M382</f>
        <v>0</v>
      </c>
      <c r="N376" s="97">
        <f>'Orderformular Color Kids'!N382</f>
        <v>0</v>
      </c>
      <c r="O376" s="97">
        <f>'Orderformular Color Kids'!O382</f>
        <v>0</v>
      </c>
      <c r="P376" s="97">
        <f>'Orderformular Color Kids'!P382</f>
        <v>0</v>
      </c>
      <c r="Q376" s="97">
        <f>'Orderformular Color Kids'!Q382</f>
        <v>0</v>
      </c>
      <c r="R376" s="97">
        <f>'Orderformular Color Kids'!R382</f>
        <v>0</v>
      </c>
      <c r="S376" s="97">
        <f t="shared" si="5"/>
        <v>0</v>
      </c>
      <c r="T376" s="109">
        <f>'Orderformular Color Kids'!U382</f>
        <v>33.9</v>
      </c>
    </row>
    <row r="377" spans="1:20" ht="15" customHeight="1" x14ac:dyDescent="0.25">
      <c r="A377" s="110">
        <f>'Orderformular Color Kids'!A383</f>
        <v>743179</v>
      </c>
      <c r="B377" s="111" t="str">
        <f>'Orderformular Color Kids'!B383</f>
        <v>Anonymized Item 383</v>
      </c>
      <c r="C377" s="111" t="str">
        <f>'Orderformular Color Kids'!C383</f>
        <v>Anonymized 7880 Surf The Web</v>
      </c>
      <c r="D377" s="111" t="str">
        <f>'Orderformular Color Kids'!D383</f>
        <v>Kids</v>
      </c>
      <c r="E377" s="97">
        <f>'Orderformular Color Kids'!E383</f>
        <v>0</v>
      </c>
      <c r="F377" s="97">
        <f>'Orderformular Color Kids'!F383</f>
        <v>0</v>
      </c>
      <c r="G377" s="97">
        <f>'Orderformular Color Kids'!G383</f>
        <v>0</v>
      </c>
      <c r="H377" s="97">
        <f>'Orderformular Color Kids'!H383</f>
        <v>0</v>
      </c>
      <c r="I377" s="97">
        <f>'Orderformular Color Kids'!I383</f>
        <v>0</v>
      </c>
      <c r="J377" s="97">
        <f>'Orderformular Color Kids'!J383</f>
        <v>0</v>
      </c>
      <c r="K377" s="97">
        <f>'Orderformular Color Kids'!K383</f>
        <v>0</v>
      </c>
      <c r="L377" s="97">
        <f>'Orderformular Color Kids'!L383</f>
        <v>0</v>
      </c>
      <c r="M377" s="97">
        <f>'Orderformular Color Kids'!M383</f>
        <v>0</v>
      </c>
      <c r="N377" s="97">
        <f>'Orderformular Color Kids'!N383</f>
        <v>0</v>
      </c>
      <c r="O377" s="97">
        <f>'Orderformular Color Kids'!O383</f>
        <v>0</v>
      </c>
      <c r="P377" s="97">
        <f>'Orderformular Color Kids'!P383</f>
        <v>0</v>
      </c>
      <c r="Q377" s="97">
        <f>'Orderformular Color Kids'!Q383</f>
        <v>0</v>
      </c>
      <c r="R377" s="97">
        <f>'Orderformular Color Kids'!R383</f>
        <v>0</v>
      </c>
      <c r="S377" s="97">
        <f t="shared" si="5"/>
        <v>0</v>
      </c>
      <c r="T377" s="109">
        <f>'Orderformular Color Kids'!U383</f>
        <v>33.9</v>
      </c>
    </row>
    <row r="378" spans="1:20" ht="15" customHeight="1" x14ac:dyDescent="0.25">
      <c r="A378" s="110">
        <f>'Orderformular Color Kids'!A384</f>
        <v>743183</v>
      </c>
      <c r="B378" s="111" t="str">
        <f>'Orderformular Color Kids'!B384</f>
        <v>Anonymized Item 384</v>
      </c>
      <c r="C378" s="111" t="str">
        <f>'Orderformular Color Kids'!C384</f>
        <v>Anonymized 1108 Castle Wall</v>
      </c>
      <c r="D378" s="111" t="str">
        <f>'Orderformular Color Kids'!D384</f>
        <v>Kids</v>
      </c>
      <c r="E378" s="97">
        <f>'Orderformular Color Kids'!E384</f>
        <v>0</v>
      </c>
      <c r="F378" s="97">
        <f>'Orderformular Color Kids'!F384</f>
        <v>0</v>
      </c>
      <c r="G378" s="97">
        <f>'Orderformular Color Kids'!G384</f>
        <v>0</v>
      </c>
      <c r="H378" s="97">
        <f>'Orderformular Color Kids'!H384</f>
        <v>0</v>
      </c>
      <c r="I378" s="97">
        <f>'Orderformular Color Kids'!I384</f>
        <v>0</v>
      </c>
      <c r="J378" s="97">
        <f>'Orderformular Color Kids'!J384</f>
        <v>0</v>
      </c>
      <c r="K378" s="97">
        <f>'Orderformular Color Kids'!K384</f>
        <v>0</v>
      </c>
      <c r="L378" s="97">
        <f>'Orderformular Color Kids'!L384</f>
        <v>0</v>
      </c>
      <c r="M378" s="97">
        <f>'Orderformular Color Kids'!M384</f>
        <v>0</v>
      </c>
      <c r="N378" s="97">
        <f>'Orderformular Color Kids'!N384</f>
        <v>0</v>
      </c>
      <c r="O378" s="97">
        <f>'Orderformular Color Kids'!O384</f>
        <v>0</v>
      </c>
      <c r="P378" s="97">
        <f>'Orderformular Color Kids'!P384</f>
        <v>0</v>
      </c>
      <c r="Q378" s="97">
        <f>'Orderformular Color Kids'!Q384</f>
        <v>0</v>
      </c>
      <c r="R378" s="97">
        <f>'Orderformular Color Kids'!R384</f>
        <v>0</v>
      </c>
      <c r="S378" s="97">
        <f t="shared" si="5"/>
        <v>0</v>
      </c>
      <c r="T378" s="109">
        <f>'Orderformular Color Kids'!U384</f>
        <v>26.9</v>
      </c>
    </row>
    <row r="379" spans="1:20" ht="15" customHeight="1" x14ac:dyDescent="0.25">
      <c r="A379" s="110">
        <f>'Orderformular Color Kids'!A385</f>
        <v>743183</v>
      </c>
      <c r="B379" s="111" t="str">
        <f>'Orderformular Color Kids'!B385</f>
        <v>Anonymized Item 385</v>
      </c>
      <c r="C379" s="111" t="str">
        <f>'Orderformular Color Kids'!C385</f>
        <v>Anonymized 2159 Seagrass</v>
      </c>
      <c r="D379" s="111" t="str">
        <f>'Orderformular Color Kids'!D385</f>
        <v>Kids</v>
      </c>
      <c r="E379" s="97">
        <f>'Orderformular Color Kids'!E385</f>
        <v>0</v>
      </c>
      <c r="F379" s="97">
        <f>'Orderformular Color Kids'!F385</f>
        <v>0</v>
      </c>
      <c r="G379" s="97">
        <f>'Orderformular Color Kids'!G385</f>
        <v>0</v>
      </c>
      <c r="H379" s="97">
        <f>'Orderformular Color Kids'!H385</f>
        <v>0</v>
      </c>
      <c r="I379" s="97">
        <f>'Orderformular Color Kids'!I385</f>
        <v>0</v>
      </c>
      <c r="J379" s="97">
        <f>'Orderformular Color Kids'!J385</f>
        <v>0</v>
      </c>
      <c r="K379" s="97">
        <f>'Orderformular Color Kids'!K385</f>
        <v>0</v>
      </c>
      <c r="L379" s="97">
        <f>'Orderformular Color Kids'!L385</f>
        <v>0</v>
      </c>
      <c r="M379" s="97">
        <f>'Orderformular Color Kids'!M385</f>
        <v>0</v>
      </c>
      <c r="N379" s="97">
        <f>'Orderformular Color Kids'!N385</f>
        <v>0</v>
      </c>
      <c r="O379" s="97">
        <f>'Orderformular Color Kids'!O385</f>
        <v>0</v>
      </c>
      <c r="P379" s="97">
        <f>'Orderformular Color Kids'!P385</f>
        <v>0</v>
      </c>
      <c r="Q379" s="97">
        <f>'Orderformular Color Kids'!Q385</f>
        <v>0</v>
      </c>
      <c r="R379" s="97">
        <f>'Orderformular Color Kids'!R385</f>
        <v>0</v>
      </c>
      <c r="S379" s="97">
        <f t="shared" si="5"/>
        <v>0</v>
      </c>
      <c r="T379" s="109">
        <f>'Orderformular Color Kids'!U385</f>
        <v>26.9</v>
      </c>
    </row>
    <row r="380" spans="1:20" ht="15" customHeight="1" x14ac:dyDescent="0.25">
      <c r="A380" s="110">
        <f>'Orderformular Color Kids'!A386</f>
        <v>743183</v>
      </c>
      <c r="B380" s="111" t="str">
        <f>'Orderformular Color Kids'!B386</f>
        <v>Anonymized Item 386</v>
      </c>
      <c r="C380" s="111" t="str">
        <f>'Orderformular Color Kids'!C386</f>
        <v>Anonymized 7850 Total Eclipse</v>
      </c>
      <c r="D380" s="111" t="str">
        <f>'Orderformular Color Kids'!D386</f>
        <v>Kids</v>
      </c>
      <c r="E380" s="97">
        <f>'Orderformular Color Kids'!E386</f>
        <v>0</v>
      </c>
      <c r="F380" s="97">
        <f>'Orderformular Color Kids'!F386</f>
        <v>0</v>
      </c>
      <c r="G380" s="97">
        <f>'Orderformular Color Kids'!G386</f>
        <v>0</v>
      </c>
      <c r="H380" s="97">
        <f>'Orderformular Color Kids'!H386</f>
        <v>0</v>
      </c>
      <c r="I380" s="97">
        <f>'Orderformular Color Kids'!I386</f>
        <v>0</v>
      </c>
      <c r="J380" s="97">
        <f>'Orderformular Color Kids'!J386</f>
        <v>0</v>
      </c>
      <c r="K380" s="97">
        <f>'Orderformular Color Kids'!K386</f>
        <v>0</v>
      </c>
      <c r="L380" s="97">
        <f>'Orderformular Color Kids'!L386</f>
        <v>0</v>
      </c>
      <c r="M380" s="97">
        <f>'Orderformular Color Kids'!M386</f>
        <v>0</v>
      </c>
      <c r="N380" s="97">
        <f>'Orderformular Color Kids'!N386</f>
        <v>0</v>
      </c>
      <c r="O380" s="97">
        <f>'Orderformular Color Kids'!O386</f>
        <v>0</v>
      </c>
      <c r="P380" s="97">
        <f>'Orderformular Color Kids'!P386</f>
        <v>0</v>
      </c>
      <c r="Q380" s="97">
        <f>'Orderformular Color Kids'!Q386</f>
        <v>0</v>
      </c>
      <c r="R380" s="97">
        <f>'Orderformular Color Kids'!R386</f>
        <v>0</v>
      </c>
      <c r="S380" s="97">
        <f t="shared" si="5"/>
        <v>0</v>
      </c>
      <c r="T380" s="109">
        <f>'Orderformular Color Kids'!U386</f>
        <v>26.9</v>
      </c>
    </row>
    <row r="381" spans="1:20" ht="15" customHeight="1" x14ac:dyDescent="0.25">
      <c r="A381" s="110">
        <f>'Orderformular Color Kids'!A387</f>
        <v>743185</v>
      </c>
      <c r="B381" s="111" t="str">
        <f>'Orderformular Color Kids'!B387</f>
        <v>Anonymized Item 387</v>
      </c>
      <c r="C381" s="111" t="str">
        <f>'Orderformular Color Kids'!C387</f>
        <v>Anonymized 1161 Snow White</v>
      </c>
      <c r="D381" s="111" t="str">
        <f>'Orderformular Color Kids'!D387</f>
        <v>Kids</v>
      </c>
      <c r="E381" s="97">
        <f>'Orderformular Color Kids'!E387</f>
        <v>0</v>
      </c>
      <c r="F381" s="97">
        <f>'Orderformular Color Kids'!F387</f>
        <v>0</v>
      </c>
      <c r="G381" s="97">
        <f>'Orderformular Color Kids'!G387</f>
        <v>0</v>
      </c>
      <c r="H381" s="97">
        <f>'Orderformular Color Kids'!H387</f>
        <v>0</v>
      </c>
      <c r="I381" s="97">
        <f>'Orderformular Color Kids'!I387</f>
        <v>0</v>
      </c>
      <c r="J381" s="97">
        <f>'Orderformular Color Kids'!J387</f>
        <v>0</v>
      </c>
      <c r="K381" s="97">
        <f>'Orderformular Color Kids'!K387</f>
        <v>0</v>
      </c>
      <c r="L381" s="97">
        <f>'Orderformular Color Kids'!L387</f>
        <v>0</v>
      </c>
      <c r="M381" s="97">
        <f>'Orderformular Color Kids'!M387</f>
        <v>0</v>
      </c>
      <c r="N381" s="97">
        <f>'Orderformular Color Kids'!N387</f>
        <v>0</v>
      </c>
      <c r="O381" s="97">
        <f>'Orderformular Color Kids'!O387</f>
        <v>0</v>
      </c>
      <c r="P381" s="97">
        <f>'Orderformular Color Kids'!P387</f>
        <v>0</v>
      </c>
      <c r="Q381" s="97">
        <f>'Orderformular Color Kids'!Q387</f>
        <v>0</v>
      </c>
      <c r="R381" s="97">
        <f>'Orderformular Color Kids'!R387</f>
        <v>0</v>
      </c>
      <c r="S381" s="97">
        <f t="shared" si="5"/>
        <v>0</v>
      </c>
      <c r="T381" s="109">
        <f>'Orderformular Color Kids'!U387</f>
        <v>23.9</v>
      </c>
    </row>
    <row r="382" spans="1:20" ht="15" customHeight="1" x14ac:dyDescent="0.25">
      <c r="A382" s="110">
        <f>'Orderformular Color Kids'!A388</f>
        <v>743185</v>
      </c>
      <c r="B382" s="111" t="str">
        <f>'Orderformular Color Kids'!B388</f>
        <v>Anonymized Item 388</v>
      </c>
      <c r="C382" s="111" t="str">
        <f>'Orderformular Color Kids'!C388</f>
        <v>Anonymized 7850 Total Eclipse</v>
      </c>
      <c r="D382" s="111" t="str">
        <f>'Orderformular Color Kids'!D388</f>
        <v>Kids</v>
      </c>
      <c r="E382" s="97">
        <f>'Orderformular Color Kids'!E388</f>
        <v>0</v>
      </c>
      <c r="F382" s="97">
        <f>'Orderformular Color Kids'!F388</f>
        <v>0</v>
      </c>
      <c r="G382" s="97">
        <f>'Orderformular Color Kids'!G388</f>
        <v>0</v>
      </c>
      <c r="H382" s="97">
        <f>'Orderformular Color Kids'!H388</f>
        <v>0</v>
      </c>
      <c r="I382" s="97">
        <f>'Orderformular Color Kids'!I388</f>
        <v>0</v>
      </c>
      <c r="J382" s="97">
        <f>'Orderformular Color Kids'!J388</f>
        <v>0</v>
      </c>
      <c r="K382" s="97">
        <f>'Orderformular Color Kids'!K388</f>
        <v>0</v>
      </c>
      <c r="L382" s="97">
        <f>'Orderformular Color Kids'!L388</f>
        <v>0</v>
      </c>
      <c r="M382" s="97">
        <f>'Orderformular Color Kids'!M388</f>
        <v>0</v>
      </c>
      <c r="N382" s="97">
        <f>'Orderformular Color Kids'!N388</f>
        <v>0</v>
      </c>
      <c r="O382" s="97">
        <f>'Orderformular Color Kids'!O388</f>
        <v>0</v>
      </c>
      <c r="P382" s="97">
        <f>'Orderformular Color Kids'!P388</f>
        <v>0</v>
      </c>
      <c r="Q382" s="97">
        <f>'Orderformular Color Kids'!Q388</f>
        <v>0</v>
      </c>
      <c r="R382" s="97">
        <f>'Orderformular Color Kids'!R388</f>
        <v>0</v>
      </c>
      <c r="S382" s="97">
        <f t="shared" si="5"/>
        <v>0</v>
      </c>
      <c r="T382" s="109">
        <f>'Orderformular Color Kids'!U388</f>
        <v>23.9</v>
      </c>
    </row>
    <row r="383" spans="1:20" ht="15" customHeight="1" x14ac:dyDescent="0.25">
      <c r="A383" s="110">
        <f>'Orderformular Color Kids'!A389</f>
        <v>743185</v>
      </c>
      <c r="B383" s="111" t="str">
        <f>'Orderformular Color Kids'!B389</f>
        <v>Anonymized Item 389</v>
      </c>
      <c r="C383" s="111" t="str">
        <f>'Orderformular Color Kids'!C389</f>
        <v>Anonymized 7880 Surf The Web</v>
      </c>
      <c r="D383" s="111" t="str">
        <f>'Orderformular Color Kids'!D389</f>
        <v>Kids</v>
      </c>
      <c r="E383" s="97">
        <f>'Orderformular Color Kids'!E389</f>
        <v>0</v>
      </c>
      <c r="F383" s="97">
        <f>'Orderformular Color Kids'!F389</f>
        <v>0</v>
      </c>
      <c r="G383" s="97">
        <f>'Orderformular Color Kids'!G389</f>
        <v>0</v>
      </c>
      <c r="H383" s="97">
        <f>'Orderformular Color Kids'!H389</f>
        <v>0</v>
      </c>
      <c r="I383" s="97">
        <f>'Orderformular Color Kids'!I389</f>
        <v>0</v>
      </c>
      <c r="J383" s="97">
        <f>'Orderformular Color Kids'!J389</f>
        <v>0</v>
      </c>
      <c r="K383" s="97">
        <f>'Orderformular Color Kids'!K389</f>
        <v>0</v>
      </c>
      <c r="L383" s="97">
        <f>'Orderformular Color Kids'!L389</f>
        <v>0</v>
      </c>
      <c r="M383" s="97">
        <f>'Orderformular Color Kids'!M389</f>
        <v>0</v>
      </c>
      <c r="N383" s="97">
        <f>'Orderformular Color Kids'!N389</f>
        <v>0</v>
      </c>
      <c r="O383" s="97">
        <f>'Orderformular Color Kids'!O389</f>
        <v>0</v>
      </c>
      <c r="P383" s="97">
        <f>'Orderformular Color Kids'!P389</f>
        <v>0</v>
      </c>
      <c r="Q383" s="97">
        <f>'Orderformular Color Kids'!Q389</f>
        <v>0</v>
      </c>
      <c r="R383" s="97">
        <f>'Orderformular Color Kids'!R389</f>
        <v>0</v>
      </c>
      <c r="S383" s="97">
        <f t="shared" si="5"/>
        <v>0</v>
      </c>
      <c r="T383" s="109">
        <f>'Orderformular Color Kids'!U389</f>
        <v>23.9</v>
      </c>
    </row>
    <row r="384" spans="1:20" ht="15" customHeight="1" x14ac:dyDescent="0.25">
      <c r="A384" s="110">
        <f>'Orderformular Color Kids'!A390</f>
        <v>743187</v>
      </c>
      <c r="B384" s="111" t="str">
        <f>'Orderformular Color Kids'!B390</f>
        <v>Anonymized Item 390</v>
      </c>
      <c r="C384" s="111" t="str">
        <f>'Orderformular Color Kids'!C390</f>
        <v>Anonymized 2159 Seagrass</v>
      </c>
      <c r="D384" s="111" t="str">
        <f>'Orderformular Color Kids'!D390</f>
        <v>Hats</v>
      </c>
      <c r="E384" s="97">
        <f>'Orderformular Color Kids'!E390</f>
        <v>0</v>
      </c>
      <c r="F384" s="97">
        <f>'Orderformular Color Kids'!F390</f>
        <v>0</v>
      </c>
      <c r="G384" s="97">
        <f>'Orderformular Color Kids'!G390</f>
        <v>0</v>
      </c>
      <c r="H384" s="97">
        <f>'Orderformular Color Kids'!H390</f>
        <v>0</v>
      </c>
      <c r="I384" s="97">
        <f>'Orderformular Color Kids'!I390</f>
        <v>0</v>
      </c>
      <c r="J384" s="97">
        <f>'Orderformular Color Kids'!J390</f>
        <v>0</v>
      </c>
      <c r="K384" s="97">
        <f>'Orderformular Color Kids'!K390</f>
        <v>0</v>
      </c>
      <c r="L384" s="97">
        <f>'Orderformular Color Kids'!L390</f>
        <v>0</v>
      </c>
      <c r="M384" s="97">
        <f>'Orderformular Color Kids'!M390</f>
        <v>0</v>
      </c>
      <c r="N384" s="97">
        <f>'Orderformular Color Kids'!N390</f>
        <v>0</v>
      </c>
      <c r="O384" s="97">
        <f>'Orderformular Color Kids'!O390</f>
        <v>0</v>
      </c>
      <c r="P384" s="97">
        <f>'Orderformular Color Kids'!P390</f>
        <v>0</v>
      </c>
      <c r="Q384" s="97">
        <f>'Orderformular Color Kids'!Q390</f>
        <v>0</v>
      </c>
      <c r="R384" s="97">
        <f>'Orderformular Color Kids'!R390</f>
        <v>0</v>
      </c>
      <c r="S384" s="97">
        <f t="shared" si="5"/>
        <v>0</v>
      </c>
      <c r="T384" s="109">
        <f>'Orderformular Color Kids'!U390</f>
        <v>23.9</v>
      </c>
    </row>
    <row r="385" spans="1:20" ht="15" customHeight="1" x14ac:dyDescent="0.25">
      <c r="A385" s="110">
        <f>'Orderformular Color Kids'!A391</f>
        <v>743187</v>
      </c>
      <c r="B385" s="111" t="str">
        <f>'Orderformular Color Kids'!B391</f>
        <v>Anonymized Item 391</v>
      </c>
      <c r="C385" s="111" t="str">
        <f>'Orderformular Color Kids'!C391</f>
        <v>Anonymized 6685 Violet Tulle</v>
      </c>
      <c r="D385" s="111" t="str">
        <f>'Orderformular Color Kids'!D391</f>
        <v>Hats</v>
      </c>
      <c r="E385" s="97">
        <f>'Orderformular Color Kids'!E391</f>
        <v>0</v>
      </c>
      <c r="F385" s="97">
        <f>'Orderformular Color Kids'!F391</f>
        <v>0</v>
      </c>
      <c r="G385" s="97">
        <f>'Orderformular Color Kids'!G391</f>
        <v>0</v>
      </c>
      <c r="H385" s="97">
        <f>'Orderformular Color Kids'!H391</f>
        <v>0</v>
      </c>
      <c r="I385" s="97">
        <f>'Orderformular Color Kids'!I391</f>
        <v>0</v>
      </c>
      <c r="J385" s="97">
        <f>'Orderformular Color Kids'!J391</f>
        <v>0</v>
      </c>
      <c r="K385" s="97">
        <f>'Orderformular Color Kids'!K391</f>
        <v>0</v>
      </c>
      <c r="L385" s="97">
        <f>'Orderformular Color Kids'!L391</f>
        <v>0</v>
      </c>
      <c r="M385" s="97">
        <f>'Orderformular Color Kids'!M391</f>
        <v>0</v>
      </c>
      <c r="N385" s="97">
        <f>'Orderformular Color Kids'!N391</f>
        <v>0</v>
      </c>
      <c r="O385" s="97">
        <f>'Orderformular Color Kids'!O391</f>
        <v>0</v>
      </c>
      <c r="P385" s="97">
        <f>'Orderformular Color Kids'!P391</f>
        <v>0</v>
      </c>
      <c r="Q385" s="97">
        <f>'Orderformular Color Kids'!Q391</f>
        <v>0</v>
      </c>
      <c r="R385" s="97">
        <f>'Orderformular Color Kids'!R391</f>
        <v>0</v>
      </c>
      <c r="S385" s="97">
        <f t="shared" si="5"/>
        <v>0</v>
      </c>
      <c r="T385" s="109">
        <f>'Orderformular Color Kids'!U391</f>
        <v>23.9</v>
      </c>
    </row>
    <row r="386" spans="1:20" ht="15" customHeight="1" x14ac:dyDescent="0.25">
      <c r="A386" s="110">
        <f>'Orderformular Color Kids'!A392</f>
        <v>743188</v>
      </c>
      <c r="B386" s="111" t="str">
        <f>'Orderformular Color Kids'!B392</f>
        <v>Anonymized Item 392</v>
      </c>
      <c r="C386" s="111" t="str">
        <f>'Orderformular Color Kids'!C392</f>
        <v>Anonymized 2159 Seagrass</v>
      </c>
      <c r="D386" s="111" t="str">
        <f>'Orderformular Color Kids'!D392</f>
        <v>Hats</v>
      </c>
      <c r="E386" s="97">
        <f>'Orderformular Color Kids'!E392</f>
        <v>0</v>
      </c>
      <c r="F386" s="97">
        <f>'Orderformular Color Kids'!F392</f>
        <v>0</v>
      </c>
      <c r="G386" s="97">
        <f>'Orderformular Color Kids'!G392</f>
        <v>0</v>
      </c>
      <c r="H386" s="97">
        <f>'Orderformular Color Kids'!H392</f>
        <v>0</v>
      </c>
      <c r="I386" s="97">
        <f>'Orderformular Color Kids'!I392</f>
        <v>0</v>
      </c>
      <c r="J386" s="97">
        <f>'Orderformular Color Kids'!J392</f>
        <v>0</v>
      </c>
      <c r="K386" s="97">
        <f>'Orderformular Color Kids'!K392</f>
        <v>0</v>
      </c>
      <c r="L386" s="97">
        <f>'Orderformular Color Kids'!L392</f>
        <v>0</v>
      </c>
      <c r="M386" s="97">
        <f>'Orderformular Color Kids'!M392</f>
        <v>0</v>
      </c>
      <c r="N386" s="97">
        <f>'Orderformular Color Kids'!N392</f>
        <v>0</v>
      </c>
      <c r="O386" s="97">
        <f>'Orderformular Color Kids'!O392</f>
        <v>0</v>
      </c>
      <c r="P386" s="97">
        <f>'Orderformular Color Kids'!P392</f>
        <v>0</v>
      </c>
      <c r="Q386" s="97">
        <f>'Orderformular Color Kids'!Q392</f>
        <v>0</v>
      </c>
      <c r="R386" s="97">
        <f>'Orderformular Color Kids'!R392</f>
        <v>0</v>
      </c>
      <c r="S386" s="97">
        <f t="shared" si="5"/>
        <v>0</v>
      </c>
      <c r="T386" s="109">
        <f>'Orderformular Color Kids'!U392</f>
        <v>23.9</v>
      </c>
    </row>
    <row r="387" spans="1:20" ht="15" customHeight="1" x14ac:dyDescent="0.25">
      <c r="A387" s="110">
        <f>'Orderformular Color Kids'!A393</f>
        <v>743188</v>
      </c>
      <c r="B387" s="111" t="str">
        <f>'Orderformular Color Kids'!B393</f>
        <v>Anonymized Item 393</v>
      </c>
      <c r="C387" s="111" t="str">
        <f>'Orderformular Color Kids'!C393</f>
        <v>Anonymized 7334 Persian Jewel</v>
      </c>
      <c r="D387" s="111" t="str">
        <f>'Orderformular Color Kids'!D393</f>
        <v>Hats</v>
      </c>
      <c r="E387" s="97">
        <f>'Orderformular Color Kids'!E393</f>
        <v>0</v>
      </c>
      <c r="F387" s="97">
        <f>'Orderformular Color Kids'!F393</f>
        <v>0</v>
      </c>
      <c r="G387" s="97">
        <f>'Orderformular Color Kids'!G393</f>
        <v>0</v>
      </c>
      <c r="H387" s="97">
        <f>'Orderformular Color Kids'!H393</f>
        <v>0</v>
      </c>
      <c r="I387" s="97">
        <f>'Orderformular Color Kids'!I393</f>
        <v>0</v>
      </c>
      <c r="J387" s="97">
        <f>'Orderformular Color Kids'!J393</f>
        <v>0</v>
      </c>
      <c r="K387" s="97">
        <f>'Orderformular Color Kids'!K393</f>
        <v>0</v>
      </c>
      <c r="L387" s="97">
        <f>'Orderformular Color Kids'!L393</f>
        <v>0</v>
      </c>
      <c r="M387" s="97">
        <f>'Orderformular Color Kids'!M393</f>
        <v>0</v>
      </c>
      <c r="N387" s="97">
        <f>'Orderformular Color Kids'!N393</f>
        <v>0</v>
      </c>
      <c r="O387" s="97">
        <f>'Orderformular Color Kids'!O393</f>
        <v>0</v>
      </c>
      <c r="P387" s="97">
        <f>'Orderformular Color Kids'!P393</f>
        <v>0</v>
      </c>
      <c r="Q387" s="97">
        <f>'Orderformular Color Kids'!Q393</f>
        <v>0</v>
      </c>
      <c r="R387" s="97">
        <f>'Orderformular Color Kids'!R393</f>
        <v>0</v>
      </c>
      <c r="S387" s="97">
        <f t="shared" si="5"/>
        <v>0</v>
      </c>
      <c r="T387" s="109">
        <f>'Orderformular Color Kids'!U393</f>
        <v>23.9</v>
      </c>
    </row>
    <row r="388" spans="1:20" ht="15" customHeight="1" x14ac:dyDescent="0.25">
      <c r="A388" s="110">
        <f>'Orderformular Color Kids'!A394</f>
        <v>743189</v>
      </c>
      <c r="B388" s="111" t="str">
        <f>'Orderformular Color Kids'!B394</f>
        <v>Anonymized Item 394</v>
      </c>
      <c r="C388" s="111" t="str">
        <f>'Orderformular Color Kids'!C394</f>
        <v>Anonymized 5381 Pink Glo</v>
      </c>
      <c r="D388" s="111" t="str">
        <f>'Orderformular Color Kids'!D394</f>
        <v>Hats</v>
      </c>
      <c r="E388" s="97">
        <f>'Orderformular Color Kids'!E394</f>
        <v>0</v>
      </c>
      <c r="F388" s="97">
        <f>'Orderformular Color Kids'!F394</f>
        <v>0</v>
      </c>
      <c r="G388" s="97">
        <f>'Orderformular Color Kids'!G394</f>
        <v>0</v>
      </c>
      <c r="H388" s="97">
        <f>'Orderformular Color Kids'!H394</f>
        <v>0</v>
      </c>
      <c r="I388" s="97">
        <f>'Orderformular Color Kids'!I394</f>
        <v>0</v>
      </c>
      <c r="J388" s="97">
        <f>'Orderformular Color Kids'!J394</f>
        <v>0</v>
      </c>
      <c r="K388" s="97">
        <f>'Orderformular Color Kids'!K394</f>
        <v>0</v>
      </c>
      <c r="L388" s="97">
        <f>'Orderformular Color Kids'!L394</f>
        <v>0</v>
      </c>
      <c r="M388" s="97">
        <f>'Orderformular Color Kids'!M394</f>
        <v>0</v>
      </c>
      <c r="N388" s="97">
        <f>'Orderformular Color Kids'!N394</f>
        <v>0</v>
      </c>
      <c r="O388" s="97">
        <f>'Orderformular Color Kids'!O394</f>
        <v>0</v>
      </c>
      <c r="P388" s="97">
        <f>'Orderformular Color Kids'!P394</f>
        <v>0</v>
      </c>
      <c r="Q388" s="97">
        <f>'Orderformular Color Kids'!Q394</f>
        <v>0</v>
      </c>
      <c r="R388" s="97">
        <f>'Orderformular Color Kids'!R394</f>
        <v>0</v>
      </c>
      <c r="S388" s="97">
        <f t="shared" si="5"/>
        <v>0</v>
      </c>
      <c r="T388" s="109">
        <f>'Orderformular Color Kids'!U394</f>
        <v>23.9</v>
      </c>
    </row>
    <row r="389" spans="1:20" ht="15" customHeight="1" x14ac:dyDescent="0.25">
      <c r="A389" s="110">
        <f>'Orderformular Color Kids'!A395</f>
        <v>743189</v>
      </c>
      <c r="B389" s="111" t="str">
        <f>'Orderformular Color Kids'!B395</f>
        <v>Anonymized Item 395</v>
      </c>
      <c r="C389" s="111" t="str">
        <f>'Orderformular Color Kids'!C395</f>
        <v>Anonymized 7880 Surf The Web</v>
      </c>
      <c r="D389" s="111" t="str">
        <f>'Orderformular Color Kids'!D395</f>
        <v>Hats</v>
      </c>
      <c r="E389" s="97">
        <f>'Orderformular Color Kids'!E395</f>
        <v>0</v>
      </c>
      <c r="F389" s="97">
        <f>'Orderformular Color Kids'!F395</f>
        <v>0</v>
      </c>
      <c r="G389" s="97">
        <f>'Orderformular Color Kids'!G395</f>
        <v>0</v>
      </c>
      <c r="H389" s="97">
        <f>'Orderformular Color Kids'!H395</f>
        <v>0</v>
      </c>
      <c r="I389" s="97">
        <f>'Orderformular Color Kids'!I395</f>
        <v>0</v>
      </c>
      <c r="J389" s="97">
        <f>'Orderformular Color Kids'!J395</f>
        <v>0</v>
      </c>
      <c r="K389" s="97">
        <f>'Orderformular Color Kids'!K395</f>
        <v>0</v>
      </c>
      <c r="L389" s="97">
        <f>'Orderformular Color Kids'!L395</f>
        <v>0</v>
      </c>
      <c r="M389" s="97">
        <f>'Orderformular Color Kids'!M395</f>
        <v>0</v>
      </c>
      <c r="N389" s="97">
        <f>'Orderformular Color Kids'!N395</f>
        <v>0</v>
      </c>
      <c r="O389" s="97">
        <f>'Orderformular Color Kids'!O395</f>
        <v>0</v>
      </c>
      <c r="P389" s="97">
        <f>'Orderformular Color Kids'!P395</f>
        <v>0</v>
      </c>
      <c r="Q389" s="97">
        <f>'Orderformular Color Kids'!Q395</f>
        <v>0</v>
      </c>
      <c r="R389" s="97">
        <f>'Orderformular Color Kids'!R395</f>
        <v>0</v>
      </c>
      <c r="S389" s="97">
        <f t="shared" si="5"/>
        <v>0</v>
      </c>
      <c r="T389" s="109">
        <f>'Orderformular Color Kids'!U395</f>
        <v>23.9</v>
      </c>
    </row>
    <row r="390" spans="1:20" ht="15" customHeight="1" x14ac:dyDescent="0.25">
      <c r="A390" s="110">
        <f>'Orderformular Color Kids'!A396</f>
        <v>760401</v>
      </c>
      <c r="B390" s="111" t="str">
        <f>'Orderformular Color Kids'!B396</f>
        <v>Anonymized Item 396</v>
      </c>
      <c r="C390" s="111" t="str">
        <f>'Orderformular Color Kids'!C396</f>
        <v>Anonymized 4202 Zephyr</v>
      </c>
      <c r="D390" s="111" t="str">
        <f>'Orderformular Color Kids'!D396</f>
        <v>Shoes</v>
      </c>
      <c r="E390" s="97">
        <f>'Orderformular Color Kids'!E396</f>
        <v>0</v>
      </c>
      <c r="F390" s="97">
        <f>'Orderformular Color Kids'!F396</f>
        <v>0</v>
      </c>
      <c r="G390" s="97">
        <f>'Orderformular Color Kids'!G396</f>
        <v>0</v>
      </c>
      <c r="H390" s="97">
        <f>'Orderformular Color Kids'!H396</f>
        <v>0</v>
      </c>
      <c r="I390" s="97">
        <f>'Orderformular Color Kids'!I396</f>
        <v>0</v>
      </c>
      <c r="J390" s="97">
        <f>'Orderformular Color Kids'!J396</f>
        <v>0</v>
      </c>
      <c r="K390" s="97">
        <f>'Orderformular Color Kids'!K396</f>
        <v>0</v>
      </c>
      <c r="L390" s="97">
        <f>'Orderformular Color Kids'!L396</f>
        <v>0</v>
      </c>
      <c r="M390" s="97">
        <f>'Orderformular Color Kids'!M396</f>
        <v>0</v>
      </c>
      <c r="N390" s="97">
        <f>'Orderformular Color Kids'!N396</f>
        <v>0</v>
      </c>
      <c r="O390" s="97">
        <f>'Orderformular Color Kids'!O396</f>
        <v>0</v>
      </c>
      <c r="P390" s="97">
        <f>'Orderformular Color Kids'!P396</f>
        <v>0</v>
      </c>
      <c r="Q390" s="97">
        <f>'Orderformular Color Kids'!Q396</f>
        <v>0</v>
      </c>
      <c r="R390" s="97">
        <f>'Orderformular Color Kids'!R396</f>
        <v>0</v>
      </c>
      <c r="S390" s="97">
        <f t="shared" si="5"/>
        <v>0</v>
      </c>
      <c r="T390" s="109">
        <f>'Orderformular Color Kids'!U396</f>
        <v>23.9</v>
      </c>
    </row>
    <row r="391" spans="1:20" ht="15" customHeight="1" x14ac:dyDescent="0.25">
      <c r="A391" s="110">
        <f>'Orderformular Color Kids'!A397</f>
        <v>760401</v>
      </c>
      <c r="B391" s="111" t="str">
        <f>'Orderformular Color Kids'!B397</f>
        <v>Anonymized Item 397</v>
      </c>
      <c r="C391" s="111" t="str">
        <f>'Orderformular Color Kids'!C397</f>
        <v>Anonymized 6149 Marlin</v>
      </c>
      <c r="D391" s="111" t="str">
        <f>'Orderformular Color Kids'!D397</f>
        <v>Shoes</v>
      </c>
      <c r="E391" s="97">
        <f>'Orderformular Color Kids'!E397</f>
        <v>0</v>
      </c>
      <c r="F391" s="97">
        <f>'Orderformular Color Kids'!F397</f>
        <v>0</v>
      </c>
      <c r="G391" s="97">
        <f>'Orderformular Color Kids'!G397</f>
        <v>0</v>
      </c>
      <c r="H391" s="97">
        <f>'Orderformular Color Kids'!H397</f>
        <v>0</v>
      </c>
      <c r="I391" s="97">
        <f>'Orderformular Color Kids'!I397</f>
        <v>0</v>
      </c>
      <c r="J391" s="97">
        <f>'Orderformular Color Kids'!J397</f>
        <v>0</v>
      </c>
      <c r="K391" s="97">
        <f>'Orderformular Color Kids'!K397</f>
        <v>0</v>
      </c>
      <c r="L391" s="97">
        <f>'Orderformular Color Kids'!L397</f>
        <v>0</v>
      </c>
      <c r="M391" s="97">
        <f>'Orderformular Color Kids'!M397</f>
        <v>0</v>
      </c>
      <c r="N391" s="97">
        <f>'Orderformular Color Kids'!N397</f>
        <v>0</v>
      </c>
      <c r="O391" s="97">
        <f>'Orderformular Color Kids'!O397</f>
        <v>0</v>
      </c>
      <c r="P391" s="97">
        <f>'Orderformular Color Kids'!P397</f>
        <v>0</v>
      </c>
      <c r="Q391" s="97">
        <f>'Orderformular Color Kids'!Q397</f>
        <v>0</v>
      </c>
      <c r="R391" s="97">
        <f>'Orderformular Color Kids'!R397</f>
        <v>0</v>
      </c>
      <c r="S391" s="97">
        <f t="shared" si="5"/>
        <v>0</v>
      </c>
      <c r="T391" s="109">
        <f>'Orderformular Color Kids'!U397</f>
        <v>23.9</v>
      </c>
    </row>
    <row r="392" spans="1:20" ht="15" customHeight="1" x14ac:dyDescent="0.25">
      <c r="A392" s="110">
        <f>'Orderformular Color Kids'!A398</f>
        <v>760401</v>
      </c>
      <c r="B392" s="111" t="str">
        <f>'Orderformular Color Kids'!B398</f>
        <v>Anonymized Item 398</v>
      </c>
      <c r="C392" s="111" t="str">
        <f>'Orderformular Color Kids'!C398</f>
        <v>Anonymized 7490 Placid blue</v>
      </c>
      <c r="D392" s="111" t="str">
        <f>'Orderformular Color Kids'!D398</f>
        <v>Shoes</v>
      </c>
      <c r="E392" s="97">
        <f>'Orderformular Color Kids'!E398</f>
        <v>0</v>
      </c>
      <c r="F392" s="97">
        <f>'Orderformular Color Kids'!F398</f>
        <v>0</v>
      </c>
      <c r="G392" s="97">
        <f>'Orderformular Color Kids'!G398</f>
        <v>0</v>
      </c>
      <c r="H392" s="97">
        <f>'Orderformular Color Kids'!H398</f>
        <v>0</v>
      </c>
      <c r="I392" s="97">
        <f>'Orderformular Color Kids'!I398</f>
        <v>0</v>
      </c>
      <c r="J392" s="97">
        <f>'Orderformular Color Kids'!J398</f>
        <v>0</v>
      </c>
      <c r="K392" s="97">
        <f>'Orderformular Color Kids'!K398</f>
        <v>0</v>
      </c>
      <c r="L392" s="97">
        <f>'Orderformular Color Kids'!L398</f>
        <v>0</v>
      </c>
      <c r="M392" s="97">
        <f>'Orderformular Color Kids'!M398</f>
        <v>0</v>
      </c>
      <c r="N392" s="97">
        <f>'Orderformular Color Kids'!N398</f>
        <v>0</v>
      </c>
      <c r="O392" s="97">
        <f>'Orderformular Color Kids'!O398</f>
        <v>0</v>
      </c>
      <c r="P392" s="97">
        <f>'Orderformular Color Kids'!P398</f>
        <v>0</v>
      </c>
      <c r="Q392" s="97">
        <f>'Orderformular Color Kids'!Q398</f>
        <v>0</v>
      </c>
      <c r="R392" s="97">
        <f>'Orderformular Color Kids'!R398</f>
        <v>0</v>
      </c>
      <c r="S392" s="97">
        <f t="shared" si="5"/>
        <v>0</v>
      </c>
      <c r="T392" s="109">
        <f>'Orderformular Color Kids'!U398</f>
        <v>23.9</v>
      </c>
    </row>
    <row r="393" spans="1:20" ht="15" customHeight="1" x14ac:dyDescent="0.25">
      <c r="A393" s="110">
        <f>'Orderformular Color Kids'!A399</f>
        <v>760401</v>
      </c>
      <c r="B393" s="111" t="str">
        <f>'Orderformular Color Kids'!B399</f>
        <v>Anonymized Item 399</v>
      </c>
      <c r="C393" s="111" t="str">
        <f>'Orderformular Color Kids'!C399</f>
        <v>Anonymized 9118 Tea</v>
      </c>
      <c r="D393" s="111" t="str">
        <f>'Orderformular Color Kids'!D399</f>
        <v>Shoes</v>
      </c>
      <c r="E393" s="97">
        <f>'Orderformular Color Kids'!E399</f>
        <v>0</v>
      </c>
      <c r="F393" s="97">
        <f>'Orderformular Color Kids'!F399</f>
        <v>0</v>
      </c>
      <c r="G393" s="97">
        <f>'Orderformular Color Kids'!G399</f>
        <v>0</v>
      </c>
      <c r="H393" s="97">
        <f>'Orderformular Color Kids'!H399</f>
        <v>0</v>
      </c>
      <c r="I393" s="97">
        <f>'Orderformular Color Kids'!I399</f>
        <v>0</v>
      </c>
      <c r="J393" s="97">
        <f>'Orderformular Color Kids'!J399</f>
        <v>0</v>
      </c>
      <c r="K393" s="97">
        <f>'Orderformular Color Kids'!K399</f>
        <v>0</v>
      </c>
      <c r="L393" s="97">
        <f>'Orderformular Color Kids'!L399</f>
        <v>0</v>
      </c>
      <c r="M393" s="97">
        <f>'Orderformular Color Kids'!M399</f>
        <v>0</v>
      </c>
      <c r="N393" s="97">
        <f>'Orderformular Color Kids'!N399</f>
        <v>0</v>
      </c>
      <c r="O393" s="97">
        <f>'Orderformular Color Kids'!O399</f>
        <v>0</v>
      </c>
      <c r="P393" s="97">
        <f>'Orderformular Color Kids'!P399</f>
        <v>0</v>
      </c>
      <c r="Q393" s="97">
        <f>'Orderformular Color Kids'!Q399</f>
        <v>0</v>
      </c>
      <c r="R393" s="97">
        <f>'Orderformular Color Kids'!R399</f>
        <v>0</v>
      </c>
      <c r="S393" s="97">
        <f t="shared" si="5"/>
        <v>0</v>
      </c>
      <c r="T393" s="109">
        <f>'Orderformular Color Kids'!U399</f>
        <v>23.9</v>
      </c>
    </row>
    <row r="394" spans="1:20" ht="15" customHeight="1" x14ac:dyDescent="0.25">
      <c r="A394" s="110">
        <f>'Orderformular Color Kids'!A400</f>
        <v>760403</v>
      </c>
      <c r="B394" s="111" t="str">
        <f>'Orderformular Color Kids'!B400</f>
        <v>Anonymized Sandals</v>
      </c>
      <c r="C394" s="111" t="str">
        <f>'Orderformular Color Kids'!C400</f>
        <v>Anonymized 4202 Zephyr</v>
      </c>
      <c r="D394" s="111" t="str">
        <f>'Orderformular Color Kids'!D400</f>
        <v>Shoes 20-31</v>
      </c>
      <c r="E394" s="97">
        <f>'Orderformular Color Kids'!E400</f>
        <v>1</v>
      </c>
      <c r="F394" s="97">
        <f>'Orderformular Color Kids'!F400</f>
        <v>1</v>
      </c>
      <c r="G394" s="97">
        <f>'Orderformular Color Kids'!G400</f>
        <v>1</v>
      </c>
      <c r="H394" s="97">
        <f>'Orderformular Color Kids'!H400</f>
        <v>1</v>
      </c>
      <c r="I394" s="97">
        <f>'Orderformular Color Kids'!I400</f>
        <v>0</v>
      </c>
      <c r="J394" s="97">
        <f>'Orderformular Color Kids'!J400</f>
        <v>0</v>
      </c>
      <c r="K394" s="97">
        <f>'Orderformular Color Kids'!K400</f>
        <v>0</v>
      </c>
      <c r="L394" s="97">
        <f>'Orderformular Color Kids'!L400</f>
        <v>0</v>
      </c>
      <c r="M394" s="97">
        <f>'Orderformular Color Kids'!M400</f>
        <v>0</v>
      </c>
      <c r="N394" s="97">
        <f>'Orderformular Color Kids'!N400</f>
        <v>0</v>
      </c>
      <c r="O394" s="97">
        <f>'Orderformular Color Kids'!O400</f>
        <v>0</v>
      </c>
      <c r="P394" s="97">
        <f>'Orderformular Color Kids'!P400</f>
        <v>0</v>
      </c>
      <c r="Q394" s="97">
        <f>'Orderformular Color Kids'!Q400</f>
        <v>0</v>
      </c>
      <c r="R394" s="97">
        <f>'Orderformular Color Kids'!R400</f>
        <v>0</v>
      </c>
      <c r="S394" s="97">
        <f t="shared" si="5"/>
        <v>4</v>
      </c>
      <c r="T394" s="109">
        <f>'Orderformular Color Kids'!U400</f>
        <v>19.899999999999999</v>
      </c>
    </row>
    <row r="395" spans="1:20" ht="15" customHeight="1" x14ac:dyDescent="0.25">
      <c r="A395" s="110">
        <f>'Orderformular Color Kids'!A401</f>
        <v>760403</v>
      </c>
      <c r="B395" s="111" t="str">
        <f>'Orderformular Color Kids'!B401</f>
        <v>Anonymized Sandals</v>
      </c>
      <c r="C395" s="111" t="str">
        <f>'Orderformular Color Kids'!C401</f>
        <v>Anonymized 7721 Dress Blues</v>
      </c>
      <c r="D395" s="111" t="str">
        <f>'Orderformular Color Kids'!D401</f>
        <v>Shoes 20-31</v>
      </c>
      <c r="E395" s="97">
        <f>'Orderformular Color Kids'!E401</f>
        <v>1</v>
      </c>
      <c r="F395" s="97">
        <f>'Orderformular Color Kids'!F401</f>
        <v>1</v>
      </c>
      <c r="G395" s="97">
        <f>'Orderformular Color Kids'!G401</f>
        <v>1</v>
      </c>
      <c r="H395" s="97">
        <f>'Orderformular Color Kids'!H401</f>
        <v>1</v>
      </c>
      <c r="I395" s="97">
        <f>'Orderformular Color Kids'!I401</f>
        <v>0</v>
      </c>
      <c r="J395" s="97">
        <f>'Orderformular Color Kids'!J401</f>
        <v>0</v>
      </c>
      <c r="K395" s="97">
        <f>'Orderformular Color Kids'!K401</f>
        <v>0</v>
      </c>
      <c r="L395" s="97">
        <f>'Orderformular Color Kids'!L401</f>
        <v>0</v>
      </c>
      <c r="M395" s="97">
        <f>'Orderformular Color Kids'!M401</f>
        <v>0</v>
      </c>
      <c r="N395" s="97">
        <f>'Orderformular Color Kids'!N401</f>
        <v>0</v>
      </c>
      <c r="O395" s="97">
        <f>'Orderformular Color Kids'!O401</f>
        <v>0</v>
      </c>
      <c r="P395" s="97">
        <f>'Orderformular Color Kids'!P401</f>
        <v>0</v>
      </c>
      <c r="Q395" s="97">
        <f>'Orderformular Color Kids'!Q401</f>
        <v>0</v>
      </c>
      <c r="R395" s="97">
        <f>'Orderformular Color Kids'!R401</f>
        <v>0</v>
      </c>
      <c r="S395" s="97">
        <f t="shared" si="5"/>
        <v>4</v>
      </c>
      <c r="T395" s="109">
        <f>'Orderformular Color Kids'!U401</f>
        <v>19.899999999999999</v>
      </c>
    </row>
    <row r="396" spans="1:20" ht="15" customHeight="1" x14ac:dyDescent="0.25">
      <c r="A396" s="110">
        <f>'Orderformular Color Kids'!A402</f>
        <v>760403</v>
      </c>
      <c r="B396" s="111" t="str">
        <f>'Orderformular Color Kids'!B402</f>
        <v>Anonymized Sandals</v>
      </c>
      <c r="C396" s="111" t="str">
        <f>'Orderformular Color Kids'!C402</f>
        <v>Anonymized 7946 Baja Blue</v>
      </c>
      <c r="D396" s="111" t="str">
        <f>'Orderformular Color Kids'!D402</f>
        <v>Shoes 20-31</v>
      </c>
      <c r="E396" s="97">
        <f>'Orderformular Color Kids'!E402</f>
        <v>0</v>
      </c>
      <c r="F396" s="97">
        <f>'Orderformular Color Kids'!F402</f>
        <v>0</v>
      </c>
      <c r="G396" s="97">
        <f>'Orderformular Color Kids'!G402</f>
        <v>0</v>
      </c>
      <c r="H396" s="97">
        <f>'Orderformular Color Kids'!H402</f>
        <v>0</v>
      </c>
      <c r="I396" s="97">
        <f>'Orderformular Color Kids'!I402</f>
        <v>0</v>
      </c>
      <c r="J396" s="97">
        <f>'Orderformular Color Kids'!J402</f>
        <v>0</v>
      </c>
      <c r="K396" s="97">
        <f>'Orderformular Color Kids'!K402</f>
        <v>0</v>
      </c>
      <c r="L396" s="97">
        <f>'Orderformular Color Kids'!L402</f>
        <v>0</v>
      </c>
      <c r="M396" s="97">
        <f>'Orderformular Color Kids'!M402</f>
        <v>0</v>
      </c>
      <c r="N396" s="97">
        <f>'Orderformular Color Kids'!N402</f>
        <v>0</v>
      </c>
      <c r="O396" s="97">
        <f>'Orderformular Color Kids'!O402</f>
        <v>0</v>
      </c>
      <c r="P396" s="97">
        <f>'Orderformular Color Kids'!P402</f>
        <v>0</v>
      </c>
      <c r="Q396" s="97">
        <f>'Orderformular Color Kids'!Q402</f>
        <v>0</v>
      </c>
      <c r="R396" s="97">
        <f>'Orderformular Color Kids'!R402</f>
        <v>0</v>
      </c>
      <c r="S396" s="97">
        <f t="shared" ref="S396:S459" si="6">SUM(E396:R396)</f>
        <v>0</v>
      </c>
      <c r="T396" s="109">
        <f>'Orderformular Color Kids'!U402</f>
        <v>19.899999999999999</v>
      </c>
    </row>
    <row r="397" spans="1:20" ht="15" customHeight="1" x14ac:dyDescent="0.25">
      <c r="A397" s="110">
        <f>'Orderformular Color Kids'!A403</f>
        <v>760403</v>
      </c>
      <c r="B397" s="111" t="str">
        <f>'Orderformular Color Kids'!B403</f>
        <v>Anonymized Sandals</v>
      </c>
      <c r="C397" s="111" t="str">
        <f>'Orderformular Color Kids'!C403</f>
        <v>Anonymized 9118 Tea</v>
      </c>
      <c r="D397" s="111" t="str">
        <f>'Orderformular Color Kids'!D403</f>
        <v>Shoes 20-31</v>
      </c>
      <c r="E397" s="97">
        <f>'Orderformular Color Kids'!E403</f>
        <v>1</v>
      </c>
      <c r="F397" s="97">
        <f>'Orderformular Color Kids'!F403</f>
        <v>1</v>
      </c>
      <c r="G397" s="97">
        <f>'Orderformular Color Kids'!G403</f>
        <v>1</v>
      </c>
      <c r="H397" s="97">
        <f>'Orderformular Color Kids'!H403</f>
        <v>1</v>
      </c>
      <c r="I397" s="97">
        <f>'Orderformular Color Kids'!I403</f>
        <v>0</v>
      </c>
      <c r="J397" s="97">
        <f>'Orderformular Color Kids'!J403</f>
        <v>0</v>
      </c>
      <c r="K397" s="97">
        <f>'Orderformular Color Kids'!K403</f>
        <v>0</v>
      </c>
      <c r="L397" s="97">
        <f>'Orderformular Color Kids'!L403</f>
        <v>0</v>
      </c>
      <c r="M397" s="97">
        <f>'Orderformular Color Kids'!M403</f>
        <v>0</v>
      </c>
      <c r="N397" s="97">
        <f>'Orderformular Color Kids'!N403</f>
        <v>0</v>
      </c>
      <c r="O397" s="97">
        <f>'Orderformular Color Kids'!O403</f>
        <v>0</v>
      </c>
      <c r="P397" s="97">
        <f>'Orderformular Color Kids'!P403</f>
        <v>0</v>
      </c>
      <c r="Q397" s="97">
        <f>'Orderformular Color Kids'!Q403</f>
        <v>0</v>
      </c>
      <c r="R397" s="97">
        <f>'Orderformular Color Kids'!R403</f>
        <v>0</v>
      </c>
      <c r="S397" s="97">
        <f t="shared" si="6"/>
        <v>4</v>
      </c>
      <c r="T397" s="109">
        <f>'Orderformular Color Kids'!U403</f>
        <v>19.899999999999999</v>
      </c>
    </row>
    <row r="398" spans="1:20" ht="15" customHeight="1" x14ac:dyDescent="0.25">
      <c r="A398" s="110">
        <f>'Orderformular Color Kids'!A404</f>
        <v>760405</v>
      </c>
      <c r="B398" s="111" t="str">
        <f>'Orderformular Color Kids'!B404</f>
        <v>Anonymized Item 404</v>
      </c>
      <c r="C398" s="111" t="str">
        <f>'Orderformular Color Kids'!C404</f>
        <v>Anonymized 3741 Sunny Lime</v>
      </c>
      <c r="D398" s="111" t="str">
        <f>'Orderformular Color Kids'!D404</f>
        <v>Shoes 20-31</v>
      </c>
      <c r="E398" s="97">
        <f>'Orderformular Color Kids'!E404</f>
        <v>0</v>
      </c>
      <c r="F398" s="97">
        <f>'Orderformular Color Kids'!F404</f>
        <v>0</v>
      </c>
      <c r="G398" s="97">
        <f>'Orderformular Color Kids'!G404</f>
        <v>0</v>
      </c>
      <c r="H398" s="97">
        <f>'Orderformular Color Kids'!H404</f>
        <v>0</v>
      </c>
      <c r="I398" s="97">
        <f>'Orderformular Color Kids'!I404</f>
        <v>0</v>
      </c>
      <c r="J398" s="97">
        <f>'Orderformular Color Kids'!J404</f>
        <v>0</v>
      </c>
      <c r="K398" s="97">
        <f>'Orderformular Color Kids'!K404</f>
        <v>0</v>
      </c>
      <c r="L398" s="97">
        <f>'Orderformular Color Kids'!L404</f>
        <v>0</v>
      </c>
      <c r="M398" s="97">
        <f>'Orderformular Color Kids'!M404</f>
        <v>0</v>
      </c>
      <c r="N398" s="97">
        <f>'Orderformular Color Kids'!N404</f>
        <v>0</v>
      </c>
      <c r="O398" s="97">
        <f>'Orderformular Color Kids'!O404</f>
        <v>0</v>
      </c>
      <c r="P398" s="97">
        <f>'Orderformular Color Kids'!P404</f>
        <v>0</v>
      </c>
      <c r="Q398" s="97">
        <f>'Orderformular Color Kids'!Q404</f>
        <v>0</v>
      </c>
      <c r="R398" s="97">
        <f>'Orderformular Color Kids'!R404</f>
        <v>0</v>
      </c>
      <c r="S398" s="97">
        <f t="shared" si="6"/>
        <v>0</v>
      </c>
      <c r="T398" s="109">
        <f>'Orderformular Color Kids'!U404</f>
        <v>17.899999999999999</v>
      </c>
    </row>
    <row r="399" spans="1:20" ht="15" customHeight="1" x14ac:dyDescent="0.25">
      <c r="A399" s="110">
        <f>'Orderformular Color Kids'!A405</f>
        <v>760405</v>
      </c>
      <c r="B399" s="111" t="str">
        <f>'Orderformular Color Kids'!B405</f>
        <v>Anonymized Item 405</v>
      </c>
      <c r="C399" s="111" t="str">
        <f>'Orderformular Color Kids'!C405</f>
        <v>Anonymized 3741 Sunny Lime</v>
      </c>
      <c r="D399" s="111" t="str">
        <f>'Orderformular Color Kids'!D405</f>
        <v>Shoes 32-42</v>
      </c>
      <c r="E399" s="97">
        <f>'Orderformular Color Kids'!E405</f>
        <v>0</v>
      </c>
      <c r="F399" s="97">
        <f>'Orderformular Color Kids'!F405</f>
        <v>0</v>
      </c>
      <c r="G399" s="97">
        <f>'Orderformular Color Kids'!G405</f>
        <v>0</v>
      </c>
      <c r="H399" s="97">
        <f>'Orderformular Color Kids'!H405</f>
        <v>0</v>
      </c>
      <c r="I399" s="97">
        <f>'Orderformular Color Kids'!I405</f>
        <v>0</v>
      </c>
      <c r="J399" s="97">
        <f>'Orderformular Color Kids'!J405</f>
        <v>0</v>
      </c>
      <c r="K399" s="97">
        <f>'Orderformular Color Kids'!K405</f>
        <v>0</v>
      </c>
      <c r="L399" s="97">
        <f>'Orderformular Color Kids'!L405</f>
        <v>0</v>
      </c>
      <c r="M399" s="97">
        <f>'Orderformular Color Kids'!M405</f>
        <v>0</v>
      </c>
      <c r="N399" s="97">
        <f>'Orderformular Color Kids'!N405</f>
        <v>0</v>
      </c>
      <c r="O399" s="97">
        <f>'Orderformular Color Kids'!O405</f>
        <v>0</v>
      </c>
      <c r="P399" s="97">
        <f>'Orderformular Color Kids'!P405</f>
        <v>0</v>
      </c>
      <c r="Q399" s="97">
        <f>'Orderformular Color Kids'!Q405</f>
        <v>0</v>
      </c>
      <c r="R399" s="97">
        <f>'Orderformular Color Kids'!R405</f>
        <v>0</v>
      </c>
      <c r="S399" s="97">
        <f t="shared" si="6"/>
        <v>0</v>
      </c>
      <c r="T399" s="109">
        <f>'Orderformular Color Kids'!U405</f>
        <v>17.899999999999999</v>
      </c>
    </row>
    <row r="400" spans="1:20" ht="15" customHeight="1" x14ac:dyDescent="0.25">
      <c r="A400" s="110">
        <f>'Orderformular Color Kids'!A406</f>
        <v>760405</v>
      </c>
      <c r="B400" s="111" t="str">
        <f>'Orderformular Color Kids'!B406</f>
        <v>Anonymized Item 406</v>
      </c>
      <c r="C400" s="111" t="str">
        <f>'Orderformular Color Kids'!C406</f>
        <v>Anonymized 5381 Pink Glo</v>
      </c>
      <c r="D400" s="111" t="str">
        <f>'Orderformular Color Kids'!D406</f>
        <v>Shoes 20-31</v>
      </c>
      <c r="E400" s="97">
        <f>'Orderformular Color Kids'!E406</f>
        <v>0</v>
      </c>
      <c r="F400" s="97">
        <f>'Orderformular Color Kids'!F406</f>
        <v>0</v>
      </c>
      <c r="G400" s="97">
        <f>'Orderformular Color Kids'!G406</f>
        <v>0</v>
      </c>
      <c r="H400" s="97">
        <f>'Orderformular Color Kids'!H406</f>
        <v>0</v>
      </c>
      <c r="I400" s="97">
        <f>'Orderformular Color Kids'!I406</f>
        <v>0</v>
      </c>
      <c r="J400" s="97">
        <f>'Orderformular Color Kids'!J406</f>
        <v>0</v>
      </c>
      <c r="K400" s="97">
        <f>'Orderformular Color Kids'!K406</f>
        <v>0</v>
      </c>
      <c r="L400" s="97">
        <f>'Orderformular Color Kids'!L406</f>
        <v>0</v>
      </c>
      <c r="M400" s="97">
        <f>'Orderformular Color Kids'!M406</f>
        <v>0</v>
      </c>
      <c r="N400" s="97">
        <f>'Orderformular Color Kids'!N406</f>
        <v>0</v>
      </c>
      <c r="O400" s="97">
        <f>'Orderformular Color Kids'!O406</f>
        <v>0</v>
      </c>
      <c r="P400" s="97">
        <f>'Orderformular Color Kids'!P406</f>
        <v>0</v>
      </c>
      <c r="Q400" s="97">
        <f>'Orderformular Color Kids'!Q406</f>
        <v>0</v>
      </c>
      <c r="R400" s="97">
        <f>'Orderformular Color Kids'!R406</f>
        <v>0</v>
      </c>
      <c r="S400" s="97">
        <f t="shared" si="6"/>
        <v>0</v>
      </c>
      <c r="T400" s="109">
        <f>'Orderformular Color Kids'!U406</f>
        <v>17.899999999999999</v>
      </c>
    </row>
    <row r="401" spans="1:20" ht="15" customHeight="1" x14ac:dyDescent="0.25">
      <c r="A401" s="110">
        <f>'Orderformular Color Kids'!A407</f>
        <v>760405</v>
      </c>
      <c r="B401" s="111" t="str">
        <f>'Orderformular Color Kids'!B407</f>
        <v>Anonymized Item 407</v>
      </c>
      <c r="C401" s="111" t="str">
        <f>'Orderformular Color Kids'!C407</f>
        <v>Anonymized 5381 Pink Glo</v>
      </c>
      <c r="D401" s="111" t="str">
        <f>'Orderformular Color Kids'!D407</f>
        <v>Shoes 32-42</v>
      </c>
      <c r="E401" s="97">
        <f>'Orderformular Color Kids'!E407</f>
        <v>0</v>
      </c>
      <c r="F401" s="97">
        <f>'Orderformular Color Kids'!F407</f>
        <v>0</v>
      </c>
      <c r="G401" s="97">
        <f>'Orderformular Color Kids'!G407</f>
        <v>0</v>
      </c>
      <c r="H401" s="97">
        <f>'Orderformular Color Kids'!H407</f>
        <v>0</v>
      </c>
      <c r="I401" s="97">
        <f>'Orderformular Color Kids'!I407</f>
        <v>0</v>
      </c>
      <c r="J401" s="97">
        <f>'Orderformular Color Kids'!J407</f>
        <v>0</v>
      </c>
      <c r="K401" s="97">
        <f>'Orderformular Color Kids'!K407</f>
        <v>0</v>
      </c>
      <c r="L401" s="97">
        <f>'Orderformular Color Kids'!L407</f>
        <v>0</v>
      </c>
      <c r="M401" s="97">
        <f>'Orderformular Color Kids'!M407</f>
        <v>0</v>
      </c>
      <c r="N401" s="97">
        <f>'Orderformular Color Kids'!N407</f>
        <v>0</v>
      </c>
      <c r="O401" s="97">
        <f>'Orderformular Color Kids'!O407</f>
        <v>0</v>
      </c>
      <c r="P401" s="97">
        <f>'Orderformular Color Kids'!P407</f>
        <v>0</v>
      </c>
      <c r="Q401" s="97">
        <f>'Orderformular Color Kids'!Q407</f>
        <v>0</v>
      </c>
      <c r="R401" s="97">
        <f>'Orderformular Color Kids'!R407</f>
        <v>0</v>
      </c>
      <c r="S401" s="97">
        <f t="shared" si="6"/>
        <v>0</v>
      </c>
      <c r="T401" s="109">
        <f>'Orderformular Color Kids'!U407</f>
        <v>17.899999999999999</v>
      </c>
    </row>
    <row r="402" spans="1:20" ht="15" customHeight="1" x14ac:dyDescent="0.25">
      <c r="A402" s="110">
        <f>'Orderformular Color Kids'!A408</f>
        <v>760405</v>
      </c>
      <c r="B402" s="111" t="str">
        <f>'Orderformular Color Kids'!B408</f>
        <v>Anonymized Item 408</v>
      </c>
      <c r="C402" s="111" t="str">
        <f>'Orderformular Color Kids'!C408</f>
        <v>Anonymized 6820 Iris Orchid</v>
      </c>
      <c r="D402" s="111" t="str">
        <f>'Orderformular Color Kids'!D408</f>
        <v>Shoes 20-31</v>
      </c>
      <c r="E402" s="97">
        <f>'Orderformular Color Kids'!E408</f>
        <v>0</v>
      </c>
      <c r="F402" s="97">
        <f>'Orderformular Color Kids'!F408</f>
        <v>0</v>
      </c>
      <c r="G402" s="97">
        <f>'Orderformular Color Kids'!G408</f>
        <v>0</v>
      </c>
      <c r="H402" s="97">
        <f>'Orderformular Color Kids'!H408</f>
        <v>0</v>
      </c>
      <c r="I402" s="97">
        <f>'Orderformular Color Kids'!I408</f>
        <v>0</v>
      </c>
      <c r="J402" s="97">
        <f>'Orderformular Color Kids'!J408</f>
        <v>0</v>
      </c>
      <c r="K402" s="97">
        <f>'Orderformular Color Kids'!K408</f>
        <v>0</v>
      </c>
      <c r="L402" s="97">
        <f>'Orderformular Color Kids'!L408</f>
        <v>0</v>
      </c>
      <c r="M402" s="97">
        <f>'Orderformular Color Kids'!M408</f>
        <v>0</v>
      </c>
      <c r="N402" s="97">
        <f>'Orderformular Color Kids'!N408</f>
        <v>0</v>
      </c>
      <c r="O402" s="97">
        <f>'Orderformular Color Kids'!O408</f>
        <v>0</v>
      </c>
      <c r="P402" s="97">
        <f>'Orderformular Color Kids'!P408</f>
        <v>0</v>
      </c>
      <c r="Q402" s="97">
        <f>'Orderformular Color Kids'!Q408</f>
        <v>0</v>
      </c>
      <c r="R402" s="97">
        <f>'Orderformular Color Kids'!R408</f>
        <v>0</v>
      </c>
      <c r="S402" s="97">
        <f t="shared" si="6"/>
        <v>0</v>
      </c>
      <c r="T402" s="109">
        <f>'Orderformular Color Kids'!U408</f>
        <v>17.899999999999999</v>
      </c>
    </row>
    <row r="403" spans="1:20" ht="15" customHeight="1" x14ac:dyDescent="0.25">
      <c r="A403" s="110">
        <f>'Orderformular Color Kids'!A409</f>
        <v>760405</v>
      </c>
      <c r="B403" s="111" t="str">
        <f>'Orderformular Color Kids'!B409</f>
        <v>Anonymized Item 409</v>
      </c>
      <c r="C403" s="111" t="str">
        <f>'Orderformular Color Kids'!C409</f>
        <v>Anonymized 6820 Iris Orchid</v>
      </c>
      <c r="D403" s="111" t="str">
        <f>'Orderformular Color Kids'!D409</f>
        <v>Shoes 32-42</v>
      </c>
      <c r="E403" s="97">
        <f>'Orderformular Color Kids'!E409</f>
        <v>0</v>
      </c>
      <c r="F403" s="97">
        <f>'Orderformular Color Kids'!F409</f>
        <v>0</v>
      </c>
      <c r="G403" s="97">
        <f>'Orderformular Color Kids'!G409</f>
        <v>0</v>
      </c>
      <c r="H403" s="97">
        <f>'Orderformular Color Kids'!H409</f>
        <v>0</v>
      </c>
      <c r="I403" s="97">
        <f>'Orderformular Color Kids'!I409</f>
        <v>0</v>
      </c>
      <c r="J403" s="97">
        <f>'Orderformular Color Kids'!J409</f>
        <v>0</v>
      </c>
      <c r="K403" s="97">
        <f>'Orderformular Color Kids'!K409</f>
        <v>0</v>
      </c>
      <c r="L403" s="97">
        <f>'Orderformular Color Kids'!L409</f>
        <v>0</v>
      </c>
      <c r="M403" s="97">
        <f>'Orderformular Color Kids'!M409</f>
        <v>0</v>
      </c>
      <c r="N403" s="97">
        <f>'Orderformular Color Kids'!N409</f>
        <v>0</v>
      </c>
      <c r="O403" s="97">
        <f>'Orderformular Color Kids'!O409</f>
        <v>0</v>
      </c>
      <c r="P403" s="97">
        <f>'Orderformular Color Kids'!P409</f>
        <v>0</v>
      </c>
      <c r="Q403" s="97">
        <f>'Orderformular Color Kids'!Q409</f>
        <v>0</v>
      </c>
      <c r="R403" s="97">
        <f>'Orderformular Color Kids'!R409</f>
        <v>0</v>
      </c>
      <c r="S403" s="97">
        <f t="shared" si="6"/>
        <v>0</v>
      </c>
      <c r="T403" s="109">
        <f>'Orderformular Color Kids'!U409</f>
        <v>17.899999999999999</v>
      </c>
    </row>
    <row r="404" spans="1:20" ht="15" customHeight="1" x14ac:dyDescent="0.25">
      <c r="A404" s="110">
        <f>'Orderformular Color Kids'!A410</f>
        <v>760405</v>
      </c>
      <c r="B404" s="111" t="str">
        <f>'Orderformular Color Kids'!B410</f>
        <v>Anonymized Item 410</v>
      </c>
      <c r="C404" s="111" t="str">
        <f>'Orderformular Color Kids'!C410</f>
        <v>Anonymized 7721 Dress Blues</v>
      </c>
      <c r="D404" s="111" t="str">
        <f>'Orderformular Color Kids'!D410</f>
        <v>Shoes 20-31</v>
      </c>
      <c r="E404" s="97">
        <f>'Orderformular Color Kids'!E410</f>
        <v>0</v>
      </c>
      <c r="F404" s="97">
        <f>'Orderformular Color Kids'!F410</f>
        <v>0</v>
      </c>
      <c r="G404" s="97">
        <f>'Orderformular Color Kids'!G410</f>
        <v>0</v>
      </c>
      <c r="H404" s="97">
        <f>'Orderformular Color Kids'!H410</f>
        <v>0</v>
      </c>
      <c r="I404" s="97">
        <f>'Orderformular Color Kids'!I410</f>
        <v>0</v>
      </c>
      <c r="J404" s="97">
        <f>'Orderformular Color Kids'!J410</f>
        <v>0</v>
      </c>
      <c r="K404" s="97">
        <f>'Orderformular Color Kids'!K410</f>
        <v>0</v>
      </c>
      <c r="L404" s="97">
        <f>'Orderformular Color Kids'!L410</f>
        <v>0</v>
      </c>
      <c r="M404" s="97">
        <f>'Orderformular Color Kids'!M410</f>
        <v>0</v>
      </c>
      <c r="N404" s="97">
        <f>'Orderformular Color Kids'!N410</f>
        <v>0</v>
      </c>
      <c r="O404" s="97">
        <f>'Orderformular Color Kids'!O410</f>
        <v>0</v>
      </c>
      <c r="P404" s="97">
        <f>'Orderformular Color Kids'!P410</f>
        <v>0</v>
      </c>
      <c r="Q404" s="97">
        <f>'Orderformular Color Kids'!Q410</f>
        <v>0</v>
      </c>
      <c r="R404" s="97">
        <f>'Orderformular Color Kids'!R410</f>
        <v>0</v>
      </c>
      <c r="S404" s="97">
        <f t="shared" si="6"/>
        <v>0</v>
      </c>
      <c r="T404" s="109">
        <f>'Orderformular Color Kids'!U410</f>
        <v>17.899999999999999</v>
      </c>
    </row>
    <row r="405" spans="1:20" ht="15" customHeight="1" x14ac:dyDescent="0.25">
      <c r="A405" s="110">
        <f>'Orderformular Color Kids'!A411</f>
        <v>760405</v>
      </c>
      <c r="B405" s="111" t="str">
        <f>'Orderformular Color Kids'!B411</f>
        <v>Anonymized Item 411</v>
      </c>
      <c r="C405" s="111" t="str">
        <f>'Orderformular Color Kids'!C411</f>
        <v>Anonymized 7721 Dress Blues</v>
      </c>
      <c r="D405" s="111" t="str">
        <f>'Orderformular Color Kids'!D411</f>
        <v>Shoes 32-42</v>
      </c>
      <c r="E405" s="97">
        <f>'Orderformular Color Kids'!E411</f>
        <v>0</v>
      </c>
      <c r="F405" s="97">
        <f>'Orderformular Color Kids'!F411</f>
        <v>0</v>
      </c>
      <c r="G405" s="97">
        <f>'Orderformular Color Kids'!G411</f>
        <v>0</v>
      </c>
      <c r="H405" s="97">
        <f>'Orderformular Color Kids'!H411</f>
        <v>0</v>
      </c>
      <c r="I405" s="97">
        <f>'Orderformular Color Kids'!I411</f>
        <v>0</v>
      </c>
      <c r="J405" s="97">
        <f>'Orderformular Color Kids'!J411</f>
        <v>0</v>
      </c>
      <c r="K405" s="97">
        <f>'Orderformular Color Kids'!K411</f>
        <v>0</v>
      </c>
      <c r="L405" s="97">
        <f>'Orderformular Color Kids'!L411</f>
        <v>0</v>
      </c>
      <c r="M405" s="97">
        <f>'Orderformular Color Kids'!M411</f>
        <v>0</v>
      </c>
      <c r="N405" s="97">
        <f>'Orderformular Color Kids'!N411</f>
        <v>0</v>
      </c>
      <c r="O405" s="97">
        <f>'Orderformular Color Kids'!O411</f>
        <v>0</v>
      </c>
      <c r="P405" s="97">
        <f>'Orderformular Color Kids'!P411</f>
        <v>0</v>
      </c>
      <c r="Q405" s="97">
        <f>'Orderformular Color Kids'!Q411</f>
        <v>0</v>
      </c>
      <c r="R405" s="97">
        <f>'Orderformular Color Kids'!R411</f>
        <v>0</v>
      </c>
      <c r="S405" s="97">
        <f t="shared" si="6"/>
        <v>0</v>
      </c>
      <c r="T405" s="109">
        <f>'Orderformular Color Kids'!U411</f>
        <v>17.899999999999999</v>
      </c>
    </row>
    <row r="406" spans="1:20" ht="15" customHeight="1" x14ac:dyDescent="0.25">
      <c r="A406" s="110">
        <f>'Orderformular Color Kids'!A412</f>
        <v>760405</v>
      </c>
      <c r="B406" s="111" t="str">
        <f>'Orderformular Color Kids'!B412</f>
        <v>Anonymized Item 412</v>
      </c>
      <c r="C406" s="111" t="str">
        <f>'Orderformular Color Kids'!C412</f>
        <v>Anonymized 9651 Dark Forest</v>
      </c>
      <c r="D406" s="111" t="str">
        <f>'Orderformular Color Kids'!D412</f>
        <v>Shoes 20-31</v>
      </c>
      <c r="E406" s="97">
        <f>'Orderformular Color Kids'!E412</f>
        <v>0</v>
      </c>
      <c r="F406" s="97">
        <f>'Orderformular Color Kids'!F412</f>
        <v>0</v>
      </c>
      <c r="G406" s="97">
        <f>'Orderformular Color Kids'!G412</f>
        <v>0</v>
      </c>
      <c r="H406" s="97">
        <f>'Orderformular Color Kids'!H412</f>
        <v>0</v>
      </c>
      <c r="I406" s="97">
        <f>'Orderformular Color Kids'!I412</f>
        <v>0</v>
      </c>
      <c r="J406" s="97">
        <f>'Orderformular Color Kids'!J412</f>
        <v>0</v>
      </c>
      <c r="K406" s="97">
        <f>'Orderformular Color Kids'!K412</f>
        <v>0</v>
      </c>
      <c r="L406" s="97">
        <f>'Orderformular Color Kids'!L412</f>
        <v>0</v>
      </c>
      <c r="M406" s="97">
        <f>'Orderformular Color Kids'!M412</f>
        <v>0</v>
      </c>
      <c r="N406" s="97">
        <f>'Orderformular Color Kids'!N412</f>
        <v>0</v>
      </c>
      <c r="O406" s="97">
        <f>'Orderformular Color Kids'!O412</f>
        <v>0</v>
      </c>
      <c r="P406" s="97">
        <f>'Orderformular Color Kids'!P412</f>
        <v>0</v>
      </c>
      <c r="Q406" s="97">
        <f>'Orderformular Color Kids'!Q412</f>
        <v>0</v>
      </c>
      <c r="R406" s="97">
        <f>'Orderformular Color Kids'!R412</f>
        <v>0</v>
      </c>
      <c r="S406" s="97">
        <f t="shared" si="6"/>
        <v>0</v>
      </c>
      <c r="T406" s="109">
        <f>'Orderformular Color Kids'!U412</f>
        <v>17.899999999999999</v>
      </c>
    </row>
    <row r="407" spans="1:20" ht="15" customHeight="1" x14ac:dyDescent="0.25">
      <c r="A407" s="110">
        <f>'Orderformular Color Kids'!A413</f>
        <v>760405</v>
      </c>
      <c r="B407" s="111" t="str">
        <f>'Orderformular Color Kids'!B413</f>
        <v>Anonymized Item 413</v>
      </c>
      <c r="C407" s="111" t="str">
        <f>'Orderformular Color Kids'!C413</f>
        <v>Anonymized 9651 Dark Forest</v>
      </c>
      <c r="D407" s="111" t="str">
        <f>'Orderformular Color Kids'!D413</f>
        <v>Shoes 32-42</v>
      </c>
      <c r="E407" s="97">
        <f>'Orderformular Color Kids'!E413</f>
        <v>0</v>
      </c>
      <c r="F407" s="97">
        <f>'Orderformular Color Kids'!F413</f>
        <v>0</v>
      </c>
      <c r="G407" s="97">
        <f>'Orderformular Color Kids'!G413</f>
        <v>0</v>
      </c>
      <c r="H407" s="97">
        <f>'Orderformular Color Kids'!H413</f>
        <v>0</v>
      </c>
      <c r="I407" s="97">
        <f>'Orderformular Color Kids'!I413</f>
        <v>0</v>
      </c>
      <c r="J407" s="97">
        <f>'Orderformular Color Kids'!J413</f>
        <v>0</v>
      </c>
      <c r="K407" s="97">
        <f>'Orderformular Color Kids'!K413</f>
        <v>0</v>
      </c>
      <c r="L407" s="97">
        <f>'Orderformular Color Kids'!L413</f>
        <v>0</v>
      </c>
      <c r="M407" s="97">
        <f>'Orderformular Color Kids'!M413</f>
        <v>0</v>
      </c>
      <c r="N407" s="97">
        <f>'Orderformular Color Kids'!N413</f>
        <v>0</v>
      </c>
      <c r="O407" s="97">
        <f>'Orderformular Color Kids'!O413</f>
        <v>0</v>
      </c>
      <c r="P407" s="97">
        <f>'Orderformular Color Kids'!P413</f>
        <v>0</v>
      </c>
      <c r="Q407" s="97">
        <f>'Orderformular Color Kids'!Q413</f>
        <v>0</v>
      </c>
      <c r="R407" s="97">
        <f>'Orderformular Color Kids'!R413</f>
        <v>0</v>
      </c>
      <c r="S407" s="97">
        <f t="shared" si="6"/>
        <v>0</v>
      </c>
      <c r="T407" s="109">
        <f>'Orderformular Color Kids'!U413</f>
        <v>17.899999999999999</v>
      </c>
    </row>
    <row r="408" spans="1:20" ht="15" customHeight="1" x14ac:dyDescent="0.25">
      <c r="A408" s="110">
        <f>'Orderformular Color Kids'!A414</f>
        <v>760406</v>
      </c>
      <c r="B408" s="111" t="str">
        <f>'Orderformular Color Kids'!B414</f>
        <v>Anonymized Item 414</v>
      </c>
      <c r="C408" s="111" t="str">
        <f>'Orderformular Color Kids'!C414</f>
        <v>Anonymized 3741 Sunny Lime</v>
      </c>
      <c r="D408" s="111" t="str">
        <f>'Orderformular Color Kids'!D414</f>
        <v>Shoes 32-42</v>
      </c>
      <c r="E408" s="97">
        <f>'Orderformular Color Kids'!E414</f>
        <v>0</v>
      </c>
      <c r="F408" s="97">
        <f>'Orderformular Color Kids'!F414</f>
        <v>0</v>
      </c>
      <c r="G408" s="97">
        <f>'Orderformular Color Kids'!G414</f>
        <v>0</v>
      </c>
      <c r="H408" s="97">
        <f>'Orderformular Color Kids'!H414</f>
        <v>0</v>
      </c>
      <c r="I408" s="97">
        <f>'Orderformular Color Kids'!I414</f>
        <v>0</v>
      </c>
      <c r="J408" s="97">
        <f>'Orderformular Color Kids'!J414</f>
        <v>0</v>
      </c>
      <c r="K408" s="97">
        <f>'Orderformular Color Kids'!K414</f>
        <v>0</v>
      </c>
      <c r="L408" s="97">
        <f>'Orderformular Color Kids'!L414</f>
        <v>0</v>
      </c>
      <c r="M408" s="97">
        <f>'Orderformular Color Kids'!M414</f>
        <v>0</v>
      </c>
      <c r="N408" s="97">
        <f>'Orderformular Color Kids'!N414</f>
        <v>0</v>
      </c>
      <c r="O408" s="97">
        <f>'Orderformular Color Kids'!O414</f>
        <v>0</v>
      </c>
      <c r="P408" s="97">
        <f>'Orderformular Color Kids'!P414</f>
        <v>0</v>
      </c>
      <c r="Q408" s="97">
        <f>'Orderformular Color Kids'!Q414</f>
        <v>0</v>
      </c>
      <c r="R408" s="97">
        <f>'Orderformular Color Kids'!R414</f>
        <v>0</v>
      </c>
      <c r="S408" s="97">
        <f t="shared" si="6"/>
        <v>0</v>
      </c>
      <c r="T408" s="109">
        <f>'Orderformular Color Kids'!U414</f>
        <v>19.899999999999999</v>
      </c>
    </row>
    <row r="409" spans="1:20" ht="15" customHeight="1" x14ac:dyDescent="0.25">
      <c r="A409" s="110">
        <f>'Orderformular Color Kids'!A415</f>
        <v>760406</v>
      </c>
      <c r="B409" s="111" t="str">
        <f>'Orderformular Color Kids'!B415</f>
        <v>Anonymized Item 415</v>
      </c>
      <c r="C409" s="111" t="str">
        <f>'Orderformular Color Kids'!C415</f>
        <v>Anonymized 5381 Pink Glo</v>
      </c>
      <c r="D409" s="111" t="str">
        <f>'Orderformular Color Kids'!D415</f>
        <v>Shoes 32-42</v>
      </c>
      <c r="E409" s="97">
        <f>'Orderformular Color Kids'!E415</f>
        <v>0</v>
      </c>
      <c r="F409" s="97">
        <f>'Orderformular Color Kids'!F415</f>
        <v>0</v>
      </c>
      <c r="G409" s="97">
        <f>'Orderformular Color Kids'!G415</f>
        <v>0</v>
      </c>
      <c r="H409" s="97">
        <f>'Orderformular Color Kids'!H415</f>
        <v>0</v>
      </c>
      <c r="I409" s="97">
        <f>'Orderformular Color Kids'!I415</f>
        <v>0</v>
      </c>
      <c r="J409" s="97">
        <f>'Orderformular Color Kids'!J415</f>
        <v>0</v>
      </c>
      <c r="K409" s="97">
        <f>'Orderformular Color Kids'!K415</f>
        <v>0</v>
      </c>
      <c r="L409" s="97">
        <f>'Orderformular Color Kids'!L415</f>
        <v>0</v>
      </c>
      <c r="M409" s="97">
        <f>'Orderformular Color Kids'!M415</f>
        <v>0</v>
      </c>
      <c r="N409" s="97">
        <f>'Orderformular Color Kids'!N415</f>
        <v>0</v>
      </c>
      <c r="O409" s="97">
        <f>'Orderformular Color Kids'!O415</f>
        <v>0</v>
      </c>
      <c r="P409" s="97">
        <f>'Orderformular Color Kids'!P415</f>
        <v>0</v>
      </c>
      <c r="Q409" s="97">
        <f>'Orderformular Color Kids'!Q415</f>
        <v>0</v>
      </c>
      <c r="R409" s="97">
        <f>'Orderformular Color Kids'!R415</f>
        <v>0</v>
      </c>
      <c r="S409" s="97">
        <f t="shared" si="6"/>
        <v>0</v>
      </c>
      <c r="T409" s="109">
        <f>'Orderformular Color Kids'!U415</f>
        <v>19.899999999999999</v>
      </c>
    </row>
    <row r="410" spans="1:20" ht="15" customHeight="1" x14ac:dyDescent="0.25">
      <c r="A410" s="110">
        <f>'Orderformular Color Kids'!A416</f>
        <v>760406</v>
      </c>
      <c r="B410" s="111" t="str">
        <f>'Orderformular Color Kids'!B416</f>
        <v>Anonymized Item 416</v>
      </c>
      <c r="C410" s="111" t="str">
        <f>'Orderformular Color Kids'!C416</f>
        <v>Anonymized 6820 Iris Orchid</v>
      </c>
      <c r="D410" s="111" t="str">
        <f>'Orderformular Color Kids'!D416</f>
        <v>Shoes 32-42</v>
      </c>
      <c r="E410" s="97">
        <f>'Orderformular Color Kids'!E416</f>
        <v>0</v>
      </c>
      <c r="F410" s="97">
        <f>'Orderformular Color Kids'!F416</f>
        <v>0</v>
      </c>
      <c r="G410" s="97">
        <f>'Orderformular Color Kids'!G416</f>
        <v>0</v>
      </c>
      <c r="H410" s="97">
        <f>'Orderformular Color Kids'!H416</f>
        <v>0</v>
      </c>
      <c r="I410" s="97">
        <f>'Orderformular Color Kids'!I416</f>
        <v>0</v>
      </c>
      <c r="J410" s="97">
        <f>'Orderformular Color Kids'!J416</f>
        <v>0</v>
      </c>
      <c r="K410" s="97">
        <f>'Orderformular Color Kids'!K416</f>
        <v>0</v>
      </c>
      <c r="L410" s="97">
        <f>'Orderformular Color Kids'!L416</f>
        <v>0</v>
      </c>
      <c r="M410" s="97">
        <f>'Orderformular Color Kids'!M416</f>
        <v>0</v>
      </c>
      <c r="N410" s="97">
        <f>'Orderformular Color Kids'!N416</f>
        <v>0</v>
      </c>
      <c r="O410" s="97">
        <f>'Orderformular Color Kids'!O416</f>
        <v>0</v>
      </c>
      <c r="P410" s="97">
        <f>'Orderformular Color Kids'!P416</f>
        <v>0</v>
      </c>
      <c r="Q410" s="97">
        <f>'Orderformular Color Kids'!Q416</f>
        <v>0</v>
      </c>
      <c r="R410" s="97">
        <f>'Orderformular Color Kids'!R416</f>
        <v>0</v>
      </c>
      <c r="S410" s="97">
        <f t="shared" si="6"/>
        <v>0</v>
      </c>
      <c r="T410" s="109">
        <f>'Orderformular Color Kids'!U416</f>
        <v>19.899999999999999</v>
      </c>
    </row>
    <row r="411" spans="1:20" ht="15" customHeight="1" x14ac:dyDescent="0.25">
      <c r="A411" s="110">
        <f>'Orderformular Color Kids'!A417</f>
        <v>760406</v>
      </c>
      <c r="B411" s="111" t="str">
        <f>'Orderformular Color Kids'!B417</f>
        <v>Anonymized Item 417</v>
      </c>
      <c r="C411" s="111" t="str">
        <f>'Orderformular Color Kids'!C417</f>
        <v>Anonymized 7721 Dress Blues</v>
      </c>
      <c r="D411" s="111" t="str">
        <f>'Orderformular Color Kids'!D417</f>
        <v>Shoes 32-42</v>
      </c>
      <c r="E411" s="97">
        <f>'Orderformular Color Kids'!E417</f>
        <v>0</v>
      </c>
      <c r="F411" s="97">
        <f>'Orderformular Color Kids'!F417</f>
        <v>0</v>
      </c>
      <c r="G411" s="97">
        <f>'Orderformular Color Kids'!G417</f>
        <v>0</v>
      </c>
      <c r="H411" s="97">
        <f>'Orderformular Color Kids'!H417</f>
        <v>0</v>
      </c>
      <c r="I411" s="97">
        <f>'Orderformular Color Kids'!I417</f>
        <v>0</v>
      </c>
      <c r="J411" s="97">
        <f>'Orderformular Color Kids'!J417</f>
        <v>0</v>
      </c>
      <c r="K411" s="97">
        <f>'Orderformular Color Kids'!K417</f>
        <v>0</v>
      </c>
      <c r="L411" s="97">
        <f>'Orderformular Color Kids'!L417</f>
        <v>0</v>
      </c>
      <c r="M411" s="97">
        <f>'Orderformular Color Kids'!M417</f>
        <v>0</v>
      </c>
      <c r="N411" s="97">
        <f>'Orderformular Color Kids'!N417</f>
        <v>0</v>
      </c>
      <c r="O411" s="97">
        <f>'Orderformular Color Kids'!O417</f>
        <v>0</v>
      </c>
      <c r="P411" s="97">
        <f>'Orderformular Color Kids'!P417</f>
        <v>0</v>
      </c>
      <c r="Q411" s="97">
        <f>'Orderformular Color Kids'!Q417</f>
        <v>0</v>
      </c>
      <c r="R411" s="97">
        <f>'Orderformular Color Kids'!R417</f>
        <v>0</v>
      </c>
      <c r="S411" s="97">
        <f t="shared" si="6"/>
        <v>0</v>
      </c>
      <c r="T411" s="109">
        <f>'Orderformular Color Kids'!U417</f>
        <v>19.899999999999999</v>
      </c>
    </row>
    <row r="412" spans="1:20" ht="15" customHeight="1" x14ac:dyDescent="0.25">
      <c r="A412" s="110">
        <f>'Orderformular Color Kids'!A418</f>
        <v>760406</v>
      </c>
      <c r="B412" s="111" t="str">
        <f>'Orderformular Color Kids'!B418</f>
        <v>Anonymized Item 418</v>
      </c>
      <c r="C412" s="111" t="str">
        <f>'Orderformular Color Kids'!C418</f>
        <v>Anonymized 9651 Dark Forest</v>
      </c>
      <c r="D412" s="111" t="str">
        <f>'Orderformular Color Kids'!D418</f>
        <v>Shoes 32-42</v>
      </c>
      <c r="E412" s="97">
        <f>'Orderformular Color Kids'!E418</f>
        <v>0</v>
      </c>
      <c r="F412" s="97">
        <f>'Orderformular Color Kids'!F418</f>
        <v>0</v>
      </c>
      <c r="G412" s="97">
        <f>'Orderformular Color Kids'!G418</f>
        <v>0</v>
      </c>
      <c r="H412" s="97">
        <f>'Orderformular Color Kids'!H418</f>
        <v>0</v>
      </c>
      <c r="I412" s="97">
        <f>'Orderformular Color Kids'!I418</f>
        <v>0</v>
      </c>
      <c r="J412" s="97">
        <f>'Orderformular Color Kids'!J418</f>
        <v>0</v>
      </c>
      <c r="K412" s="97">
        <f>'Orderformular Color Kids'!K418</f>
        <v>0</v>
      </c>
      <c r="L412" s="97">
        <f>'Orderformular Color Kids'!L418</f>
        <v>0</v>
      </c>
      <c r="M412" s="97">
        <f>'Orderformular Color Kids'!M418</f>
        <v>0</v>
      </c>
      <c r="N412" s="97">
        <f>'Orderformular Color Kids'!N418</f>
        <v>0</v>
      </c>
      <c r="O412" s="97">
        <f>'Orderformular Color Kids'!O418</f>
        <v>0</v>
      </c>
      <c r="P412" s="97">
        <f>'Orderformular Color Kids'!P418</f>
        <v>0</v>
      </c>
      <c r="Q412" s="97">
        <f>'Orderformular Color Kids'!Q418</f>
        <v>0</v>
      </c>
      <c r="R412" s="97">
        <f>'Orderformular Color Kids'!R418</f>
        <v>0</v>
      </c>
      <c r="S412" s="97">
        <f t="shared" si="6"/>
        <v>0</v>
      </c>
      <c r="T412" s="109">
        <f>'Orderformular Color Kids'!U418</f>
        <v>19.899999999999999</v>
      </c>
    </row>
    <row r="413" spans="1:20" ht="15.75" customHeight="1" x14ac:dyDescent="0.25">
      <c r="A413" s="110">
        <f>'Orderformular Color Kids'!A419</f>
        <v>760408</v>
      </c>
      <c r="B413" s="111" t="str">
        <f>'Orderformular Color Kids'!B419</f>
        <v>Anonymized Item 419</v>
      </c>
      <c r="C413" s="112" t="str">
        <f>'Orderformular Color Kids'!C419</f>
        <v>Anonymized 1108 Castle Wall</v>
      </c>
      <c r="D413" s="112" t="str">
        <f>'Orderformular Color Kids'!D419</f>
        <v>Shoes 20-31</v>
      </c>
      <c r="E413" s="97">
        <f>'Orderformular Color Kids'!E419</f>
        <v>0</v>
      </c>
      <c r="F413" s="97">
        <f>'Orderformular Color Kids'!F419</f>
        <v>0</v>
      </c>
      <c r="G413" s="97">
        <f>'Orderformular Color Kids'!G419</f>
        <v>0</v>
      </c>
      <c r="H413" s="97">
        <f>'Orderformular Color Kids'!H419</f>
        <v>0</v>
      </c>
      <c r="I413" s="97">
        <f>'Orderformular Color Kids'!I419</f>
        <v>0</v>
      </c>
      <c r="J413" s="97">
        <f>'Orderformular Color Kids'!J419</f>
        <v>0</v>
      </c>
      <c r="K413" s="97">
        <f>'Orderformular Color Kids'!K419</f>
        <v>0</v>
      </c>
      <c r="L413" s="97">
        <f>'Orderformular Color Kids'!L419</f>
        <v>0</v>
      </c>
      <c r="M413" s="97">
        <f>'Orderformular Color Kids'!M419</f>
        <v>0</v>
      </c>
      <c r="N413" s="97">
        <f>'Orderformular Color Kids'!N419</f>
        <v>0</v>
      </c>
      <c r="O413" s="97">
        <f>'Orderformular Color Kids'!O419</f>
        <v>0</v>
      </c>
      <c r="P413" s="97">
        <f>'Orderformular Color Kids'!P419</f>
        <v>0</v>
      </c>
      <c r="Q413" s="97">
        <f>'Orderformular Color Kids'!Q419</f>
        <v>0</v>
      </c>
      <c r="R413" s="97">
        <f>'Orderformular Color Kids'!R419</f>
        <v>0</v>
      </c>
      <c r="S413" s="97">
        <f t="shared" si="6"/>
        <v>0</v>
      </c>
      <c r="T413" s="109">
        <f>'Orderformular Color Kids'!U419</f>
        <v>45.9</v>
      </c>
    </row>
    <row r="414" spans="1:20" ht="15.75" customHeight="1" x14ac:dyDescent="0.25">
      <c r="A414" s="110">
        <f>'Orderformular Color Kids'!A420</f>
        <v>760408</v>
      </c>
      <c r="B414" s="111" t="str">
        <f>'Orderformular Color Kids'!B420</f>
        <v>Anonymized Item 420</v>
      </c>
      <c r="C414" s="112" t="str">
        <f>'Orderformular Color Kids'!C420</f>
        <v>Anonymized 2808 Morel</v>
      </c>
      <c r="D414" s="112" t="str">
        <f>'Orderformular Color Kids'!D420</f>
        <v>Shoes 20-31</v>
      </c>
      <c r="E414" s="97">
        <f>'Orderformular Color Kids'!E420</f>
        <v>0</v>
      </c>
      <c r="F414" s="97">
        <f>'Orderformular Color Kids'!F420</f>
        <v>0</v>
      </c>
      <c r="G414" s="97">
        <f>'Orderformular Color Kids'!G420</f>
        <v>0</v>
      </c>
      <c r="H414" s="97">
        <f>'Orderformular Color Kids'!H420</f>
        <v>0</v>
      </c>
      <c r="I414" s="97">
        <f>'Orderformular Color Kids'!I420</f>
        <v>0</v>
      </c>
      <c r="J414" s="97">
        <f>'Orderformular Color Kids'!J420</f>
        <v>0</v>
      </c>
      <c r="K414" s="97">
        <f>'Orderformular Color Kids'!K420</f>
        <v>0</v>
      </c>
      <c r="L414" s="97">
        <f>'Orderformular Color Kids'!L420</f>
        <v>0</v>
      </c>
      <c r="M414" s="97">
        <f>'Orderformular Color Kids'!M420</f>
        <v>0</v>
      </c>
      <c r="N414" s="97">
        <f>'Orderformular Color Kids'!N420</f>
        <v>0</v>
      </c>
      <c r="O414" s="97">
        <f>'Orderformular Color Kids'!O420</f>
        <v>0</v>
      </c>
      <c r="P414" s="97">
        <f>'Orderformular Color Kids'!P420</f>
        <v>0</v>
      </c>
      <c r="Q414" s="97">
        <f>'Orderformular Color Kids'!Q420</f>
        <v>0</v>
      </c>
      <c r="R414" s="97">
        <f>'Orderformular Color Kids'!R420</f>
        <v>0</v>
      </c>
      <c r="S414" s="97">
        <f t="shared" si="6"/>
        <v>0</v>
      </c>
      <c r="T414" s="109">
        <f>'Orderformular Color Kids'!U420</f>
        <v>45.9</v>
      </c>
    </row>
    <row r="415" spans="1:20" ht="15.75" customHeight="1" x14ac:dyDescent="0.25">
      <c r="A415" s="110">
        <f>'Orderformular Color Kids'!A421</f>
        <v>760408</v>
      </c>
      <c r="B415" s="111" t="str">
        <f>'Orderformular Color Kids'!B421</f>
        <v>Anonymized Item 421</v>
      </c>
      <c r="C415" s="112" t="str">
        <f>'Orderformular Color Kids'!C421</f>
        <v>Anonymized 6009 Keepsake Lilac</v>
      </c>
      <c r="D415" s="112" t="str">
        <f>'Orderformular Color Kids'!D421</f>
        <v>Shoes 20-31</v>
      </c>
      <c r="E415" s="97">
        <f>'Orderformular Color Kids'!E421</f>
        <v>0</v>
      </c>
      <c r="F415" s="97">
        <f>'Orderformular Color Kids'!F421</f>
        <v>0</v>
      </c>
      <c r="G415" s="97">
        <f>'Orderformular Color Kids'!G421</f>
        <v>0</v>
      </c>
      <c r="H415" s="97">
        <f>'Orderformular Color Kids'!H421</f>
        <v>0</v>
      </c>
      <c r="I415" s="97">
        <f>'Orderformular Color Kids'!I421</f>
        <v>0</v>
      </c>
      <c r="J415" s="97">
        <f>'Orderformular Color Kids'!J421</f>
        <v>0</v>
      </c>
      <c r="K415" s="97">
        <f>'Orderformular Color Kids'!K421</f>
        <v>0</v>
      </c>
      <c r="L415" s="97">
        <f>'Orderformular Color Kids'!L421</f>
        <v>0</v>
      </c>
      <c r="M415" s="97">
        <f>'Orderformular Color Kids'!M421</f>
        <v>0</v>
      </c>
      <c r="N415" s="97">
        <f>'Orderformular Color Kids'!N421</f>
        <v>0</v>
      </c>
      <c r="O415" s="97">
        <f>'Orderformular Color Kids'!O421</f>
        <v>0</v>
      </c>
      <c r="P415" s="97">
        <f>'Orderformular Color Kids'!P421</f>
        <v>0</v>
      </c>
      <c r="Q415" s="97">
        <f>'Orderformular Color Kids'!Q421</f>
        <v>0</v>
      </c>
      <c r="R415" s="97">
        <f>'Orderformular Color Kids'!R421</f>
        <v>0</v>
      </c>
      <c r="S415" s="97">
        <f t="shared" si="6"/>
        <v>0</v>
      </c>
      <c r="T415" s="109">
        <f>'Orderformular Color Kids'!U421</f>
        <v>45.9</v>
      </c>
    </row>
    <row r="416" spans="1:20" ht="15.75" customHeight="1" x14ac:dyDescent="0.25">
      <c r="A416" s="110">
        <f>'Orderformular Color Kids'!A422</f>
        <v>760408</v>
      </c>
      <c r="B416" s="111" t="str">
        <f>'Orderformular Color Kids'!B422</f>
        <v>Anonymized Item 422</v>
      </c>
      <c r="C416" s="112" t="str">
        <f>'Orderformular Color Kids'!C422</f>
        <v>Anonymized 6685 Violet Tulle</v>
      </c>
      <c r="D416" s="112" t="str">
        <f>'Orderformular Color Kids'!D422</f>
        <v>Shoes 20-31</v>
      </c>
      <c r="E416" s="97">
        <f>'Orderformular Color Kids'!E422</f>
        <v>0</v>
      </c>
      <c r="F416" s="97">
        <f>'Orderformular Color Kids'!F422</f>
        <v>0</v>
      </c>
      <c r="G416" s="97">
        <f>'Orderformular Color Kids'!G422</f>
        <v>0</v>
      </c>
      <c r="H416" s="97">
        <f>'Orderformular Color Kids'!H422</f>
        <v>0</v>
      </c>
      <c r="I416" s="97">
        <f>'Orderformular Color Kids'!I422</f>
        <v>0</v>
      </c>
      <c r="J416" s="97">
        <f>'Orderformular Color Kids'!J422</f>
        <v>0</v>
      </c>
      <c r="K416" s="97">
        <f>'Orderformular Color Kids'!K422</f>
        <v>0</v>
      </c>
      <c r="L416" s="97">
        <f>'Orderformular Color Kids'!L422</f>
        <v>0</v>
      </c>
      <c r="M416" s="97">
        <f>'Orderformular Color Kids'!M422</f>
        <v>0</v>
      </c>
      <c r="N416" s="97">
        <f>'Orderformular Color Kids'!N422</f>
        <v>0</v>
      </c>
      <c r="O416" s="97">
        <f>'Orderformular Color Kids'!O422</f>
        <v>0</v>
      </c>
      <c r="P416" s="97">
        <f>'Orderformular Color Kids'!P422</f>
        <v>0</v>
      </c>
      <c r="Q416" s="97">
        <f>'Orderformular Color Kids'!Q422</f>
        <v>0</v>
      </c>
      <c r="R416" s="97">
        <f>'Orderformular Color Kids'!R422</f>
        <v>0</v>
      </c>
      <c r="S416" s="97">
        <f t="shared" si="6"/>
        <v>0</v>
      </c>
      <c r="T416" s="109">
        <f>'Orderformular Color Kids'!U422</f>
        <v>45.9</v>
      </c>
    </row>
    <row r="417" spans="1:20" ht="15.75" customHeight="1" x14ac:dyDescent="0.25">
      <c r="A417" s="110">
        <f>'Orderformular Color Kids'!A423</f>
        <v>760408</v>
      </c>
      <c r="B417" s="111" t="str">
        <f>'Orderformular Color Kids'!B423</f>
        <v>Anonymized Item 423</v>
      </c>
      <c r="C417" s="112" t="str">
        <f>'Orderformular Color Kids'!C423</f>
        <v>Anonymized 7850 Total Eclipse</v>
      </c>
      <c r="D417" s="112" t="str">
        <f>'Orderformular Color Kids'!D423</f>
        <v>Shoes 20-31</v>
      </c>
      <c r="E417" s="97">
        <f>'Orderformular Color Kids'!E423</f>
        <v>0</v>
      </c>
      <c r="F417" s="97">
        <f>'Orderformular Color Kids'!F423</f>
        <v>0</v>
      </c>
      <c r="G417" s="97">
        <f>'Orderformular Color Kids'!G423</f>
        <v>0</v>
      </c>
      <c r="H417" s="97">
        <f>'Orderformular Color Kids'!H423</f>
        <v>0</v>
      </c>
      <c r="I417" s="97">
        <f>'Orderformular Color Kids'!I423</f>
        <v>0</v>
      </c>
      <c r="J417" s="97">
        <f>'Orderformular Color Kids'!J423</f>
        <v>0</v>
      </c>
      <c r="K417" s="97">
        <f>'Orderformular Color Kids'!K423</f>
        <v>0</v>
      </c>
      <c r="L417" s="97">
        <f>'Orderformular Color Kids'!L423</f>
        <v>0</v>
      </c>
      <c r="M417" s="97">
        <f>'Orderformular Color Kids'!M423</f>
        <v>0</v>
      </c>
      <c r="N417" s="97">
        <f>'Orderformular Color Kids'!N423</f>
        <v>0</v>
      </c>
      <c r="O417" s="97">
        <f>'Orderformular Color Kids'!O423</f>
        <v>0</v>
      </c>
      <c r="P417" s="97">
        <f>'Orderformular Color Kids'!P423</f>
        <v>0</v>
      </c>
      <c r="Q417" s="97">
        <f>'Orderformular Color Kids'!Q423</f>
        <v>0</v>
      </c>
      <c r="R417" s="97">
        <f>'Orderformular Color Kids'!R423</f>
        <v>0</v>
      </c>
      <c r="S417" s="97">
        <f t="shared" si="6"/>
        <v>0</v>
      </c>
      <c r="T417" s="109">
        <f>'Orderformular Color Kids'!U423</f>
        <v>45.9</v>
      </c>
    </row>
    <row r="418" spans="1:20" ht="15.75" customHeight="1" x14ac:dyDescent="0.25">
      <c r="A418" s="110">
        <f>'Orderformular Color Kids'!A424</f>
        <v>760411</v>
      </c>
      <c r="B418" s="111" t="str">
        <f>'Orderformular Color Kids'!B424</f>
        <v>Anonymized Item 424</v>
      </c>
      <c r="C418" s="112" t="str">
        <f>'Orderformular Color Kids'!C424</f>
        <v>Anonymized 2159 Seagrass</v>
      </c>
      <c r="D418" s="112" t="str">
        <f>'Orderformular Color Kids'!D424</f>
        <v>Shoes 20-31</v>
      </c>
      <c r="E418" s="97">
        <f>'Orderformular Color Kids'!E424</f>
        <v>0</v>
      </c>
      <c r="F418" s="97">
        <f>'Orderformular Color Kids'!F424</f>
        <v>0</v>
      </c>
      <c r="G418" s="97">
        <f>'Orderformular Color Kids'!G424</f>
        <v>0</v>
      </c>
      <c r="H418" s="97">
        <f>'Orderformular Color Kids'!H424</f>
        <v>0</v>
      </c>
      <c r="I418" s="97">
        <f>'Orderformular Color Kids'!I424</f>
        <v>0</v>
      </c>
      <c r="J418" s="97">
        <f>'Orderformular Color Kids'!J424</f>
        <v>0</v>
      </c>
      <c r="K418" s="97">
        <f>'Orderformular Color Kids'!K424</f>
        <v>0</v>
      </c>
      <c r="L418" s="97">
        <f>'Orderformular Color Kids'!L424</f>
        <v>0</v>
      </c>
      <c r="M418" s="97">
        <f>'Orderformular Color Kids'!M424</f>
        <v>0</v>
      </c>
      <c r="N418" s="97">
        <f>'Orderformular Color Kids'!N424</f>
        <v>0</v>
      </c>
      <c r="O418" s="97">
        <f>'Orderformular Color Kids'!O424</f>
        <v>0</v>
      </c>
      <c r="P418" s="97">
        <f>'Orderformular Color Kids'!P424</f>
        <v>0</v>
      </c>
      <c r="Q418" s="97">
        <f>'Orderformular Color Kids'!Q424</f>
        <v>0</v>
      </c>
      <c r="R418" s="97">
        <f>'Orderformular Color Kids'!R424</f>
        <v>0</v>
      </c>
      <c r="S418" s="97">
        <f t="shared" si="6"/>
        <v>0</v>
      </c>
      <c r="T418" s="109">
        <f>'Orderformular Color Kids'!U424</f>
        <v>49.9</v>
      </c>
    </row>
    <row r="419" spans="1:20" ht="15.75" customHeight="1" x14ac:dyDescent="0.25">
      <c r="A419" s="110">
        <f>'Orderformular Color Kids'!A425</f>
        <v>760411</v>
      </c>
      <c r="B419" s="111" t="str">
        <f>'Orderformular Color Kids'!B425</f>
        <v>Anonymized Item 425</v>
      </c>
      <c r="C419" s="112" t="str">
        <f>'Orderformular Color Kids'!C425</f>
        <v>Anonymized 2159 Seagrass</v>
      </c>
      <c r="D419" s="112" t="str">
        <f>'Orderformular Color Kids'!D425</f>
        <v>Shoes 32-42</v>
      </c>
      <c r="E419" s="97">
        <f>'Orderformular Color Kids'!E425</f>
        <v>0</v>
      </c>
      <c r="F419" s="97">
        <f>'Orderformular Color Kids'!F425</f>
        <v>0</v>
      </c>
      <c r="G419" s="97">
        <f>'Orderformular Color Kids'!G425</f>
        <v>0</v>
      </c>
      <c r="H419" s="97">
        <f>'Orderformular Color Kids'!H425</f>
        <v>0</v>
      </c>
      <c r="I419" s="97">
        <f>'Orderformular Color Kids'!I425</f>
        <v>0</v>
      </c>
      <c r="J419" s="97">
        <f>'Orderformular Color Kids'!J425</f>
        <v>0</v>
      </c>
      <c r="K419" s="97">
        <f>'Orderformular Color Kids'!K425</f>
        <v>0</v>
      </c>
      <c r="L419" s="97">
        <f>'Orderformular Color Kids'!L425</f>
        <v>0</v>
      </c>
      <c r="M419" s="97">
        <f>'Orderformular Color Kids'!M425</f>
        <v>0</v>
      </c>
      <c r="N419" s="97">
        <f>'Orderformular Color Kids'!N425</f>
        <v>0</v>
      </c>
      <c r="O419" s="97">
        <f>'Orderformular Color Kids'!O425</f>
        <v>0</v>
      </c>
      <c r="P419" s="97">
        <f>'Orderformular Color Kids'!P425</f>
        <v>0</v>
      </c>
      <c r="Q419" s="97">
        <f>'Orderformular Color Kids'!Q425</f>
        <v>0</v>
      </c>
      <c r="R419" s="97">
        <f>'Orderformular Color Kids'!R425</f>
        <v>0</v>
      </c>
      <c r="S419" s="97">
        <f t="shared" si="6"/>
        <v>0</v>
      </c>
      <c r="T419" s="109">
        <f>'Orderformular Color Kids'!U425</f>
        <v>49.9</v>
      </c>
    </row>
    <row r="420" spans="1:20" ht="15.75" customHeight="1" x14ac:dyDescent="0.25">
      <c r="A420" s="110">
        <f>'Orderformular Color Kids'!A426</f>
        <v>760411</v>
      </c>
      <c r="B420" s="111" t="str">
        <f>'Orderformular Color Kids'!B426</f>
        <v>Anonymized Item 426</v>
      </c>
      <c r="C420" s="112" t="str">
        <f>'Orderformular Color Kids'!C426</f>
        <v>Anonymized 6685 Violet Tulle</v>
      </c>
      <c r="D420" s="112" t="str">
        <f>'Orderformular Color Kids'!D426</f>
        <v>Shoes 20-31</v>
      </c>
      <c r="E420" s="97">
        <f>'Orderformular Color Kids'!E426</f>
        <v>0</v>
      </c>
      <c r="F420" s="97">
        <f>'Orderformular Color Kids'!F426</f>
        <v>0</v>
      </c>
      <c r="G420" s="97">
        <f>'Orderformular Color Kids'!G426</f>
        <v>0</v>
      </c>
      <c r="H420" s="97">
        <f>'Orderformular Color Kids'!H426</f>
        <v>0</v>
      </c>
      <c r="I420" s="97">
        <f>'Orderformular Color Kids'!I426</f>
        <v>0</v>
      </c>
      <c r="J420" s="97">
        <f>'Orderformular Color Kids'!J426</f>
        <v>0</v>
      </c>
      <c r="K420" s="97">
        <f>'Orderformular Color Kids'!K426</f>
        <v>0</v>
      </c>
      <c r="L420" s="97">
        <f>'Orderformular Color Kids'!L426</f>
        <v>0</v>
      </c>
      <c r="M420" s="97">
        <f>'Orderformular Color Kids'!M426</f>
        <v>0</v>
      </c>
      <c r="N420" s="97">
        <f>'Orderformular Color Kids'!N426</f>
        <v>0</v>
      </c>
      <c r="O420" s="97">
        <f>'Orderformular Color Kids'!O426</f>
        <v>0</v>
      </c>
      <c r="P420" s="97">
        <f>'Orderformular Color Kids'!P426</f>
        <v>0</v>
      </c>
      <c r="Q420" s="97">
        <f>'Orderformular Color Kids'!Q426</f>
        <v>0</v>
      </c>
      <c r="R420" s="97">
        <f>'Orderformular Color Kids'!R426</f>
        <v>0</v>
      </c>
      <c r="S420" s="97">
        <f t="shared" si="6"/>
        <v>0</v>
      </c>
      <c r="T420" s="109">
        <f>'Orderformular Color Kids'!U426</f>
        <v>49.9</v>
      </c>
    </row>
    <row r="421" spans="1:20" ht="15.75" customHeight="1" x14ac:dyDescent="0.25">
      <c r="A421" s="110">
        <f>'Orderformular Color Kids'!A427</f>
        <v>760411</v>
      </c>
      <c r="B421" s="111" t="str">
        <f>'Orderformular Color Kids'!B427</f>
        <v>Anonymized Item 427</v>
      </c>
      <c r="C421" s="112" t="str">
        <f>'Orderformular Color Kids'!C427</f>
        <v>Anonymized 6685 Violet Tulle</v>
      </c>
      <c r="D421" s="112" t="str">
        <f>'Orderformular Color Kids'!D427</f>
        <v>Shoes 32-42</v>
      </c>
      <c r="E421" s="97">
        <f>'Orderformular Color Kids'!E427</f>
        <v>0</v>
      </c>
      <c r="F421" s="97">
        <f>'Orderformular Color Kids'!F427</f>
        <v>0</v>
      </c>
      <c r="G421" s="97">
        <f>'Orderformular Color Kids'!G427</f>
        <v>0</v>
      </c>
      <c r="H421" s="97">
        <f>'Orderformular Color Kids'!H427</f>
        <v>0</v>
      </c>
      <c r="I421" s="97">
        <f>'Orderformular Color Kids'!I427</f>
        <v>0</v>
      </c>
      <c r="J421" s="97">
        <f>'Orderformular Color Kids'!J427</f>
        <v>0</v>
      </c>
      <c r="K421" s="97">
        <f>'Orderformular Color Kids'!K427</f>
        <v>0</v>
      </c>
      <c r="L421" s="97">
        <f>'Orderformular Color Kids'!L427</f>
        <v>0</v>
      </c>
      <c r="M421" s="97">
        <f>'Orderformular Color Kids'!M427</f>
        <v>0</v>
      </c>
      <c r="N421" s="97">
        <f>'Orderformular Color Kids'!N427</f>
        <v>0</v>
      </c>
      <c r="O421" s="97">
        <f>'Orderformular Color Kids'!O427</f>
        <v>0</v>
      </c>
      <c r="P421" s="97">
        <f>'Orderformular Color Kids'!P427</f>
        <v>0</v>
      </c>
      <c r="Q421" s="97">
        <f>'Orderformular Color Kids'!Q427</f>
        <v>0</v>
      </c>
      <c r="R421" s="97">
        <f>'Orderformular Color Kids'!R427</f>
        <v>0</v>
      </c>
      <c r="S421" s="97">
        <f t="shared" si="6"/>
        <v>0</v>
      </c>
      <c r="T421" s="109">
        <f>'Orderformular Color Kids'!U427</f>
        <v>49.9</v>
      </c>
    </row>
    <row r="422" spans="1:20" ht="15.75" customHeight="1" x14ac:dyDescent="0.25">
      <c r="A422" s="110">
        <f>'Orderformular Color Kids'!A428</f>
        <v>760411</v>
      </c>
      <c r="B422" s="111" t="str">
        <f>'Orderformular Color Kids'!B428</f>
        <v>Anonymized Item 428</v>
      </c>
      <c r="C422" s="112" t="str">
        <f>'Orderformular Color Kids'!C428</f>
        <v>Anonymized 7334 Persian Jewel</v>
      </c>
      <c r="D422" s="112" t="str">
        <f>'Orderformular Color Kids'!D428</f>
        <v>Shoes 20-31</v>
      </c>
      <c r="E422" s="97">
        <f>'Orderformular Color Kids'!E428</f>
        <v>0</v>
      </c>
      <c r="F422" s="97">
        <f>'Orderformular Color Kids'!F428</f>
        <v>0</v>
      </c>
      <c r="G422" s="97">
        <f>'Orderformular Color Kids'!G428</f>
        <v>0</v>
      </c>
      <c r="H422" s="97">
        <f>'Orderformular Color Kids'!H428</f>
        <v>0</v>
      </c>
      <c r="I422" s="97">
        <f>'Orderformular Color Kids'!I428</f>
        <v>0</v>
      </c>
      <c r="J422" s="97">
        <f>'Orderformular Color Kids'!J428</f>
        <v>0</v>
      </c>
      <c r="K422" s="97">
        <f>'Orderformular Color Kids'!K428</f>
        <v>0</v>
      </c>
      <c r="L422" s="97">
        <f>'Orderformular Color Kids'!L428</f>
        <v>0</v>
      </c>
      <c r="M422" s="97">
        <f>'Orderformular Color Kids'!M428</f>
        <v>0</v>
      </c>
      <c r="N422" s="97">
        <f>'Orderformular Color Kids'!N428</f>
        <v>0</v>
      </c>
      <c r="O422" s="97">
        <f>'Orderformular Color Kids'!O428</f>
        <v>0</v>
      </c>
      <c r="P422" s="97">
        <f>'Orderformular Color Kids'!P428</f>
        <v>0</v>
      </c>
      <c r="Q422" s="97">
        <f>'Orderformular Color Kids'!Q428</f>
        <v>0</v>
      </c>
      <c r="R422" s="97">
        <f>'Orderformular Color Kids'!R428</f>
        <v>0</v>
      </c>
      <c r="S422" s="97">
        <f t="shared" si="6"/>
        <v>0</v>
      </c>
      <c r="T422" s="109">
        <f>'Orderformular Color Kids'!U428</f>
        <v>49.9</v>
      </c>
    </row>
    <row r="423" spans="1:20" ht="15.75" customHeight="1" x14ac:dyDescent="0.25">
      <c r="A423" s="110">
        <f>'Orderformular Color Kids'!A429</f>
        <v>760411</v>
      </c>
      <c r="B423" s="111" t="str">
        <f>'Orderformular Color Kids'!B429</f>
        <v>Anonymized Item 429</v>
      </c>
      <c r="C423" s="112" t="str">
        <f>'Orderformular Color Kids'!C429</f>
        <v>Anonymized 7334 Persian Jewel</v>
      </c>
      <c r="D423" s="112" t="str">
        <f>'Orderformular Color Kids'!D429</f>
        <v>Shoes 32-42</v>
      </c>
      <c r="E423" s="97">
        <f>'Orderformular Color Kids'!E429</f>
        <v>0</v>
      </c>
      <c r="F423" s="97">
        <f>'Orderformular Color Kids'!F429</f>
        <v>0</v>
      </c>
      <c r="G423" s="97">
        <f>'Orderformular Color Kids'!G429</f>
        <v>0</v>
      </c>
      <c r="H423" s="97">
        <f>'Orderformular Color Kids'!H429</f>
        <v>0</v>
      </c>
      <c r="I423" s="97">
        <f>'Orderformular Color Kids'!I429</f>
        <v>0</v>
      </c>
      <c r="J423" s="97">
        <f>'Orderformular Color Kids'!J429</f>
        <v>0</v>
      </c>
      <c r="K423" s="97">
        <f>'Orderformular Color Kids'!K429</f>
        <v>0</v>
      </c>
      <c r="L423" s="97">
        <f>'Orderformular Color Kids'!L429</f>
        <v>0</v>
      </c>
      <c r="M423" s="97">
        <f>'Orderformular Color Kids'!M429</f>
        <v>0</v>
      </c>
      <c r="N423" s="97">
        <f>'Orderformular Color Kids'!N429</f>
        <v>0</v>
      </c>
      <c r="O423" s="97">
        <f>'Orderformular Color Kids'!O429</f>
        <v>0</v>
      </c>
      <c r="P423" s="97">
        <f>'Orderformular Color Kids'!P429</f>
        <v>0</v>
      </c>
      <c r="Q423" s="97">
        <f>'Orderformular Color Kids'!Q429</f>
        <v>0</v>
      </c>
      <c r="R423" s="97">
        <f>'Orderformular Color Kids'!R429</f>
        <v>0</v>
      </c>
      <c r="S423" s="97">
        <f t="shared" si="6"/>
        <v>0</v>
      </c>
      <c r="T423" s="109">
        <f>'Orderformular Color Kids'!U429</f>
        <v>49.9</v>
      </c>
    </row>
    <row r="424" spans="1:20" ht="15.75" customHeight="1" x14ac:dyDescent="0.25">
      <c r="A424" s="110">
        <f>'Orderformular Color Kids'!A430</f>
        <v>760411</v>
      </c>
      <c r="B424" s="111" t="str">
        <f>'Orderformular Color Kids'!B430</f>
        <v>Anonymized Item 430</v>
      </c>
      <c r="C424" s="112" t="str">
        <f>'Orderformular Color Kids'!C430</f>
        <v>Anonymized 7850 Total Eclipse</v>
      </c>
      <c r="D424" s="112" t="str">
        <f>'Orderformular Color Kids'!D430</f>
        <v>Shoes 20-31</v>
      </c>
      <c r="E424" s="97">
        <f>'Orderformular Color Kids'!E430</f>
        <v>0</v>
      </c>
      <c r="F424" s="97">
        <f>'Orderformular Color Kids'!F430</f>
        <v>0</v>
      </c>
      <c r="G424" s="97">
        <f>'Orderformular Color Kids'!G430</f>
        <v>0</v>
      </c>
      <c r="H424" s="97">
        <f>'Orderformular Color Kids'!H430</f>
        <v>0</v>
      </c>
      <c r="I424" s="97">
        <f>'Orderformular Color Kids'!I430</f>
        <v>0</v>
      </c>
      <c r="J424" s="97">
        <f>'Orderformular Color Kids'!J430</f>
        <v>0</v>
      </c>
      <c r="K424" s="97">
        <f>'Orderformular Color Kids'!K430</f>
        <v>0</v>
      </c>
      <c r="L424" s="97">
        <f>'Orderformular Color Kids'!L430</f>
        <v>0</v>
      </c>
      <c r="M424" s="97">
        <f>'Orderformular Color Kids'!M430</f>
        <v>0</v>
      </c>
      <c r="N424" s="97">
        <f>'Orderformular Color Kids'!N430</f>
        <v>0</v>
      </c>
      <c r="O424" s="97">
        <f>'Orderformular Color Kids'!O430</f>
        <v>0</v>
      </c>
      <c r="P424" s="97">
        <f>'Orderformular Color Kids'!P430</f>
        <v>0</v>
      </c>
      <c r="Q424" s="97">
        <f>'Orderformular Color Kids'!Q430</f>
        <v>0</v>
      </c>
      <c r="R424" s="97">
        <f>'Orderformular Color Kids'!R430</f>
        <v>0</v>
      </c>
      <c r="S424" s="97">
        <f t="shared" si="6"/>
        <v>0</v>
      </c>
      <c r="T424" s="109">
        <f>'Orderformular Color Kids'!U430</f>
        <v>49.9</v>
      </c>
    </row>
    <row r="425" spans="1:20" ht="15.75" customHeight="1" x14ac:dyDescent="0.25">
      <c r="A425" s="110">
        <f>'Orderformular Color Kids'!A431</f>
        <v>760411</v>
      </c>
      <c r="B425" s="111" t="str">
        <f>'Orderformular Color Kids'!B431</f>
        <v>Anonymized Item 431</v>
      </c>
      <c r="C425" s="112" t="str">
        <f>'Orderformular Color Kids'!C431</f>
        <v>Anonymized 7850 Total Eclipse</v>
      </c>
      <c r="D425" s="112" t="str">
        <f>'Orderformular Color Kids'!D431</f>
        <v>Shoes 32-42</v>
      </c>
      <c r="E425" s="97">
        <f>'Orderformular Color Kids'!E431</f>
        <v>0</v>
      </c>
      <c r="F425" s="97">
        <f>'Orderformular Color Kids'!F431</f>
        <v>0</v>
      </c>
      <c r="G425" s="97">
        <f>'Orderformular Color Kids'!G431</f>
        <v>0</v>
      </c>
      <c r="H425" s="97">
        <f>'Orderformular Color Kids'!H431</f>
        <v>0</v>
      </c>
      <c r="I425" s="97">
        <f>'Orderformular Color Kids'!I431</f>
        <v>0</v>
      </c>
      <c r="J425" s="97">
        <f>'Orderformular Color Kids'!J431</f>
        <v>0</v>
      </c>
      <c r="K425" s="97">
        <f>'Orderformular Color Kids'!K431</f>
        <v>0</v>
      </c>
      <c r="L425" s="97">
        <f>'Orderformular Color Kids'!L431</f>
        <v>0</v>
      </c>
      <c r="M425" s="97">
        <f>'Orderformular Color Kids'!M431</f>
        <v>0</v>
      </c>
      <c r="N425" s="97">
        <f>'Orderformular Color Kids'!N431</f>
        <v>0</v>
      </c>
      <c r="O425" s="97">
        <f>'Orderformular Color Kids'!O431</f>
        <v>0</v>
      </c>
      <c r="P425" s="97">
        <f>'Orderformular Color Kids'!P431</f>
        <v>0</v>
      </c>
      <c r="Q425" s="97">
        <f>'Orderformular Color Kids'!Q431</f>
        <v>0</v>
      </c>
      <c r="R425" s="97">
        <f>'Orderformular Color Kids'!R431</f>
        <v>0</v>
      </c>
      <c r="S425" s="97">
        <f t="shared" si="6"/>
        <v>0</v>
      </c>
      <c r="T425" s="109">
        <f>'Orderformular Color Kids'!U431</f>
        <v>49.9</v>
      </c>
    </row>
    <row r="426" spans="1:20" ht="15.75" customHeight="1" x14ac:dyDescent="0.25">
      <c r="A426" s="110">
        <f>'Orderformular Color Kids'!A432</f>
        <v>760414</v>
      </c>
      <c r="B426" s="111" t="str">
        <f>'Orderformular Color Kids'!B432</f>
        <v>Anonymized Item 432</v>
      </c>
      <c r="C426" s="112" t="str">
        <f>'Orderformular Color Kids'!C432</f>
        <v>Anonymized 5831 Carmine</v>
      </c>
      <c r="D426" s="112" t="str">
        <f>'Orderformular Color Kids'!D432</f>
        <v>Shoes 20-31</v>
      </c>
      <c r="E426" s="97">
        <f>'Orderformular Color Kids'!E432</f>
        <v>0</v>
      </c>
      <c r="F426" s="97">
        <f>'Orderformular Color Kids'!F432</f>
        <v>0</v>
      </c>
      <c r="G426" s="97">
        <f>'Orderformular Color Kids'!G432</f>
        <v>0</v>
      </c>
      <c r="H426" s="97">
        <f>'Orderformular Color Kids'!H432</f>
        <v>0</v>
      </c>
      <c r="I426" s="97">
        <f>'Orderformular Color Kids'!I432</f>
        <v>0</v>
      </c>
      <c r="J426" s="97">
        <f>'Orderformular Color Kids'!J432</f>
        <v>0</v>
      </c>
      <c r="K426" s="97">
        <f>'Orderformular Color Kids'!K432</f>
        <v>0</v>
      </c>
      <c r="L426" s="97">
        <f>'Orderformular Color Kids'!L432</f>
        <v>0</v>
      </c>
      <c r="M426" s="97">
        <f>'Orderformular Color Kids'!M432</f>
        <v>0</v>
      </c>
      <c r="N426" s="97">
        <f>'Orderformular Color Kids'!N432</f>
        <v>0</v>
      </c>
      <c r="O426" s="97">
        <f>'Orderformular Color Kids'!O432</f>
        <v>0</v>
      </c>
      <c r="P426" s="97">
        <f>'Orderformular Color Kids'!P432</f>
        <v>0</v>
      </c>
      <c r="Q426" s="97">
        <f>'Orderformular Color Kids'!Q432</f>
        <v>0</v>
      </c>
      <c r="R426" s="97">
        <f>'Orderformular Color Kids'!R432</f>
        <v>0</v>
      </c>
      <c r="S426" s="97">
        <f t="shared" si="6"/>
        <v>0</v>
      </c>
      <c r="T426" s="109">
        <f>'Orderformular Color Kids'!U432</f>
        <v>49.9</v>
      </c>
    </row>
    <row r="427" spans="1:20" ht="15.75" customHeight="1" x14ac:dyDescent="0.25">
      <c r="A427" s="110">
        <f>'Orderformular Color Kids'!A433</f>
        <v>760414</v>
      </c>
      <c r="B427" s="111" t="str">
        <f>'Orderformular Color Kids'!B433</f>
        <v>Anonymized Item 433</v>
      </c>
      <c r="C427" s="112" t="str">
        <f>'Orderformular Color Kids'!C433</f>
        <v>Anonymized 5831 Carmine</v>
      </c>
      <c r="D427" s="112" t="str">
        <f>'Orderformular Color Kids'!D433</f>
        <v>Shoes 32-42</v>
      </c>
      <c r="E427" s="97">
        <f>'Orderformular Color Kids'!E433</f>
        <v>0</v>
      </c>
      <c r="F427" s="97">
        <f>'Orderformular Color Kids'!F433</f>
        <v>0</v>
      </c>
      <c r="G427" s="97">
        <f>'Orderformular Color Kids'!G433</f>
        <v>0</v>
      </c>
      <c r="H427" s="97">
        <f>'Orderformular Color Kids'!H433</f>
        <v>0</v>
      </c>
      <c r="I427" s="97">
        <f>'Orderformular Color Kids'!I433</f>
        <v>0</v>
      </c>
      <c r="J427" s="97">
        <f>'Orderformular Color Kids'!J433</f>
        <v>0</v>
      </c>
      <c r="K427" s="97">
        <f>'Orderformular Color Kids'!K433</f>
        <v>0</v>
      </c>
      <c r="L427" s="97">
        <f>'Orderformular Color Kids'!L433</f>
        <v>0</v>
      </c>
      <c r="M427" s="97">
        <f>'Orderformular Color Kids'!M433</f>
        <v>0</v>
      </c>
      <c r="N427" s="97">
        <f>'Orderformular Color Kids'!N433</f>
        <v>0</v>
      </c>
      <c r="O427" s="97">
        <f>'Orderformular Color Kids'!O433</f>
        <v>0</v>
      </c>
      <c r="P427" s="97">
        <f>'Orderformular Color Kids'!P433</f>
        <v>0</v>
      </c>
      <c r="Q427" s="97">
        <f>'Orderformular Color Kids'!Q433</f>
        <v>0</v>
      </c>
      <c r="R427" s="97">
        <f>'Orderformular Color Kids'!R433</f>
        <v>0</v>
      </c>
      <c r="S427" s="97">
        <f t="shared" si="6"/>
        <v>0</v>
      </c>
      <c r="T427" s="109">
        <f>'Orderformular Color Kids'!U433</f>
        <v>49.9</v>
      </c>
    </row>
    <row r="428" spans="1:20" ht="15.75" customHeight="1" x14ac:dyDescent="0.25">
      <c r="A428" s="110">
        <f>'Orderformular Color Kids'!A434</f>
        <v>760414</v>
      </c>
      <c r="B428" s="111" t="str">
        <f>'Orderformular Color Kids'!B434</f>
        <v>Anonymized Item 434</v>
      </c>
      <c r="C428" s="112" t="str">
        <f>'Orderformular Color Kids'!C434</f>
        <v>Anonymized 6685 Violet Tulle</v>
      </c>
      <c r="D428" s="112" t="str">
        <f>'Orderformular Color Kids'!D434</f>
        <v>Shoes 20-31</v>
      </c>
      <c r="E428" s="97">
        <f>'Orderformular Color Kids'!E434</f>
        <v>0</v>
      </c>
      <c r="F428" s="97">
        <f>'Orderformular Color Kids'!F434</f>
        <v>0</v>
      </c>
      <c r="G428" s="97">
        <f>'Orderformular Color Kids'!G434</f>
        <v>0</v>
      </c>
      <c r="H428" s="97">
        <f>'Orderformular Color Kids'!H434</f>
        <v>0</v>
      </c>
      <c r="I428" s="97">
        <f>'Orderformular Color Kids'!I434</f>
        <v>0</v>
      </c>
      <c r="J428" s="97">
        <f>'Orderformular Color Kids'!J434</f>
        <v>0</v>
      </c>
      <c r="K428" s="97">
        <f>'Orderformular Color Kids'!K434</f>
        <v>0</v>
      </c>
      <c r="L428" s="97">
        <f>'Orderformular Color Kids'!L434</f>
        <v>0</v>
      </c>
      <c r="M428" s="97">
        <f>'Orderformular Color Kids'!M434</f>
        <v>0</v>
      </c>
      <c r="N428" s="97">
        <f>'Orderformular Color Kids'!N434</f>
        <v>0</v>
      </c>
      <c r="O428" s="97">
        <f>'Orderformular Color Kids'!O434</f>
        <v>0</v>
      </c>
      <c r="P428" s="97">
        <f>'Orderformular Color Kids'!P434</f>
        <v>0</v>
      </c>
      <c r="Q428" s="97">
        <f>'Orderformular Color Kids'!Q434</f>
        <v>0</v>
      </c>
      <c r="R428" s="97">
        <f>'Orderformular Color Kids'!R434</f>
        <v>0</v>
      </c>
      <c r="S428" s="97">
        <f t="shared" si="6"/>
        <v>0</v>
      </c>
      <c r="T428" s="109">
        <f>'Orderformular Color Kids'!U434</f>
        <v>49.9</v>
      </c>
    </row>
    <row r="429" spans="1:20" ht="15.75" customHeight="1" x14ac:dyDescent="0.25">
      <c r="A429" s="110">
        <f>'Orderformular Color Kids'!A435</f>
        <v>760414</v>
      </c>
      <c r="B429" s="111" t="str">
        <f>'Orderformular Color Kids'!B435</f>
        <v>Anonymized Item 435</v>
      </c>
      <c r="C429" s="112" t="str">
        <f>'Orderformular Color Kids'!C435</f>
        <v>Anonymized 6685 Violet Tulle</v>
      </c>
      <c r="D429" s="112" t="str">
        <f>'Orderformular Color Kids'!D435</f>
        <v>Shoes 32-42</v>
      </c>
      <c r="E429" s="97">
        <f>'Orderformular Color Kids'!E435</f>
        <v>0</v>
      </c>
      <c r="F429" s="97">
        <f>'Orderformular Color Kids'!F435</f>
        <v>0</v>
      </c>
      <c r="G429" s="97">
        <f>'Orderformular Color Kids'!G435</f>
        <v>0</v>
      </c>
      <c r="H429" s="97">
        <f>'Orderformular Color Kids'!H435</f>
        <v>0</v>
      </c>
      <c r="I429" s="97">
        <f>'Orderformular Color Kids'!I435</f>
        <v>0</v>
      </c>
      <c r="J429" s="97">
        <f>'Orderformular Color Kids'!J435</f>
        <v>0</v>
      </c>
      <c r="K429" s="97">
        <f>'Orderformular Color Kids'!K435</f>
        <v>0</v>
      </c>
      <c r="L429" s="97">
        <f>'Orderformular Color Kids'!L435</f>
        <v>0</v>
      </c>
      <c r="M429" s="97">
        <f>'Orderformular Color Kids'!M435</f>
        <v>0</v>
      </c>
      <c r="N429" s="97">
        <f>'Orderformular Color Kids'!N435</f>
        <v>0</v>
      </c>
      <c r="O429" s="97">
        <f>'Orderformular Color Kids'!O435</f>
        <v>0</v>
      </c>
      <c r="P429" s="97">
        <f>'Orderformular Color Kids'!P435</f>
        <v>0</v>
      </c>
      <c r="Q429" s="97">
        <f>'Orderformular Color Kids'!Q435</f>
        <v>0</v>
      </c>
      <c r="R429" s="97">
        <f>'Orderformular Color Kids'!R435</f>
        <v>0</v>
      </c>
      <c r="S429" s="97">
        <f t="shared" si="6"/>
        <v>0</v>
      </c>
      <c r="T429" s="109">
        <f>'Orderformular Color Kids'!U435</f>
        <v>49.9</v>
      </c>
    </row>
    <row r="430" spans="1:20" ht="15.75" customHeight="1" x14ac:dyDescent="0.25">
      <c r="A430" s="110">
        <f>'Orderformular Color Kids'!A436</f>
        <v>760414</v>
      </c>
      <c r="B430" s="111" t="str">
        <f>'Orderformular Color Kids'!B436</f>
        <v>Anonymized Item 436</v>
      </c>
      <c r="C430" s="112" t="str">
        <f>'Orderformular Color Kids'!C436</f>
        <v>Anonymized 7880 Surf The Web</v>
      </c>
      <c r="D430" s="112" t="str">
        <f>'Orderformular Color Kids'!D436</f>
        <v>Shoes 20-31</v>
      </c>
      <c r="E430" s="97">
        <f>'Orderformular Color Kids'!E436</f>
        <v>0</v>
      </c>
      <c r="F430" s="97">
        <f>'Orderformular Color Kids'!F436</f>
        <v>0</v>
      </c>
      <c r="G430" s="97">
        <f>'Orderformular Color Kids'!G436</f>
        <v>0</v>
      </c>
      <c r="H430" s="97">
        <f>'Orderformular Color Kids'!H436</f>
        <v>0</v>
      </c>
      <c r="I430" s="97">
        <f>'Orderformular Color Kids'!I436</f>
        <v>0</v>
      </c>
      <c r="J430" s="97">
        <f>'Orderformular Color Kids'!J436</f>
        <v>0</v>
      </c>
      <c r="K430" s="97">
        <f>'Orderformular Color Kids'!K436</f>
        <v>0</v>
      </c>
      <c r="L430" s="97">
        <f>'Orderformular Color Kids'!L436</f>
        <v>0</v>
      </c>
      <c r="M430" s="97">
        <f>'Orderformular Color Kids'!M436</f>
        <v>0</v>
      </c>
      <c r="N430" s="97">
        <f>'Orderformular Color Kids'!N436</f>
        <v>0</v>
      </c>
      <c r="O430" s="97">
        <f>'Orderformular Color Kids'!O436</f>
        <v>0</v>
      </c>
      <c r="P430" s="97">
        <f>'Orderformular Color Kids'!P436</f>
        <v>0</v>
      </c>
      <c r="Q430" s="97">
        <f>'Orderformular Color Kids'!Q436</f>
        <v>0</v>
      </c>
      <c r="R430" s="97">
        <f>'Orderformular Color Kids'!R436</f>
        <v>0</v>
      </c>
      <c r="S430" s="97">
        <f t="shared" si="6"/>
        <v>0</v>
      </c>
      <c r="T430" s="109">
        <f>'Orderformular Color Kids'!U436</f>
        <v>49.9</v>
      </c>
    </row>
    <row r="431" spans="1:20" ht="15.75" customHeight="1" x14ac:dyDescent="0.25">
      <c r="A431" s="110">
        <f>'Orderformular Color Kids'!A437</f>
        <v>760414</v>
      </c>
      <c r="B431" s="111" t="str">
        <f>'Orderformular Color Kids'!B437</f>
        <v>Anonymized Item 437</v>
      </c>
      <c r="C431" s="112" t="str">
        <f>'Orderformular Color Kids'!C437</f>
        <v>Anonymized 7880 Surf The Web</v>
      </c>
      <c r="D431" s="112" t="str">
        <f>'Orderformular Color Kids'!D437</f>
        <v>Shoes 32-42</v>
      </c>
      <c r="E431" s="97">
        <f>'Orderformular Color Kids'!E437</f>
        <v>0</v>
      </c>
      <c r="F431" s="97">
        <f>'Orderformular Color Kids'!F437</f>
        <v>0</v>
      </c>
      <c r="G431" s="97">
        <f>'Orderformular Color Kids'!G437</f>
        <v>0</v>
      </c>
      <c r="H431" s="97">
        <f>'Orderformular Color Kids'!H437</f>
        <v>0</v>
      </c>
      <c r="I431" s="97">
        <f>'Orderformular Color Kids'!I437</f>
        <v>0</v>
      </c>
      <c r="J431" s="97">
        <f>'Orderformular Color Kids'!J437</f>
        <v>0</v>
      </c>
      <c r="K431" s="97">
        <f>'Orderformular Color Kids'!K437</f>
        <v>0</v>
      </c>
      <c r="L431" s="97">
        <f>'Orderformular Color Kids'!L437</f>
        <v>0</v>
      </c>
      <c r="M431" s="97">
        <f>'Orderformular Color Kids'!M437</f>
        <v>0</v>
      </c>
      <c r="N431" s="97">
        <f>'Orderformular Color Kids'!N437</f>
        <v>0</v>
      </c>
      <c r="O431" s="97">
        <f>'Orderformular Color Kids'!O437</f>
        <v>0</v>
      </c>
      <c r="P431" s="97">
        <f>'Orderformular Color Kids'!P437</f>
        <v>0</v>
      </c>
      <c r="Q431" s="97">
        <f>'Orderformular Color Kids'!Q437</f>
        <v>0</v>
      </c>
      <c r="R431" s="97">
        <f>'Orderformular Color Kids'!R437</f>
        <v>0</v>
      </c>
      <c r="S431" s="97">
        <f t="shared" si="6"/>
        <v>0</v>
      </c>
      <c r="T431" s="109">
        <f>'Orderformular Color Kids'!U437</f>
        <v>49.9</v>
      </c>
    </row>
    <row r="432" spans="1:20" ht="15.75" customHeight="1" x14ac:dyDescent="0.25">
      <c r="A432" s="110">
        <f>'Orderformular Color Kids'!A438</f>
        <v>760414</v>
      </c>
      <c r="B432" s="111" t="str">
        <f>'Orderformular Color Kids'!B438</f>
        <v>Anonymized Item 438</v>
      </c>
      <c r="C432" s="112" t="str">
        <f>'Orderformular Color Kids'!C438</f>
        <v xml:space="preserve">Anonymized 9153 Kalamata </v>
      </c>
      <c r="D432" s="112" t="str">
        <f>'Orderformular Color Kids'!D438</f>
        <v>Shoes 20-31</v>
      </c>
      <c r="E432" s="97">
        <f>'Orderformular Color Kids'!E438</f>
        <v>0</v>
      </c>
      <c r="F432" s="97">
        <f>'Orderformular Color Kids'!F438</f>
        <v>0</v>
      </c>
      <c r="G432" s="97">
        <f>'Orderformular Color Kids'!G438</f>
        <v>0</v>
      </c>
      <c r="H432" s="97">
        <f>'Orderformular Color Kids'!H438</f>
        <v>0</v>
      </c>
      <c r="I432" s="97">
        <f>'Orderformular Color Kids'!I438</f>
        <v>0</v>
      </c>
      <c r="J432" s="97">
        <f>'Orderformular Color Kids'!J438</f>
        <v>0</v>
      </c>
      <c r="K432" s="97">
        <f>'Orderformular Color Kids'!K438</f>
        <v>0</v>
      </c>
      <c r="L432" s="97">
        <f>'Orderformular Color Kids'!L438</f>
        <v>0</v>
      </c>
      <c r="M432" s="97">
        <f>'Orderformular Color Kids'!M438</f>
        <v>0</v>
      </c>
      <c r="N432" s="97">
        <f>'Orderformular Color Kids'!N438</f>
        <v>0</v>
      </c>
      <c r="O432" s="97">
        <f>'Orderformular Color Kids'!O438</f>
        <v>0</v>
      </c>
      <c r="P432" s="97">
        <f>'Orderformular Color Kids'!P438</f>
        <v>0</v>
      </c>
      <c r="Q432" s="97">
        <f>'Orderformular Color Kids'!Q438</f>
        <v>0</v>
      </c>
      <c r="R432" s="97">
        <f>'Orderformular Color Kids'!R438</f>
        <v>0</v>
      </c>
      <c r="S432" s="97">
        <f t="shared" si="6"/>
        <v>0</v>
      </c>
      <c r="T432" s="109">
        <f>'Orderformular Color Kids'!U438</f>
        <v>49.9</v>
      </c>
    </row>
    <row r="433" spans="1:20" ht="15.75" customHeight="1" x14ac:dyDescent="0.25">
      <c r="A433" s="110">
        <f>'Orderformular Color Kids'!A439</f>
        <v>760414</v>
      </c>
      <c r="B433" s="111" t="str">
        <f>'Orderformular Color Kids'!B439</f>
        <v>Anonymized Item 439</v>
      </c>
      <c r="C433" s="112" t="str">
        <f>'Orderformular Color Kids'!C439</f>
        <v xml:space="preserve">Anonymized 9153 Kalamata </v>
      </c>
      <c r="D433" s="112" t="str">
        <f>'Orderformular Color Kids'!D439</f>
        <v>Shoes 32-42</v>
      </c>
      <c r="E433" s="97">
        <f>'Orderformular Color Kids'!E439</f>
        <v>0</v>
      </c>
      <c r="F433" s="97">
        <f>'Orderformular Color Kids'!F439</f>
        <v>0</v>
      </c>
      <c r="G433" s="97">
        <f>'Orderformular Color Kids'!G439</f>
        <v>0</v>
      </c>
      <c r="H433" s="97">
        <f>'Orderformular Color Kids'!H439</f>
        <v>0</v>
      </c>
      <c r="I433" s="97">
        <f>'Orderformular Color Kids'!I439</f>
        <v>0</v>
      </c>
      <c r="J433" s="97">
        <f>'Orderformular Color Kids'!J439</f>
        <v>0</v>
      </c>
      <c r="K433" s="97">
        <f>'Orderformular Color Kids'!K439</f>
        <v>0</v>
      </c>
      <c r="L433" s="97">
        <f>'Orderformular Color Kids'!L439</f>
        <v>0</v>
      </c>
      <c r="M433" s="97">
        <f>'Orderformular Color Kids'!M439</f>
        <v>0</v>
      </c>
      <c r="N433" s="97">
        <f>'Orderformular Color Kids'!N439</f>
        <v>0</v>
      </c>
      <c r="O433" s="97">
        <f>'Orderformular Color Kids'!O439</f>
        <v>0</v>
      </c>
      <c r="P433" s="97">
        <f>'Orderformular Color Kids'!P439</f>
        <v>0</v>
      </c>
      <c r="Q433" s="97">
        <f>'Orderformular Color Kids'!Q439</f>
        <v>0</v>
      </c>
      <c r="R433" s="97">
        <f>'Orderformular Color Kids'!R439</f>
        <v>0</v>
      </c>
      <c r="S433" s="97">
        <f t="shared" si="6"/>
        <v>0</v>
      </c>
      <c r="T433" s="109">
        <f>'Orderformular Color Kids'!U439</f>
        <v>49.9</v>
      </c>
    </row>
    <row r="434" spans="1:20" ht="15.75" customHeight="1" x14ac:dyDescent="0.25">
      <c r="A434" s="110">
        <f>'Orderformular Color Kids'!A440</f>
        <v>760416</v>
      </c>
      <c r="B434" s="111" t="str">
        <f>'Orderformular Color Kids'!B440</f>
        <v>Anonymized Item 440</v>
      </c>
      <c r="C434" s="112" t="str">
        <f>'Orderformular Color Kids'!C440</f>
        <v>Anonymized 6685 Violet Tulle</v>
      </c>
      <c r="D434" s="112" t="str">
        <f>'Orderformular Color Kids'!D440</f>
        <v>Shoes 20-31</v>
      </c>
      <c r="E434" s="97">
        <f>'Orderformular Color Kids'!E440</f>
        <v>0</v>
      </c>
      <c r="F434" s="97">
        <f>'Orderformular Color Kids'!F440</f>
        <v>0</v>
      </c>
      <c r="G434" s="97">
        <f>'Orderformular Color Kids'!G440</f>
        <v>0</v>
      </c>
      <c r="H434" s="97">
        <f>'Orderformular Color Kids'!H440</f>
        <v>0</v>
      </c>
      <c r="I434" s="97">
        <f>'Orderformular Color Kids'!I440</f>
        <v>0</v>
      </c>
      <c r="J434" s="97">
        <f>'Orderformular Color Kids'!J440</f>
        <v>0</v>
      </c>
      <c r="K434" s="97">
        <f>'Orderformular Color Kids'!K440</f>
        <v>0</v>
      </c>
      <c r="L434" s="97">
        <f>'Orderformular Color Kids'!L440</f>
        <v>0</v>
      </c>
      <c r="M434" s="97">
        <f>'Orderformular Color Kids'!M440</f>
        <v>0</v>
      </c>
      <c r="N434" s="97">
        <f>'Orderformular Color Kids'!N440</f>
        <v>0</v>
      </c>
      <c r="O434" s="97">
        <f>'Orderformular Color Kids'!O440</f>
        <v>0</v>
      </c>
      <c r="P434" s="97">
        <f>'Orderformular Color Kids'!P440</f>
        <v>0</v>
      </c>
      <c r="Q434" s="97">
        <f>'Orderformular Color Kids'!Q440</f>
        <v>0</v>
      </c>
      <c r="R434" s="97">
        <f>'Orderformular Color Kids'!R440</f>
        <v>0</v>
      </c>
      <c r="S434" s="97">
        <f t="shared" si="6"/>
        <v>0</v>
      </c>
      <c r="T434" s="109">
        <f>'Orderformular Color Kids'!U440</f>
        <v>45.9</v>
      </c>
    </row>
    <row r="435" spans="1:20" ht="15.75" customHeight="1" x14ac:dyDescent="0.25">
      <c r="A435" s="110">
        <f>'Orderformular Color Kids'!A441</f>
        <v>760416</v>
      </c>
      <c r="B435" s="111" t="str">
        <f>'Orderformular Color Kids'!B441</f>
        <v>Anonymized Item 441</v>
      </c>
      <c r="C435" s="112" t="str">
        <f>'Orderformular Color Kids'!C441</f>
        <v>Anonymized 6685 Violet Tulle</v>
      </c>
      <c r="D435" s="112" t="str">
        <f>'Orderformular Color Kids'!D441</f>
        <v>Shoes 32-42</v>
      </c>
      <c r="E435" s="97">
        <f>'Orderformular Color Kids'!E441</f>
        <v>0</v>
      </c>
      <c r="F435" s="97">
        <f>'Orderformular Color Kids'!F441</f>
        <v>0</v>
      </c>
      <c r="G435" s="97">
        <f>'Orderformular Color Kids'!G441</f>
        <v>0</v>
      </c>
      <c r="H435" s="97">
        <f>'Orderformular Color Kids'!H441</f>
        <v>0</v>
      </c>
      <c r="I435" s="97">
        <f>'Orderformular Color Kids'!I441</f>
        <v>0</v>
      </c>
      <c r="J435" s="97">
        <f>'Orderformular Color Kids'!J441</f>
        <v>0</v>
      </c>
      <c r="K435" s="97">
        <f>'Orderformular Color Kids'!K441</f>
        <v>0</v>
      </c>
      <c r="L435" s="97">
        <f>'Orderformular Color Kids'!L441</f>
        <v>0</v>
      </c>
      <c r="M435" s="97">
        <f>'Orderformular Color Kids'!M441</f>
        <v>0</v>
      </c>
      <c r="N435" s="97">
        <f>'Orderformular Color Kids'!N441</f>
        <v>0</v>
      </c>
      <c r="O435" s="97">
        <f>'Orderformular Color Kids'!O441</f>
        <v>0</v>
      </c>
      <c r="P435" s="97">
        <f>'Orderformular Color Kids'!P441</f>
        <v>0</v>
      </c>
      <c r="Q435" s="97">
        <f>'Orderformular Color Kids'!Q441</f>
        <v>0</v>
      </c>
      <c r="R435" s="97">
        <f>'Orderformular Color Kids'!R441</f>
        <v>0</v>
      </c>
      <c r="S435" s="97">
        <f t="shared" si="6"/>
        <v>0</v>
      </c>
      <c r="T435" s="109">
        <f>'Orderformular Color Kids'!U441</f>
        <v>45.9</v>
      </c>
    </row>
    <row r="436" spans="1:20" ht="15.75" customHeight="1" x14ac:dyDescent="0.25">
      <c r="A436" s="110">
        <f>'Orderformular Color Kids'!A442</f>
        <v>760416</v>
      </c>
      <c r="B436" s="111" t="str">
        <f>'Orderformular Color Kids'!B442</f>
        <v>Anonymized Item 442</v>
      </c>
      <c r="C436" s="112" t="str">
        <f>'Orderformular Color Kids'!C442</f>
        <v>Anonymized 7850 Total Eclipse</v>
      </c>
      <c r="D436" s="112" t="str">
        <f>'Orderformular Color Kids'!D442</f>
        <v>Shoes 20-31</v>
      </c>
      <c r="E436" s="97">
        <f>'Orderformular Color Kids'!E442</f>
        <v>0</v>
      </c>
      <c r="F436" s="97">
        <f>'Orderformular Color Kids'!F442</f>
        <v>0</v>
      </c>
      <c r="G436" s="97">
        <f>'Orderformular Color Kids'!G442</f>
        <v>0</v>
      </c>
      <c r="H436" s="97">
        <f>'Orderformular Color Kids'!H442</f>
        <v>0</v>
      </c>
      <c r="I436" s="97">
        <f>'Orderformular Color Kids'!I442</f>
        <v>0</v>
      </c>
      <c r="J436" s="97">
        <f>'Orderformular Color Kids'!J442</f>
        <v>0</v>
      </c>
      <c r="K436" s="97">
        <f>'Orderformular Color Kids'!K442</f>
        <v>0</v>
      </c>
      <c r="L436" s="97">
        <f>'Orderformular Color Kids'!L442</f>
        <v>0</v>
      </c>
      <c r="M436" s="97">
        <f>'Orderformular Color Kids'!M442</f>
        <v>0</v>
      </c>
      <c r="N436" s="97">
        <f>'Orderformular Color Kids'!N442</f>
        <v>0</v>
      </c>
      <c r="O436" s="97">
        <f>'Orderformular Color Kids'!O442</f>
        <v>0</v>
      </c>
      <c r="P436" s="97">
        <f>'Orderformular Color Kids'!P442</f>
        <v>0</v>
      </c>
      <c r="Q436" s="97">
        <f>'Orderformular Color Kids'!Q442</f>
        <v>0</v>
      </c>
      <c r="R436" s="97">
        <f>'Orderformular Color Kids'!R442</f>
        <v>0</v>
      </c>
      <c r="S436" s="97">
        <f t="shared" si="6"/>
        <v>0</v>
      </c>
      <c r="T436" s="109">
        <f>'Orderformular Color Kids'!U442</f>
        <v>45.9</v>
      </c>
    </row>
    <row r="437" spans="1:20" ht="15.75" customHeight="1" x14ac:dyDescent="0.25">
      <c r="A437" s="110">
        <f>'Orderformular Color Kids'!A443</f>
        <v>760416</v>
      </c>
      <c r="B437" s="111" t="str">
        <f>'Orderformular Color Kids'!B443</f>
        <v>Anonymized Item 443</v>
      </c>
      <c r="C437" s="112" t="str">
        <f>'Orderformular Color Kids'!C443</f>
        <v>Anonymized 7850 Total Eclipse</v>
      </c>
      <c r="D437" s="112" t="str">
        <f>'Orderformular Color Kids'!D443</f>
        <v>Shoes 32-42</v>
      </c>
      <c r="E437" s="97">
        <f>'Orderformular Color Kids'!E443</f>
        <v>0</v>
      </c>
      <c r="F437" s="97">
        <f>'Orderformular Color Kids'!F443</f>
        <v>0</v>
      </c>
      <c r="G437" s="97">
        <f>'Orderformular Color Kids'!G443</f>
        <v>0</v>
      </c>
      <c r="H437" s="97">
        <f>'Orderformular Color Kids'!H443</f>
        <v>0</v>
      </c>
      <c r="I437" s="97">
        <f>'Orderformular Color Kids'!I443</f>
        <v>0</v>
      </c>
      <c r="J437" s="97">
        <f>'Orderformular Color Kids'!J443</f>
        <v>0</v>
      </c>
      <c r="K437" s="97">
        <f>'Orderformular Color Kids'!K443</f>
        <v>0</v>
      </c>
      <c r="L437" s="97">
        <f>'Orderformular Color Kids'!L443</f>
        <v>0</v>
      </c>
      <c r="M437" s="97">
        <f>'Orderformular Color Kids'!M443</f>
        <v>0</v>
      </c>
      <c r="N437" s="97">
        <f>'Orderformular Color Kids'!N443</f>
        <v>0</v>
      </c>
      <c r="O437" s="97">
        <f>'Orderformular Color Kids'!O443</f>
        <v>0</v>
      </c>
      <c r="P437" s="97">
        <f>'Orderformular Color Kids'!P443</f>
        <v>0</v>
      </c>
      <c r="Q437" s="97">
        <f>'Orderformular Color Kids'!Q443</f>
        <v>0</v>
      </c>
      <c r="R437" s="97">
        <f>'Orderformular Color Kids'!R443</f>
        <v>0</v>
      </c>
      <c r="S437" s="97">
        <f t="shared" si="6"/>
        <v>0</v>
      </c>
      <c r="T437" s="109">
        <f>'Orderformular Color Kids'!U443</f>
        <v>45.9</v>
      </c>
    </row>
    <row r="438" spans="1:20" ht="15.75" customHeight="1" x14ac:dyDescent="0.25">
      <c r="A438" s="110">
        <f>'Orderformular Color Kids'!A444</f>
        <v>760417</v>
      </c>
      <c r="B438" s="111" t="str">
        <f>'Orderformular Color Kids'!B444</f>
        <v>Anonymized Item 444</v>
      </c>
      <c r="C438" s="112" t="str">
        <f>'Orderformular Color Kids'!C444</f>
        <v>Anonymized 5021 Pale Lilac</v>
      </c>
      <c r="D438" s="112" t="str">
        <f>'Orderformular Color Kids'!D444</f>
        <v>Shoes 20-31</v>
      </c>
      <c r="E438" s="97">
        <f>'Orderformular Color Kids'!E444</f>
        <v>0</v>
      </c>
      <c r="F438" s="97">
        <f>'Orderformular Color Kids'!F444</f>
        <v>0</v>
      </c>
      <c r="G438" s="97">
        <f>'Orderformular Color Kids'!G444</f>
        <v>0</v>
      </c>
      <c r="H438" s="97">
        <f>'Orderformular Color Kids'!H444</f>
        <v>0</v>
      </c>
      <c r="I438" s="97">
        <f>'Orderformular Color Kids'!I444</f>
        <v>0</v>
      </c>
      <c r="J438" s="97">
        <f>'Orderformular Color Kids'!J444</f>
        <v>0</v>
      </c>
      <c r="K438" s="97">
        <f>'Orderformular Color Kids'!K444</f>
        <v>0</v>
      </c>
      <c r="L438" s="97">
        <f>'Orderformular Color Kids'!L444</f>
        <v>0</v>
      </c>
      <c r="M438" s="97">
        <f>'Orderformular Color Kids'!M444</f>
        <v>0</v>
      </c>
      <c r="N438" s="97">
        <f>'Orderformular Color Kids'!N444</f>
        <v>0</v>
      </c>
      <c r="O438" s="97">
        <f>'Orderformular Color Kids'!O444</f>
        <v>0</v>
      </c>
      <c r="P438" s="97">
        <f>'Orderformular Color Kids'!P444</f>
        <v>0</v>
      </c>
      <c r="Q438" s="97">
        <f>'Orderformular Color Kids'!Q444</f>
        <v>0</v>
      </c>
      <c r="R438" s="97">
        <f>'Orderformular Color Kids'!R444</f>
        <v>0</v>
      </c>
      <c r="S438" s="97">
        <f t="shared" si="6"/>
        <v>0</v>
      </c>
      <c r="T438" s="109">
        <f>'Orderformular Color Kids'!U444</f>
        <v>49.9</v>
      </c>
    </row>
    <row r="439" spans="1:20" ht="15.75" customHeight="1" x14ac:dyDescent="0.25">
      <c r="A439" s="110">
        <f>'Orderformular Color Kids'!A445</f>
        <v>760417</v>
      </c>
      <c r="B439" s="111" t="str">
        <f>'Orderformular Color Kids'!B445</f>
        <v>Anonymized Item 445</v>
      </c>
      <c r="C439" s="112" t="str">
        <f>'Orderformular Color Kids'!C445</f>
        <v>Anonymized 5021 Pale Lilac</v>
      </c>
      <c r="D439" s="112" t="str">
        <f>'Orderformular Color Kids'!D445</f>
        <v>Shoes 32-42</v>
      </c>
      <c r="E439" s="97">
        <f>'Orderformular Color Kids'!E445</f>
        <v>0</v>
      </c>
      <c r="F439" s="97">
        <f>'Orderformular Color Kids'!F445</f>
        <v>0</v>
      </c>
      <c r="G439" s="97">
        <f>'Orderformular Color Kids'!G445</f>
        <v>0</v>
      </c>
      <c r="H439" s="97">
        <f>'Orderformular Color Kids'!H445</f>
        <v>0</v>
      </c>
      <c r="I439" s="97">
        <f>'Orderformular Color Kids'!I445</f>
        <v>0</v>
      </c>
      <c r="J439" s="97">
        <f>'Orderformular Color Kids'!J445</f>
        <v>0</v>
      </c>
      <c r="K439" s="97">
        <f>'Orderformular Color Kids'!K445</f>
        <v>0</v>
      </c>
      <c r="L439" s="97">
        <f>'Orderformular Color Kids'!L445</f>
        <v>0</v>
      </c>
      <c r="M439" s="97">
        <f>'Orderformular Color Kids'!M445</f>
        <v>0</v>
      </c>
      <c r="N439" s="97">
        <f>'Orderformular Color Kids'!N445</f>
        <v>0</v>
      </c>
      <c r="O439" s="97">
        <f>'Orderformular Color Kids'!O445</f>
        <v>0</v>
      </c>
      <c r="P439" s="97">
        <f>'Orderformular Color Kids'!P445</f>
        <v>0</v>
      </c>
      <c r="Q439" s="97">
        <f>'Orderformular Color Kids'!Q445</f>
        <v>0</v>
      </c>
      <c r="R439" s="97">
        <f>'Orderformular Color Kids'!R445</f>
        <v>0</v>
      </c>
      <c r="S439" s="97">
        <f t="shared" si="6"/>
        <v>0</v>
      </c>
      <c r="T439" s="109">
        <f>'Orderformular Color Kids'!U445</f>
        <v>49.9</v>
      </c>
    </row>
    <row r="440" spans="1:20" ht="15.75" customHeight="1" x14ac:dyDescent="0.25">
      <c r="A440" s="110">
        <f>'Orderformular Color Kids'!A446</f>
        <v>760417</v>
      </c>
      <c r="B440" s="111" t="str">
        <f>'Orderformular Color Kids'!B446</f>
        <v>Anonymized Item 446</v>
      </c>
      <c r="C440" s="112" t="str">
        <f>'Orderformular Color Kids'!C446</f>
        <v>Anonymized 7334 Persian Jewel</v>
      </c>
      <c r="D440" s="112" t="str">
        <f>'Orderformular Color Kids'!D446</f>
        <v>Shoes 20-31</v>
      </c>
      <c r="E440" s="97">
        <f>'Orderformular Color Kids'!E446</f>
        <v>0</v>
      </c>
      <c r="F440" s="97">
        <f>'Orderformular Color Kids'!F446</f>
        <v>0</v>
      </c>
      <c r="G440" s="97">
        <f>'Orderformular Color Kids'!G446</f>
        <v>0</v>
      </c>
      <c r="H440" s="97">
        <f>'Orderformular Color Kids'!H446</f>
        <v>0</v>
      </c>
      <c r="I440" s="97">
        <f>'Orderformular Color Kids'!I446</f>
        <v>0</v>
      </c>
      <c r="J440" s="97">
        <f>'Orderformular Color Kids'!J446</f>
        <v>0</v>
      </c>
      <c r="K440" s="97">
        <f>'Orderformular Color Kids'!K446</f>
        <v>0</v>
      </c>
      <c r="L440" s="97">
        <f>'Orderformular Color Kids'!L446</f>
        <v>0</v>
      </c>
      <c r="M440" s="97">
        <f>'Orderformular Color Kids'!M446</f>
        <v>0</v>
      </c>
      <c r="N440" s="97">
        <f>'Orderformular Color Kids'!N446</f>
        <v>0</v>
      </c>
      <c r="O440" s="97">
        <f>'Orderformular Color Kids'!O446</f>
        <v>0</v>
      </c>
      <c r="P440" s="97">
        <f>'Orderformular Color Kids'!P446</f>
        <v>0</v>
      </c>
      <c r="Q440" s="97">
        <f>'Orderformular Color Kids'!Q446</f>
        <v>0</v>
      </c>
      <c r="R440" s="97">
        <f>'Orderformular Color Kids'!R446</f>
        <v>0</v>
      </c>
      <c r="S440" s="97">
        <f t="shared" si="6"/>
        <v>0</v>
      </c>
      <c r="T440" s="109">
        <f>'Orderformular Color Kids'!U446</f>
        <v>49.9</v>
      </c>
    </row>
    <row r="441" spans="1:20" ht="15.75" customHeight="1" x14ac:dyDescent="0.25">
      <c r="A441" s="110">
        <f>'Orderformular Color Kids'!A447</f>
        <v>760417</v>
      </c>
      <c r="B441" s="111" t="str">
        <f>'Orderformular Color Kids'!B447</f>
        <v>Anonymized Item 447</v>
      </c>
      <c r="C441" s="112" t="str">
        <f>'Orderformular Color Kids'!C447</f>
        <v>Anonymized 7334 Persian Jewel</v>
      </c>
      <c r="D441" s="112" t="str">
        <f>'Orderformular Color Kids'!D447</f>
        <v>Shoes 32-42</v>
      </c>
      <c r="E441" s="97">
        <f>'Orderformular Color Kids'!E447</f>
        <v>0</v>
      </c>
      <c r="F441" s="97">
        <f>'Orderformular Color Kids'!F447</f>
        <v>0</v>
      </c>
      <c r="G441" s="97">
        <f>'Orderformular Color Kids'!G447</f>
        <v>0</v>
      </c>
      <c r="H441" s="97">
        <f>'Orderformular Color Kids'!H447</f>
        <v>0</v>
      </c>
      <c r="I441" s="97">
        <f>'Orderformular Color Kids'!I447</f>
        <v>0</v>
      </c>
      <c r="J441" s="97">
        <f>'Orderformular Color Kids'!J447</f>
        <v>0</v>
      </c>
      <c r="K441" s="97">
        <f>'Orderformular Color Kids'!K447</f>
        <v>0</v>
      </c>
      <c r="L441" s="97">
        <f>'Orderformular Color Kids'!L447</f>
        <v>0</v>
      </c>
      <c r="M441" s="97">
        <f>'Orderformular Color Kids'!M447</f>
        <v>0</v>
      </c>
      <c r="N441" s="97">
        <f>'Orderformular Color Kids'!N447</f>
        <v>0</v>
      </c>
      <c r="O441" s="97">
        <f>'Orderformular Color Kids'!O447</f>
        <v>0</v>
      </c>
      <c r="P441" s="97">
        <f>'Orderformular Color Kids'!P447</f>
        <v>0</v>
      </c>
      <c r="Q441" s="97">
        <f>'Orderformular Color Kids'!Q447</f>
        <v>0</v>
      </c>
      <c r="R441" s="97">
        <f>'Orderformular Color Kids'!R447</f>
        <v>0</v>
      </c>
      <c r="S441" s="97">
        <f t="shared" si="6"/>
        <v>0</v>
      </c>
      <c r="T441" s="109">
        <f>'Orderformular Color Kids'!U447</f>
        <v>49.9</v>
      </c>
    </row>
    <row r="442" spans="1:20" ht="15.75" customHeight="1" x14ac:dyDescent="0.25">
      <c r="A442" s="110">
        <f>'Orderformular Color Kids'!A448</f>
        <v>760417</v>
      </c>
      <c r="B442" s="111" t="str">
        <f>'Orderformular Color Kids'!B448</f>
        <v>Anonymized Item 448</v>
      </c>
      <c r="C442" s="112" t="str">
        <f>'Orderformular Color Kids'!C448</f>
        <v>Anonymized 7880 Surf The Web</v>
      </c>
      <c r="D442" s="112" t="str">
        <f>'Orderformular Color Kids'!D448</f>
        <v>Shoes 20-31</v>
      </c>
      <c r="E442" s="97">
        <f>'Orderformular Color Kids'!E448</f>
        <v>0</v>
      </c>
      <c r="F442" s="97">
        <f>'Orderformular Color Kids'!F448</f>
        <v>0</v>
      </c>
      <c r="G442" s="97">
        <f>'Orderformular Color Kids'!G448</f>
        <v>0</v>
      </c>
      <c r="H442" s="97">
        <f>'Orderformular Color Kids'!H448</f>
        <v>0</v>
      </c>
      <c r="I442" s="97">
        <f>'Orderformular Color Kids'!I448</f>
        <v>0</v>
      </c>
      <c r="J442" s="97">
        <f>'Orderformular Color Kids'!J448</f>
        <v>0</v>
      </c>
      <c r="K442" s="97">
        <f>'Orderformular Color Kids'!K448</f>
        <v>0</v>
      </c>
      <c r="L442" s="97">
        <f>'Orderformular Color Kids'!L448</f>
        <v>0</v>
      </c>
      <c r="M442" s="97">
        <f>'Orderformular Color Kids'!M448</f>
        <v>0</v>
      </c>
      <c r="N442" s="97">
        <f>'Orderformular Color Kids'!N448</f>
        <v>0</v>
      </c>
      <c r="O442" s="97">
        <f>'Orderformular Color Kids'!O448</f>
        <v>0</v>
      </c>
      <c r="P442" s="97">
        <f>'Orderformular Color Kids'!P448</f>
        <v>0</v>
      </c>
      <c r="Q442" s="97">
        <f>'Orderformular Color Kids'!Q448</f>
        <v>0</v>
      </c>
      <c r="R442" s="97">
        <f>'Orderformular Color Kids'!R448</f>
        <v>0</v>
      </c>
      <c r="S442" s="97">
        <f t="shared" si="6"/>
        <v>0</v>
      </c>
      <c r="T442" s="109">
        <f>'Orderformular Color Kids'!U448</f>
        <v>49.9</v>
      </c>
    </row>
    <row r="443" spans="1:20" ht="15.75" customHeight="1" x14ac:dyDescent="0.25">
      <c r="A443" s="110">
        <f>'Orderformular Color Kids'!A449</f>
        <v>760417</v>
      </c>
      <c r="B443" s="111" t="str">
        <f>'Orderformular Color Kids'!B449</f>
        <v>Anonymized Item 449</v>
      </c>
      <c r="C443" s="112" t="str">
        <f>'Orderformular Color Kids'!C449</f>
        <v>Anonymized 7880 Surf The Web</v>
      </c>
      <c r="D443" s="112" t="str">
        <f>'Orderformular Color Kids'!D449</f>
        <v>Shoes 32-42</v>
      </c>
      <c r="E443" s="97">
        <f>'Orderformular Color Kids'!E449</f>
        <v>0</v>
      </c>
      <c r="F443" s="97">
        <f>'Orderformular Color Kids'!F449</f>
        <v>0</v>
      </c>
      <c r="G443" s="97">
        <f>'Orderformular Color Kids'!G449</f>
        <v>0</v>
      </c>
      <c r="H443" s="97">
        <f>'Orderformular Color Kids'!H449</f>
        <v>0</v>
      </c>
      <c r="I443" s="97">
        <f>'Orderformular Color Kids'!I449</f>
        <v>0</v>
      </c>
      <c r="J443" s="97">
        <f>'Orderformular Color Kids'!J449</f>
        <v>0</v>
      </c>
      <c r="K443" s="97">
        <f>'Orderformular Color Kids'!K449</f>
        <v>0</v>
      </c>
      <c r="L443" s="97">
        <f>'Orderformular Color Kids'!L449</f>
        <v>0</v>
      </c>
      <c r="M443" s="97">
        <f>'Orderformular Color Kids'!M449</f>
        <v>0</v>
      </c>
      <c r="N443" s="97">
        <f>'Orderformular Color Kids'!N449</f>
        <v>0</v>
      </c>
      <c r="O443" s="97">
        <f>'Orderformular Color Kids'!O449</f>
        <v>0</v>
      </c>
      <c r="P443" s="97">
        <f>'Orderformular Color Kids'!P449</f>
        <v>0</v>
      </c>
      <c r="Q443" s="97">
        <f>'Orderformular Color Kids'!Q449</f>
        <v>0</v>
      </c>
      <c r="R443" s="97">
        <f>'Orderformular Color Kids'!R449</f>
        <v>0</v>
      </c>
      <c r="S443" s="97">
        <f t="shared" si="6"/>
        <v>0</v>
      </c>
      <c r="T443" s="109">
        <f>'Orderformular Color Kids'!U449</f>
        <v>49.9</v>
      </c>
    </row>
    <row r="444" spans="1:20" ht="15.75" customHeight="1" x14ac:dyDescent="0.25">
      <c r="A444" s="110">
        <f>'Orderformular Color Kids'!A450</f>
        <v>760417</v>
      </c>
      <c r="B444" s="111" t="str">
        <f>'Orderformular Color Kids'!B450</f>
        <v>Anonymized Item 450</v>
      </c>
      <c r="C444" s="112" t="str">
        <f>'Orderformular Color Kids'!C450</f>
        <v xml:space="preserve">Anonymized 9153 Kalamata </v>
      </c>
      <c r="D444" s="112" t="str">
        <f>'Orderformular Color Kids'!D450</f>
        <v>Shoes 20-31</v>
      </c>
      <c r="E444" s="97">
        <f>'Orderformular Color Kids'!E450</f>
        <v>0</v>
      </c>
      <c r="F444" s="97">
        <f>'Orderformular Color Kids'!F450</f>
        <v>0</v>
      </c>
      <c r="G444" s="97">
        <f>'Orderformular Color Kids'!G450</f>
        <v>0</v>
      </c>
      <c r="H444" s="97">
        <f>'Orderformular Color Kids'!H450</f>
        <v>0</v>
      </c>
      <c r="I444" s="97">
        <f>'Orderformular Color Kids'!I450</f>
        <v>0</v>
      </c>
      <c r="J444" s="97">
        <f>'Orderformular Color Kids'!J450</f>
        <v>0</v>
      </c>
      <c r="K444" s="97">
        <f>'Orderformular Color Kids'!K450</f>
        <v>0</v>
      </c>
      <c r="L444" s="97">
        <f>'Orderformular Color Kids'!L450</f>
        <v>0</v>
      </c>
      <c r="M444" s="97">
        <f>'Orderformular Color Kids'!M450</f>
        <v>0</v>
      </c>
      <c r="N444" s="97">
        <f>'Orderformular Color Kids'!N450</f>
        <v>0</v>
      </c>
      <c r="O444" s="97">
        <f>'Orderformular Color Kids'!O450</f>
        <v>0</v>
      </c>
      <c r="P444" s="97">
        <f>'Orderformular Color Kids'!P450</f>
        <v>0</v>
      </c>
      <c r="Q444" s="97">
        <f>'Orderformular Color Kids'!Q450</f>
        <v>0</v>
      </c>
      <c r="R444" s="97">
        <f>'Orderformular Color Kids'!R450</f>
        <v>0</v>
      </c>
      <c r="S444" s="97">
        <f t="shared" si="6"/>
        <v>0</v>
      </c>
      <c r="T444" s="109">
        <f>'Orderformular Color Kids'!U450</f>
        <v>49.9</v>
      </c>
    </row>
    <row r="445" spans="1:20" ht="15.75" customHeight="1" x14ac:dyDescent="0.25">
      <c r="A445" s="110">
        <f>'Orderformular Color Kids'!A451</f>
        <v>760417</v>
      </c>
      <c r="B445" s="111" t="str">
        <f>'Orderformular Color Kids'!B451</f>
        <v>Anonymized Item 451</v>
      </c>
      <c r="C445" s="112" t="str">
        <f>'Orderformular Color Kids'!C451</f>
        <v xml:space="preserve">Anonymized 9153 Kalamata </v>
      </c>
      <c r="D445" s="112" t="str">
        <f>'Orderformular Color Kids'!D451</f>
        <v>Shoes 32-42</v>
      </c>
      <c r="E445" s="97">
        <f>'Orderformular Color Kids'!E451</f>
        <v>0</v>
      </c>
      <c r="F445" s="97">
        <f>'Orderformular Color Kids'!F451</f>
        <v>0</v>
      </c>
      <c r="G445" s="97">
        <f>'Orderformular Color Kids'!G451</f>
        <v>0</v>
      </c>
      <c r="H445" s="97">
        <f>'Orderformular Color Kids'!H451</f>
        <v>0</v>
      </c>
      <c r="I445" s="97">
        <f>'Orderformular Color Kids'!I451</f>
        <v>0</v>
      </c>
      <c r="J445" s="97">
        <f>'Orderformular Color Kids'!J451</f>
        <v>0</v>
      </c>
      <c r="K445" s="97">
        <f>'Orderformular Color Kids'!K451</f>
        <v>0</v>
      </c>
      <c r="L445" s="97">
        <f>'Orderformular Color Kids'!L451</f>
        <v>0</v>
      </c>
      <c r="M445" s="97">
        <f>'Orderformular Color Kids'!M451</f>
        <v>0</v>
      </c>
      <c r="N445" s="97">
        <f>'Orderformular Color Kids'!N451</f>
        <v>0</v>
      </c>
      <c r="O445" s="97">
        <f>'Orderformular Color Kids'!O451</f>
        <v>0</v>
      </c>
      <c r="P445" s="97">
        <f>'Orderformular Color Kids'!P451</f>
        <v>0</v>
      </c>
      <c r="Q445" s="97">
        <f>'Orderformular Color Kids'!Q451</f>
        <v>0</v>
      </c>
      <c r="R445" s="97">
        <f>'Orderformular Color Kids'!R451</f>
        <v>0</v>
      </c>
      <c r="S445" s="97">
        <f t="shared" si="6"/>
        <v>0</v>
      </c>
      <c r="T445" s="109">
        <f>'Orderformular Color Kids'!U451</f>
        <v>49.9</v>
      </c>
    </row>
    <row r="446" spans="1:20" ht="15.75" customHeight="1" x14ac:dyDescent="0.25">
      <c r="A446" s="110">
        <f>'Orderformular Color Kids'!A452</f>
        <v>760419</v>
      </c>
      <c r="B446" s="111" t="str">
        <f>'Orderformular Color Kids'!B452</f>
        <v>Anonymized Item 452</v>
      </c>
      <c r="C446" s="112" t="str">
        <f>'Orderformular Color Kids'!C452</f>
        <v>Anonymized 2160 Coca Mocha</v>
      </c>
      <c r="D446" s="112" t="str">
        <f>'Orderformular Color Kids'!D452</f>
        <v>Shoes 20-31</v>
      </c>
      <c r="E446" s="97">
        <f>'Orderformular Color Kids'!E452</f>
        <v>0</v>
      </c>
      <c r="F446" s="97">
        <f>'Orderformular Color Kids'!F452</f>
        <v>0</v>
      </c>
      <c r="G446" s="97">
        <f>'Orderformular Color Kids'!G452</f>
        <v>0</v>
      </c>
      <c r="H446" s="97">
        <f>'Orderformular Color Kids'!H452</f>
        <v>0</v>
      </c>
      <c r="I446" s="97">
        <f>'Orderformular Color Kids'!I452</f>
        <v>0</v>
      </c>
      <c r="J446" s="97">
        <f>'Orderformular Color Kids'!J452</f>
        <v>0</v>
      </c>
      <c r="K446" s="97">
        <f>'Orderformular Color Kids'!K452</f>
        <v>0</v>
      </c>
      <c r="L446" s="97">
        <f>'Orderformular Color Kids'!L452</f>
        <v>0</v>
      </c>
      <c r="M446" s="97">
        <f>'Orderformular Color Kids'!M452</f>
        <v>0</v>
      </c>
      <c r="N446" s="97">
        <f>'Orderformular Color Kids'!N452</f>
        <v>0</v>
      </c>
      <c r="O446" s="97">
        <f>'Orderformular Color Kids'!O452</f>
        <v>0</v>
      </c>
      <c r="P446" s="97">
        <f>'Orderformular Color Kids'!P452</f>
        <v>0</v>
      </c>
      <c r="Q446" s="97">
        <f>'Orderformular Color Kids'!Q452</f>
        <v>0</v>
      </c>
      <c r="R446" s="97">
        <f>'Orderformular Color Kids'!R452</f>
        <v>0</v>
      </c>
      <c r="S446" s="97">
        <f t="shared" si="6"/>
        <v>0</v>
      </c>
      <c r="T446" s="109">
        <f>'Orderformular Color Kids'!U452</f>
        <v>49.9</v>
      </c>
    </row>
    <row r="447" spans="1:20" ht="15.75" customHeight="1" x14ac:dyDescent="0.25">
      <c r="A447" s="110">
        <f>'Orderformular Color Kids'!A453</f>
        <v>760419</v>
      </c>
      <c r="B447" s="111" t="str">
        <f>'Orderformular Color Kids'!B453</f>
        <v>Anonymized Item 453</v>
      </c>
      <c r="C447" s="112" t="str">
        <f>'Orderformular Color Kids'!C453</f>
        <v>Anonymized 2160 Coca Mocha</v>
      </c>
      <c r="D447" s="112" t="str">
        <f>'Orderformular Color Kids'!D453</f>
        <v>Shoes 32-42</v>
      </c>
      <c r="E447" s="97">
        <f>'Orderformular Color Kids'!E453</f>
        <v>0</v>
      </c>
      <c r="F447" s="97">
        <f>'Orderformular Color Kids'!F453</f>
        <v>0</v>
      </c>
      <c r="G447" s="97">
        <f>'Orderformular Color Kids'!G453</f>
        <v>0</v>
      </c>
      <c r="H447" s="97">
        <f>'Orderformular Color Kids'!H453</f>
        <v>0</v>
      </c>
      <c r="I447" s="97">
        <f>'Orderformular Color Kids'!I453</f>
        <v>0</v>
      </c>
      <c r="J447" s="97">
        <f>'Orderformular Color Kids'!J453</f>
        <v>0</v>
      </c>
      <c r="K447" s="97">
        <f>'Orderformular Color Kids'!K453</f>
        <v>0</v>
      </c>
      <c r="L447" s="97">
        <f>'Orderformular Color Kids'!L453</f>
        <v>0</v>
      </c>
      <c r="M447" s="97">
        <f>'Orderformular Color Kids'!M453</f>
        <v>0</v>
      </c>
      <c r="N447" s="97">
        <f>'Orderformular Color Kids'!N453</f>
        <v>0</v>
      </c>
      <c r="O447" s="97">
        <f>'Orderformular Color Kids'!O453</f>
        <v>0</v>
      </c>
      <c r="P447" s="97">
        <f>'Orderformular Color Kids'!P453</f>
        <v>0</v>
      </c>
      <c r="Q447" s="97">
        <f>'Orderformular Color Kids'!Q453</f>
        <v>0</v>
      </c>
      <c r="R447" s="97">
        <f>'Orderformular Color Kids'!R453</f>
        <v>0</v>
      </c>
      <c r="S447" s="97">
        <f t="shared" si="6"/>
        <v>0</v>
      </c>
      <c r="T447" s="109">
        <f>'Orderformular Color Kids'!U453</f>
        <v>49.9</v>
      </c>
    </row>
    <row r="448" spans="1:20" ht="15.75" customHeight="1" x14ac:dyDescent="0.25">
      <c r="A448" s="110">
        <f>'Orderformular Color Kids'!A454</f>
        <v>760419</v>
      </c>
      <c r="B448" s="111" t="str">
        <f>'Orderformular Color Kids'!B454</f>
        <v>Anonymized Item 454</v>
      </c>
      <c r="C448" s="112" t="str">
        <f>'Orderformular Color Kids'!C454</f>
        <v>Anonymized 3257 Sun Orange</v>
      </c>
      <c r="D448" s="112" t="str">
        <f>'Orderformular Color Kids'!D454</f>
        <v>Shoes 20-31</v>
      </c>
      <c r="E448" s="97">
        <f>'Orderformular Color Kids'!E454</f>
        <v>0</v>
      </c>
      <c r="F448" s="97">
        <f>'Orderformular Color Kids'!F454</f>
        <v>0</v>
      </c>
      <c r="G448" s="97">
        <f>'Orderformular Color Kids'!G454</f>
        <v>0</v>
      </c>
      <c r="H448" s="97">
        <f>'Orderformular Color Kids'!H454</f>
        <v>0</v>
      </c>
      <c r="I448" s="97">
        <f>'Orderformular Color Kids'!I454</f>
        <v>0</v>
      </c>
      <c r="J448" s="97">
        <f>'Orderformular Color Kids'!J454</f>
        <v>0</v>
      </c>
      <c r="K448" s="97">
        <f>'Orderformular Color Kids'!K454</f>
        <v>0</v>
      </c>
      <c r="L448" s="97">
        <f>'Orderformular Color Kids'!L454</f>
        <v>0</v>
      </c>
      <c r="M448" s="97">
        <f>'Orderformular Color Kids'!M454</f>
        <v>0</v>
      </c>
      <c r="N448" s="97">
        <f>'Orderformular Color Kids'!N454</f>
        <v>0</v>
      </c>
      <c r="O448" s="97">
        <f>'Orderformular Color Kids'!O454</f>
        <v>0</v>
      </c>
      <c r="P448" s="97">
        <f>'Orderformular Color Kids'!P454</f>
        <v>0</v>
      </c>
      <c r="Q448" s="97">
        <f>'Orderformular Color Kids'!Q454</f>
        <v>0</v>
      </c>
      <c r="R448" s="97">
        <f>'Orderformular Color Kids'!R454</f>
        <v>0</v>
      </c>
      <c r="S448" s="97">
        <f t="shared" si="6"/>
        <v>0</v>
      </c>
      <c r="T448" s="109">
        <f>'Orderformular Color Kids'!U454</f>
        <v>49.9</v>
      </c>
    </row>
    <row r="449" spans="1:20" ht="15.75" customHeight="1" x14ac:dyDescent="0.25">
      <c r="A449" s="110">
        <f>'Orderformular Color Kids'!A455</f>
        <v>760419</v>
      </c>
      <c r="B449" s="111" t="str">
        <f>'Orderformular Color Kids'!B455</f>
        <v>Anonymized Item 455</v>
      </c>
      <c r="C449" s="112" t="str">
        <f>'Orderformular Color Kids'!C455</f>
        <v>Anonymized 3257 Sun Orange</v>
      </c>
      <c r="D449" s="112" t="str">
        <f>'Orderformular Color Kids'!D455</f>
        <v>Shoes 32-42</v>
      </c>
      <c r="E449" s="97">
        <f>'Orderformular Color Kids'!E455</f>
        <v>0</v>
      </c>
      <c r="F449" s="97">
        <f>'Orderformular Color Kids'!F455</f>
        <v>0</v>
      </c>
      <c r="G449" s="97">
        <f>'Orderformular Color Kids'!G455</f>
        <v>0</v>
      </c>
      <c r="H449" s="97">
        <f>'Orderformular Color Kids'!H455</f>
        <v>0</v>
      </c>
      <c r="I449" s="97">
        <f>'Orderformular Color Kids'!I455</f>
        <v>0</v>
      </c>
      <c r="J449" s="97">
        <f>'Orderformular Color Kids'!J455</f>
        <v>0</v>
      </c>
      <c r="K449" s="97">
        <f>'Orderformular Color Kids'!K455</f>
        <v>0</v>
      </c>
      <c r="L449" s="97">
        <f>'Orderformular Color Kids'!L455</f>
        <v>0</v>
      </c>
      <c r="M449" s="97">
        <f>'Orderformular Color Kids'!M455</f>
        <v>0</v>
      </c>
      <c r="N449" s="97">
        <f>'Orderformular Color Kids'!N455</f>
        <v>0</v>
      </c>
      <c r="O449" s="97">
        <f>'Orderformular Color Kids'!O455</f>
        <v>0</v>
      </c>
      <c r="P449" s="97">
        <f>'Orderformular Color Kids'!P455</f>
        <v>0</v>
      </c>
      <c r="Q449" s="97">
        <f>'Orderformular Color Kids'!Q455</f>
        <v>0</v>
      </c>
      <c r="R449" s="97">
        <f>'Orderformular Color Kids'!R455</f>
        <v>0</v>
      </c>
      <c r="S449" s="97">
        <f t="shared" si="6"/>
        <v>0</v>
      </c>
      <c r="T449" s="109">
        <f>'Orderformular Color Kids'!U455</f>
        <v>49.9</v>
      </c>
    </row>
    <row r="450" spans="1:20" ht="15.75" customHeight="1" x14ac:dyDescent="0.25">
      <c r="A450" s="110">
        <f>'Orderformular Color Kids'!A456</f>
        <v>760419</v>
      </c>
      <c r="B450" s="111" t="str">
        <f>'Orderformular Color Kids'!B456</f>
        <v>Anonymized Item 456</v>
      </c>
      <c r="C450" s="112" t="str">
        <f>'Orderformular Color Kids'!C456</f>
        <v>Anonymized 5381 Pink Glo</v>
      </c>
      <c r="D450" s="112" t="str">
        <f>'Orderformular Color Kids'!D456</f>
        <v>Shoes 20-31</v>
      </c>
      <c r="E450" s="97">
        <f>'Orderformular Color Kids'!E456</f>
        <v>0</v>
      </c>
      <c r="F450" s="97">
        <f>'Orderformular Color Kids'!F456</f>
        <v>0</v>
      </c>
      <c r="G450" s="97">
        <f>'Orderformular Color Kids'!G456</f>
        <v>0</v>
      </c>
      <c r="H450" s="97">
        <f>'Orderformular Color Kids'!H456</f>
        <v>0</v>
      </c>
      <c r="I450" s="97">
        <f>'Orderformular Color Kids'!I456</f>
        <v>0</v>
      </c>
      <c r="J450" s="97">
        <f>'Orderformular Color Kids'!J456</f>
        <v>0</v>
      </c>
      <c r="K450" s="97">
        <f>'Orderformular Color Kids'!K456</f>
        <v>0</v>
      </c>
      <c r="L450" s="97">
        <f>'Orderformular Color Kids'!L456</f>
        <v>0</v>
      </c>
      <c r="M450" s="97">
        <f>'Orderformular Color Kids'!M456</f>
        <v>0</v>
      </c>
      <c r="N450" s="97">
        <f>'Orderformular Color Kids'!N456</f>
        <v>0</v>
      </c>
      <c r="O450" s="97">
        <f>'Orderformular Color Kids'!O456</f>
        <v>0</v>
      </c>
      <c r="P450" s="97">
        <f>'Orderformular Color Kids'!P456</f>
        <v>0</v>
      </c>
      <c r="Q450" s="97">
        <f>'Orderformular Color Kids'!Q456</f>
        <v>0</v>
      </c>
      <c r="R450" s="97">
        <f>'Orderformular Color Kids'!R456</f>
        <v>0</v>
      </c>
      <c r="S450" s="97">
        <f t="shared" si="6"/>
        <v>0</v>
      </c>
      <c r="T450" s="109">
        <f>'Orderformular Color Kids'!U456</f>
        <v>49.9</v>
      </c>
    </row>
    <row r="451" spans="1:20" ht="15.75" customHeight="1" x14ac:dyDescent="0.25">
      <c r="A451" s="110">
        <f>'Orderformular Color Kids'!A457</f>
        <v>760419</v>
      </c>
      <c r="B451" s="111" t="str">
        <f>'Orderformular Color Kids'!B457</f>
        <v>Anonymized Item 457</v>
      </c>
      <c r="C451" s="112" t="str">
        <f>'Orderformular Color Kids'!C457</f>
        <v>Anonymized 5381 Pink Glo</v>
      </c>
      <c r="D451" s="112" t="str">
        <f>'Orderformular Color Kids'!D457</f>
        <v>Shoes 32-42</v>
      </c>
      <c r="E451" s="97">
        <f>'Orderformular Color Kids'!E457</f>
        <v>0</v>
      </c>
      <c r="F451" s="97">
        <f>'Orderformular Color Kids'!F457</f>
        <v>0</v>
      </c>
      <c r="G451" s="97">
        <f>'Orderformular Color Kids'!G457</f>
        <v>0</v>
      </c>
      <c r="H451" s="97">
        <f>'Orderformular Color Kids'!H457</f>
        <v>0</v>
      </c>
      <c r="I451" s="97">
        <f>'Orderformular Color Kids'!I457</f>
        <v>0</v>
      </c>
      <c r="J451" s="97">
        <f>'Orderformular Color Kids'!J457</f>
        <v>0</v>
      </c>
      <c r="K451" s="97">
        <f>'Orderformular Color Kids'!K457</f>
        <v>0</v>
      </c>
      <c r="L451" s="97">
        <f>'Orderformular Color Kids'!L457</f>
        <v>0</v>
      </c>
      <c r="M451" s="97">
        <f>'Orderformular Color Kids'!M457</f>
        <v>0</v>
      </c>
      <c r="N451" s="97">
        <f>'Orderformular Color Kids'!N457</f>
        <v>0</v>
      </c>
      <c r="O451" s="97">
        <f>'Orderformular Color Kids'!O457</f>
        <v>0</v>
      </c>
      <c r="P451" s="97">
        <f>'Orderformular Color Kids'!P457</f>
        <v>0</v>
      </c>
      <c r="Q451" s="97">
        <f>'Orderformular Color Kids'!Q457</f>
        <v>0</v>
      </c>
      <c r="R451" s="97">
        <f>'Orderformular Color Kids'!R457</f>
        <v>0</v>
      </c>
      <c r="S451" s="97">
        <f t="shared" si="6"/>
        <v>0</v>
      </c>
      <c r="T451" s="109">
        <f>'Orderformular Color Kids'!U457</f>
        <v>49.9</v>
      </c>
    </row>
    <row r="452" spans="1:20" ht="15.75" customHeight="1" x14ac:dyDescent="0.25">
      <c r="A452" s="110">
        <f>'Orderformular Color Kids'!A458</f>
        <v>760419</v>
      </c>
      <c r="B452" s="111" t="str">
        <f>'Orderformular Color Kids'!B458</f>
        <v>Anonymized Item 458</v>
      </c>
      <c r="C452" s="112" t="str">
        <f>'Orderformular Color Kids'!C458</f>
        <v>Anonymized 6685 Violet Tulle</v>
      </c>
      <c r="D452" s="112" t="str">
        <f>'Orderformular Color Kids'!D458</f>
        <v>Shoes 20-31</v>
      </c>
      <c r="E452" s="97">
        <f>'Orderformular Color Kids'!E458</f>
        <v>0</v>
      </c>
      <c r="F452" s="97">
        <f>'Orderformular Color Kids'!F458</f>
        <v>0</v>
      </c>
      <c r="G452" s="97">
        <f>'Orderformular Color Kids'!G458</f>
        <v>0</v>
      </c>
      <c r="H452" s="97">
        <f>'Orderformular Color Kids'!H458</f>
        <v>0</v>
      </c>
      <c r="I452" s="97">
        <f>'Orderformular Color Kids'!I458</f>
        <v>0</v>
      </c>
      <c r="J452" s="97">
        <f>'Orderformular Color Kids'!J458</f>
        <v>0</v>
      </c>
      <c r="K452" s="97">
        <f>'Orderformular Color Kids'!K458</f>
        <v>0</v>
      </c>
      <c r="L452" s="97">
        <f>'Orderformular Color Kids'!L458</f>
        <v>0</v>
      </c>
      <c r="M452" s="97">
        <f>'Orderformular Color Kids'!M458</f>
        <v>0</v>
      </c>
      <c r="N452" s="97">
        <f>'Orderformular Color Kids'!N458</f>
        <v>0</v>
      </c>
      <c r="O452" s="97">
        <f>'Orderformular Color Kids'!O458</f>
        <v>0</v>
      </c>
      <c r="P452" s="97">
        <f>'Orderformular Color Kids'!P458</f>
        <v>0</v>
      </c>
      <c r="Q452" s="97">
        <f>'Orderformular Color Kids'!Q458</f>
        <v>0</v>
      </c>
      <c r="R452" s="97">
        <f>'Orderformular Color Kids'!R458</f>
        <v>0</v>
      </c>
      <c r="S452" s="97">
        <f t="shared" si="6"/>
        <v>0</v>
      </c>
      <c r="T452" s="109">
        <f>'Orderformular Color Kids'!U458</f>
        <v>49.9</v>
      </c>
    </row>
    <row r="453" spans="1:20" ht="15.75" customHeight="1" x14ac:dyDescent="0.25">
      <c r="A453" s="110">
        <f>'Orderformular Color Kids'!A459</f>
        <v>760419</v>
      </c>
      <c r="B453" s="111" t="str">
        <f>'Orderformular Color Kids'!B459</f>
        <v>Anonymized Item 459</v>
      </c>
      <c r="C453" s="112" t="str">
        <f>'Orderformular Color Kids'!C459</f>
        <v>Anonymized 6685 Violet Tulle</v>
      </c>
      <c r="D453" s="112" t="str">
        <f>'Orderformular Color Kids'!D459</f>
        <v>Shoes 32-42</v>
      </c>
      <c r="E453" s="97">
        <f>'Orderformular Color Kids'!E459</f>
        <v>0</v>
      </c>
      <c r="F453" s="97">
        <f>'Orderformular Color Kids'!F459</f>
        <v>0</v>
      </c>
      <c r="G453" s="97">
        <f>'Orderformular Color Kids'!G459</f>
        <v>0</v>
      </c>
      <c r="H453" s="97">
        <f>'Orderformular Color Kids'!H459</f>
        <v>0</v>
      </c>
      <c r="I453" s="97">
        <f>'Orderformular Color Kids'!I459</f>
        <v>0</v>
      </c>
      <c r="J453" s="97">
        <f>'Orderformular Color Kids'!J459</f>
        <v>0</v>
      </c>
      <c r="K453" s="97">
        <f>'Orderformular Color Kids'!K459</f>
        <v>0</v>
      </c>
      <c r="L453" s="97">
        <f>'Orderformular Color Kids'!L459</f>
        <v>0</v>
      </c>
      <c r="M453" s="97">
        <f>'Orderformular Color Kids'!M459</f>
        <v>0</v>
      </c>
      <c r="N453" s="97">
        <f>'Orderformular Color Kids'!N459</f>
        <v>0</v>
      </c>
      <c r="O453" s="97">
        <f>'Orderformular Color Kids'!O459</f>
        <v>0</v>
      </c>
      <c r="P453" s="97">
        <f>'Orderformular Color Kids'!P459</f>
        <v>0</v>
      </c>
      <c r="Q453" s="97">
        <f>'Orderformular Color Kids'!Q459</f>
        <v>0</v>
      </c>
      <c r="R453" s="97">
        <f>'Orderformular Color Kids'!R459</f>
        <v>0</v>
      </c>
      <c r="S453" s="97">
        <f t="shared" si="6"/>
        <v>0</v>
      </c>
      <c r="T453" s="109">
        <f>'Orderformular Color Kids'!U459</f>
        <v>49.9</v>
      </c>
    </row>
    <row r="454" spans="1:20" x14ac:dyDescent="0.2">
      <c r="A454" s="61">
        <f>'Orderformular Color Kids'!A482</f>
        <v>0</v>
      </c>
      <c r="B454" s="62">
        <f>'Orderformular Color Kids'!B482</f>
        <v>0</v>
      </c>
      <c r="C454" s="8">
        <f>'Orderformular Color Kids'!C482</f>
        <v>0</v>
      </c>
      <c r="D454" s="8">
        <f>'Orderformular Color Kids'!D482</f>
        <v>0</v>
      </c>
      <c r="E454" s="4">
        <f>'Orderformular Color Kids'!E482</f>
        <v>0</v>
      </c>
      <c r="F454" s="4">
        <f>'Orderformular Color Kids'!F482</f>
        <v>0</v>
      </c>
      <c r="G454" s="4">
        <f>'Orderformular Color Kids'!G482</f>
        <v>0</v>
      </c>
      <c r="H454" s="4">
        <f>'Orderformular Color Kids'!H482</f>
        <v>0</v>
      </c>
      <c r="I454" s="4">
        <f>'Orderformular Color Kids'!I482</f>
        <v>0</v>
      </c>
      <c r="J454" s="4">
        <f>'Orderformular Color Kids'!J482</f>
        <v>0</v>
      </c>
      <c r="K454" s="4">
        <f>'Orderformular Color Kids'!K482</f>
        <v>0</v>
      </c>
      <c r="L454" s="4">
        <f>'Orderformular Color Kids'!L482</f>
        <v>0</v>
      </c>
      <c r="M454" s="7">
        <f>'Orderformular Color Kids'!M482</f>
        <v>0</v>
      </c>
      <c r="N454" s="7">
        <f>'Packliste Orig'!N459</f>
        <v>0</v>
      </c>
      <c r="O454" s="7">
        <f>'Orderformular Color Kids'!O482</f>
        <v>0</v>
      </c>
      <c r="P454" s="7">
        <f>'Packliste Orig'!P459</f>
        <v>0</v>
      </c>
      <c r="Q454" s="7">
        <f>'Orderformular Color Kids'!Q482</f>
        <v>0</v>
      </c>
      <c r="R454" s="7">
        <f>'Orderformular Color Kids'!R482</f>
        <v>0</v>
      </c>
      <c r="S454" s="6">
        <f t="shared" si="6"/>
        <v>0</v>
      </c>
      <c r="T454" s="50">
        <f>'Orderformular Color Kids'!U482</f>
        <v>0</v>
      </c>
    </row>
    <row r="455" spans="1:20" x14ac:dyDescent="0.2">
      <c r="A455" s="61">
        <f>'Orderformular Color Kids'!A483</f>
        <v>0</v>
      </c>
      <c r="B455" s="62">
        <f>'Orderformular Color Kids'!B483</f>
        <v>0</v>
      </c>
      <c r="C455" s="8">
        <f>'Orderformular Color Kids'!C483</f>
        <v>0</v>
      </c>
      <c r="D455" s="8">
        <f>'Orderformular Color Kids'!D483</f>
        <v>0</v>
      </c>
      <c r="E455" s="4">
        <f>'Orderformular Color Kids'!E483</f>
        <v>0</v>
      </c>
      <c r="F455" s="4">
        <f>'Orderformular Color Kids'!F483</f>
        <v>0</v>
      </c>
      <c r="G455" s="4">
        <f>'Orderformular Color Kids'!G483</f>
        <v>0</v>
      </c>
      <c r="H455" s="4">
        <f>'Orderformular Color Kids'!H483</f>
        <v>0</v>
      </c>
      <c r="I455" s="4">
        <f>'Orderformular Color Kids'!I483</f>
        <v>0</v>
      </c>
      <c r="J455" s="4">
        <f>'Orderformular Color Kids'!J483</f>
        <v>0</v>
      </c>
      <c r="K455" s="4">
        <f>'Orderformular Color Kids'!K483</f>
        <v>0</v>
      </c>
      <c r="L455" s="4">
        <f>'Orderformular Color Kids'!L483</f>
        <v>0</v>
      </c>
      <c r="M455" s="7">
        <f>'Orderformular Color Kids'!M483</f>
        <v>0</v>
      </c>
      <c r="N455" s="7">
        <f>'Packliste Orig'!N460</f>
        <v>0</v>
      </c>
      <c r="O455" s="7">
        <f>'Orderformular Color Kids'!O483</f>
        <v>0</v>
      </c>
      <c r="P455" s="7">
        <f>'Packliste Orig'!P460</f>
        <v>0</v>
      </c>
      <c r="Q455" s="7">
        <f>'Orderformular Color Kids'!Q483</f>
        <v>0</v>
      </c>
      <c r="R455" s="7">
        <f>'Orderformular Color Kids'!R483</f>
        <v>0</v>
      </c>
      <c r="S455" s="6">
        <f t="shared" si="6"/>
        <v>0</v>
      </c>
      <c r="T455" s="50">
        <f>'Orderformular Color Kids'!U483</f>
        <v>0</v>
      </c>
    </row>
    <row r="456" spans="1:20" x14ac:dyDescent="0.2">
      <c r="A456" s="61">
        <f>'Orderformular Color Kids'!A484</f>
        <v>0</v>
      </c>
      <c r="B456" s="62">
        <f>'Orderformular Color Kids'!B484</f>
        <v>0</v>
      </c>
      <c r="C456" s="8">
        <f>'Orderformular Color Kids'!C484</f>
        <v>0</v>
      </c>
      <c r="D456" s="8">
        <f>'Orderformular Color Kids'!D484</f>
        <v>0</v>
      </c>
      <c r="E456" s="4">
        <f>'Orderformular Color Kids'!E484</f>
        <v>0</v>
      </c>
      <c r="F456" s="4">
        <f>'Orderformular Color Kids'!F484</f>
        <v>0</v>
      </c>
      <c r="G456" s="4">
        <f>'Orderformular Color Kids'!G484</f>
        <v>0</v>
      </c>
      <c r="H456" s="4">
        <f>'Orderformular Color Kids'!H484</f>
        <v>0</v>
      </c>
      <c r="I456" s="4">
        <f>'Orderformular Color Kids'!I484</f>
        <v>0</v>
      </c>
      <c r="J456" s="4">
        <f>'Orderformular Color Kids'!J484</f>
        <v>0</v>
      </c>
      <c r="K456" s="4">
        <f>'Orderformular Color Kids'!K484</f>
        <v>0</v>
      </c>
      <c r="L456" s="4">
        <f>'Orderformular Color Kids'!L484</f>
        <v>0</v>
      </c>
      <c r="M456" s="7">
        <f>'Orderformular Color Kids'!M484</f>
        <v>0</v>
      </c>
      <c r="N456" s="7">
        <f>'Packliste Orig'!N461</f>
        <v>0</v>
      </c>
      <c r="O456" s="7">
        <f>'Orderformular Color Kids'!O484</f>
        <v>0</v>
      </c>
      <c r="P456" s="7">
        <f>'Packliste Orig'!P461</f>
        <v>0</v>
      </c>
      <c r="Q456" s="7">
        <f>'Orderformular Color Kids'!Q484</f>
        <v>0</v>
      </c>
      <c r="R456" s="7">
        <f>'Orderformular Color Kids'!R484</f>
        <v>0</v>
      </c>
      <c r="S456" s="6">
        <f t="shared" si="6"/>
        <v>0</v>
      </c>
      <c r="T456" s="50">
        <f>'Orderformular Color Kids'!U484</f>
        <v>0</v>
      </c>
    </row>
    <row r="457" spans="1:20" x14ac:dyDescent="0.2">
      <c r="A457" s="61">
        <f>'Orderformular Color Kids'!A485</f>
        <v>0</v>
      </c>
      <c r="B457" s="62">
        <f>'Orderformular Color Kids'!B485</f>
        <v>0</v>
      </c>
      <c r="C457" s="8">
        <f>'Orderformular Color Kids'!C485</f>
        <v>0</v>
      </c>
      <c r="D457" s="8">
        <f>'Orderformular Color Kids'!D485</f>
        <v>0</v>
      </c>
      <c r="E457" s="4">
        <f>'Orderformular Color Kids'!E485</f>
        <v>0</v>
      </c>
      <c r="F457" s="4">
        <f>'Orderformular Color Kids'!F485</f>
        <v>0</v>
      </c>
      <c r="G457" s="4">
        <f>'Orderformular Color Kids'!G485</f>
        <v>0</v>
      </c>
      <c r="H457" s="4">
        <f>'Orderformular Color Kids'!H485</f>
        <v>0</v>
      </c>
      <c r="I457" s="4">
        <f>'Orderformular Color Kids'!I485</f>
        <v>0</v>
      </c>
      <c r="J457" s="4">
        <f>'Orderformular Color Kids'!J485</f>
        <v>0</v>
      </c>
      <c r="K457" s="4">
        <f>'Orderformular Color Kids'!K485</f>
        <v>0</v>
      </c>
      <c r="L457" s="4">
        <f>'Orderformular Color Kids'!L485</f>
        <v>0</v>
      </c>
      <c r="M457" s="7">
        <f>'Orderformular Color Kids'!M485</f>
        <v>0</v>
      </c>
      <c r="N457" s="7">
        <f>'Packliste Orig'!N462</f>
        <v>0</v>
      </c>
      <c r="O457" s="7">
        <f>'Orderformular Color Kids'!O485</f>
        <v>0</v>
      </c>
      <c r="P457" s="7">
        <f>'Packliste Orig'!P462</f>
        <v>0</v>
      </c>
      <c r="Q457" s="7">
        <f>'Orderformular Color Kids'!Q485</f>
        <v>0</v>
      </c>
      <c r="R457" s="7">
        <f>'Orderformular Color Kids'!R485</f>
        <v>0</v>
      </c>
      <c r="S457" s="6">
        <f t="shared" si="6"/>
        <v>0</v>
      </c>
      <c r="T457" s="50">
        <f>'Orderformular Color Kids'!U485</f>
        <v>0</v>
      </c>
    </row>
    <row r="458" spans="1:20" x14ac:dyDescent="0.2">
      <c r="A458" s="61">
        <f>'Orderformular Color Kids'!A486</f>
        <v>0</v>
      </c>
      <c r="B458" s="62">
        <f>'Orderformular Color Kids'!B486</f>
        <v>0</v>
      </c>
      <c r="C458" s="8">
        <f>'Orderformular Color Kids'!C486</f>
        <v>0</v>
      </c>
      <c r="D458" s="8">
        <f>'Orderformular Color Kids'!D486</f>
        <v>0</v>
      </c>
      <c r="E458" s="4">
        <f>'Orderformular Color Kids'!E486</f>
        <v>0</v>
      </c>
      <c r="F458" s="4">
        <f>'Orderformular Color Kids'!F486</f>
        <v>0</v>
      </c>
      <c r="G458" s="4">
        <f>'Orderformular Color Kids'!G486</f>
        <v>0</v>
      </c>
      <c r="H458" s="4">
        <f>'Orderformular Color Kids'!H486</f>
        <v>0</v>
      </c>
      <c r="I458" s="4">
        <f>'Orderformular Color Kids'!I486</f>
        <v>0</v>
      </c>
      <c r="J458" s="4">
        <f>'Orderformular Color Kids'!J486</f>
        <v>0</v>
      </c>
      <c r="K458" s="4">
        <f>'Orderformular Color Kids'!K486</f>
        <v>0</v>
      </c>
      <c r="L458" s="4">
        <f>'Orderformular Color Kids'!L486</f>
        <v>0</v>
      </c>
      <c r="M458" s="7">
        <f>'Orderformular Color Kids'!M486</f>
        <v>0</v>
      </c>
      <c r="N458" s="7">
        <f>'Packliste Orig'!N463</f>
        <v>0</v>
      </c>
      <c r="O458" s="7">
        <f>'Orderformular Color Kids'!O486</f>
        <v>0</v>
      </c>
      <c r="P458" s="7">
        <f>'Packliste Orig'!P463</f>
        <v>0</v>
      </c>
      <c r="Q458" s="7">
        <f>'Orderformular Color Kids'!Q486</f>
        <v>0</v>
      </c>
      <c r="R458" s="7">
        <f>'Orderformular Color Kids'!R486</f>
        <v>0</v>
      </c>
      <c r="S458" s="6">
        <f t="shared" si="6"/>
        <v>0</v>
      </c>
      <c r="T458" s="50">
        <f>'Orderformular Color Kids'!U486</f>
        <v>0</v>
      </c>
    </row>
    <row r="459" spans="1:20" x14ac:dyDescent="0.2">
      <c r="A459" s="61">
        <f>'Orderformular Color Kids'!A487</f>
        <v>0</v>
      </c>
      <c r="B459" s="62">
        <f>'Orderformular Color Kids'!B487</f>
        <v>0</v>
      </c>
      <c r="C459" s="8">
        <f>'Orderformular Color Kids'!C487</f>
        <v>0</v>
      </c>
      <c r="D459" s="8">
        <f>'Orderformular Color Kids'!D487</f>
        <v>0</v>
      </c>
      <c r="E459" s="4">
        <f>'Orderformular Color Kids'!E487</f>
        <v>0</v>
      </c>
      <c r="F459" s="4">
        <f>'Orderformular Color Kids'!F487</f>
        <v>0</v>
      </c>
      <c r="G459" s="4">
        <f>'Orderformular Color Kids'!G487</f>
        <v>0</v>
      </c>
      <c r="H459" s="4">
        <f>'Orderformular Color Kids'!H487</f>
        <v>0</v>
      </c>
      <c r="I459" s="4">
        <f>'Orderformular Color Kids'!I487</f>
        <v>0</v>
      </c>
      <c r="J459" s="4">
        <f>'Orderformular Color Kids'!J487</f>
        <v>0</v>
      </c>
      <c r="K459" s="4">
        <f>'Orderformular Color Kids'!K487</f>
        <v>0</v>
      </c>
      <c r="L459" s="4">
        <f>'Orderformular Color Kids'!L487</f>
        <v>0</v>
      </c>
      <c r="M459" s="7">
        <f>'Orderformular Color Kids'!M487</f>
        <v>0</v>
      </c>
      <c r="N459" s="7">
        <f>'Packliste Orig'!N464</f>
        <v>0</v>
      </c>
      <c r="O459" s="7">
        <f>'Orderformular Color Kids'!O487</f>
        <v>0</v>
      </c>
      <c r="P459" s="7">
        <f>'Packliste Orig'!P464</f>
        <v>0</v>
      </c>
      <c r="Q459" s="7">
        <f>'Orderformular Color Kids'!Q487</f>
        <v>0</v>
      </c>
      <c r="R459" s="7">
        <f>'Orderformular Color Kids'!R487</f>
        <v>0</v>
      </c>
      <c r="S459" s="6">
        <f t="shared" si="6"/>
        <v>0</v>
      </c>
      <c r="T459" s="50">
        <f>'Orderformular Color Kids'!U487</f>
        <v>0</v>
      </c>
    </row>
    <row r="460" spans="1:20" x14ac:dyDescent="0.2">
      <c r="A460" s="61">
        <f>'Orderformular Color Kids'!A488</f>
        <v>0</v>
      </c>
      <c r="B460" s="62">
        <f>'Orderformular Color Kids'!B488</f>
        <v>0</v>
      </c>
      <c r="C460" s="8">
        <f>'Orderformular Color Kids'!C488</f>
        <v>0</v>
      </c>
      <c r="D460" s="8">
        <f>'Orderformular Color Kids'!D488</f>
        <v>0</v>
      </c>
      <c r="E460" s="4">
        <f>'Orderformular Color Kids'!E488</f>
        <v>0</v>
      </c>
      <c r="F460" s="4">
        <f>'Orderformular Color Kids'!F488</f>
        <v>0</v>
      </c>
      <c r="G460" s="4">
        <f>'Orderformular Color Kids'!G488</f>
        <v>0</v>
      </c>
      <c r="H460" s="4">
        <f>'Orderformular Color Kids'!H488</f>
        <v>0</v>
      </c>
      <c r="I460" s="4">
        <f>'Orderformular Color Kids'!I488</f>
        <v>0</v>
      </c>
      <c r="J460" s="4">
        <f>'Orderformular Color Kids'!J488</f>
        <v>0</v>
      </c>
      <c r="K460" s="4">
        <f>'Orderformular Color Kids'!K488</f>
        <v>0</v>
      </c>
      <c r="L460" s="4">
        <f>'Orderformular Color Kids'!L488</f>
        <v>0</v>
      </c>
      <c r="M460" s="7">
        <f>'Orderformular Color Kids'!M488</f>
        <v>0</v>
      </c>
      <c r="N460" s="7">
        <f>'Packliste Orig'!N465</f>
        <v>0</v>
      </c>
      <c r="O460" s="7">
        <f>'Orderformular Color Kids'!O488</f>
        <v>0</v>
      </c>
      <c r="P460" s="7">
        <f>'Packliste Orig'!P465</f>
        <v>0</v>
      </c>
      <c r="Q460" s="7">
        <f>'Orderformular Color Kids'!Q488</f>
        <v>0</v>
      </c>
      <c r="R460" s="7">
        <f>'Orderformular Color Kids'!R488</f>
        <v>0</v>
      </c>
      <c r="S460" s="6">
        <f t="shared" ref="S460:S523" si="7">SUM(E460:R460)</f>
        <v>0</v>
      </c>
      <c r="T460" s="50">
        <f>'Orderformular Color Kids'!U488</f>
        <v>0</v>
      </c>
    </row>
    <row r="461" spans="1:20" x14ac:dyDescent="0.2">
      <c r="A461" s="61">
        <f>'Orderformular Color Kids'!A489</f>
        <v>0</v>
      </c>
      <c r="B461" s="62">
        <f>'Orderformular Color Kids'!B489</f>
        <v>0</v>
      </c>
      <c r="C461" s="8">
        <f>'Orderformular Color Kids'!C489</f>
        <v>0</v>
      </c>
      <c r="D461" s="8">
        <f>'Orderformular Color Kids'!D489</f>
        <v>0</v>
      </c>
      <c r="E461" s="4">
        <f>'Orderformular Color Kids'!E489</f>
        <v>0</v>
      </c>
      <c r="F461" s="4">
        <f>'Orderformular Color Kids'!F489</f>
        <v>0</v>
      </c>
      <c r="G461" s="4">
        <f>'Orderformular Color Kids'!G489</f>
        <v>0</v>
      </c>
      <c r="H461" s="4">
        <f>'Orderformular Color Kids'!H489</f>
        <v>0</v>
      </c>
      <c r="I461" s="4">
        <f>'Orderformular Color Kids'!I489</f>
        <v>0</v>
      </c>
      <c r="J461" s="4">
        <f>'Orderformular Color Kids'!J489</f>
        <v>0</v>
      </c>
      <c r="K461" s="4">
        <f>'Orderformular Color Kids'!K489</f>
        <v>0</v>
      </c>
      <c r="L461" s="4">
        <f>'Orderformular Color Kids'!L489</f>
        <v>0</v>
      </c>
      <c r="M461" s="7">
        <f>'Orderformular Color Kids'!M489</f>
        <v>0</v>
      </c>
      <c r="N461" s="7">
        <f>'Packliste Orig'!N466</f>
        <v>0</v>
      </c>
      <c r="O461" s="7">
        <f>'Orderformular Color Kids'!O489</f>
        <v>0</v>
      </c>
      <c r="P461" s="7">
        <f>'Packliste Orig'!P466</f>
        <v>0</v>
      </c>
      <c r="Q461" s="7">
        <f>'Orderformular Color Kids'!Q489</f>
        <v>0</v>
      </c>
      <c r="R461" s="7">
        <f>'Orderformular Color Kids'!R489</f>
        <v>0</v>
      </c>
      <c r="S461" s="6">
        <f t="shared" si="7"/>
        <v>0</v>
      </c>
      <c r="T461" s="50">
        <f>'Orderformular Color Kids'!U489</f>
        <v>0</v>
      </c>
    </row>
    <row r="462" spans="1:20" x14ac:dyDescent="0.2">
      <c r="A462" s="61">
        <f>'Orderformular Color Kids'!A490</f>
        <v>0</v>
      </c>
      <c r="B462" s="62">
        <f>'Orderformular Color Kids'!B490</f>
        <v>0</v>
      </c>
      <c r="C462" s="8">
        <f>'Orderformular Color Kids'!C490</f>
        <v>0</v>
      </c>
      <c r="D462" s="8">
        <f>'Orderformular Color Kids'!D490</f>
        <v>0</v>
      </c>
      <c r="E462" s="4">
        <f>'Orderformular Color Kids'!E490</f>
        <v>0</v>
      </c>
      <c r="F462" s="4">
        <f>'Orderformular Color Kids'!F490</f>
        <v>0</v>
      </c>
      <c r="G462" s="4">
        <f>'Orderformular Color Kids'!G490</f>
        <v>0</v>
      </c>
      <c r="H462" s="4">
        <f>'Orderformular Color Kids'!H490</f>
        <v>0</v>
      </c>
      <c r="I462" s="4">
        <f>'Orderformular Color Kids'!I490</f>
        <v>0</v>
      </c>
      <c r="J462" s="4">
        <f>'Orderformular Color Kids'!J490</f>
        <v>0</v>
      </c>
      <c r="K462" s="4">
        <f>'Orderformular Color Kids'!K490</f>
        <v>0</v>
      </c>
      <c r="L462" s="4">
        <f>'Orderformular Color Kids'!L490</f>
        <v>0</v>
      </c>
      <c r="M462" s="7">
        <f>'Orderformular Color Kids'!M490</f>
        <v>0</v>
      </c>
      <c r="N462" s="7">
        <f>'Packliste Orig'!N467</f>
        <v>0</v>
      </c>
      <c r="O462" s="7">
        <f>'Orderformular Color Kids'!O490</f>
        <v>0</v>
      </c>
      <c r="P462" s="7">
        <f>'Packliste Orig'!P467</f>
        <v>0</v>
      </c>
      <c r="Q462" s="7">
        <f>'Orderformular Color Kids'!Q490</f>
        <v>0</v>
      </c>
      <c r="R462" s="7">
        <f>'Orderformular Color Kids'!R490</f>
        <v>0</v>
      </c>
      <c r="S462" s="6">
        <f t="shared" si="7"/>
        <v>0</v>
      </c>
      <c r="T462" s="50">
        <f>'Orderformular Color Kids'!U490</f>
        <v>0</v>
      </c>
    </row>
    <row r="463" spans="1:20" x14ac:dyDescent="0.2">
      <c r="A463" s="61">
        <f>'Orderformular Color Kids'!A491</f>
        <v>0</v>
      </c>
      <c r="B463" s="62">
        <f>'Orderformular Color Kids'!B491</f>
        <v>0</v>
      </c>
      <c r="C463" s="8">
        <f>'Orderformular Color Kids'!C491</f>
        <v>0</v>
      </c>
      <c r="D463" s="8">
        <f>'Orderformular Color Kids'!D491</f>
        <v>0</v>
      </c>
      <c r="E463" s="4">
        <f>'Orderformular Color Kids'!E491</f>
        <v>0</v>
      </c>
      <c r="F463" s="4">
        <f>'Orderformular Color Kids'!F491</f>
        <v>0</v>
      </c>
      <c r="G463" s="4">
        <f>'Orderformular Color Kids'!G491</f>
        <v>0</v>
      </c>
      <c r="H463" s="4">
        <f>'Orderformular Color Kids'!H491</f>
        <v>0</v>
      </c>
      <c r="I463" s="4">
        <f>'Orderformular Color Kids'!I491</f>
        <v>0</v>
      </c>
      <c r="J463" s="4">
        <f>'Orderformular Color Kids'!J491</f>
        <v>0</v>
      </c>
      <c r="K463" s="4">
        <f>'Orderformular Color Kids'!K491</f>
        <v>0</v>
      </c>
      <c r="L463" s="4">
        <f>'Orderformular Color Kids'!L491</f>
        <v>0</v>
      </c>
      <c r="M463" s="7">
        <f>'Orderformular Color Kids'!M491</f>
        <v>0</v>
      </c>
      <c r="N463" s="7">
        <f>'Packliste Orig'!N468</f>
        <v>0</v>
      </c>
      <c r="O463" s="7">
        <f>'Orderformular Color Kids'!O491</f>
        <v>0</v>
      </c>
      <c r="P463" s="7">
        <f>'Packliste Orig'!P468</f>
        <v>0</v>
      </c>
      <c r="Q463" s="7">
        <f>'Orderformular Color Kids'!Q491</f>
        <v>0</v>
      </c>
      <c r="R463" s="7">
        <f>'Orderformular Color Kids'!R491</f>
        <v>0</v>
      </c>
      <c r="S463" s="6">
        <f t="shared" si="7"/>
        <v>0</v>
      </c>
      <c r="T463" s="50">
        <f>'Orderformular Color Kids'!U491</f>
        <v>0</v>
      </c>
    </row>
    <row r="464" spans="1:20" x14ac:dyDescent="0.2">
      <c r="A464" s="61">
        <f>'Orderformular Color Kids'!A492</f>
        <v>0</v>
      </c>
      <c r="B464" s="62">
        <f>'Orderformular Color Kids'!B492</f>
        <v>0</v>
      </c>
      <c r="C464" s="8">
        <f>'Orderformular Color Kids'!C492</f>
        <v>0</v>
      </c>
      <c r="D464" s="8">
        <f>'Orderformular Color Kids'!D492</f>
        <v>0</v>
      </c>
      <c r="E464" s="4">
        <f>'Orderformular Color Kids'!E492</f>
        <v>0</v>
      </c>
      <c r="F464" s="4">
        <f>'Orderformular Color Kids'!F492</f>
        <v>0</v>
      </c>
      <c r="G464" s="4">
        <f>'Orderformular Color Kids'!G492</f>
        <v>0</v>
      </c>
      <c r="H464" s="4">
        <f>'Orderformular Color Kids'!H492</f>
        <v>0</v>
      </c>
      <c r="I464" s="4">
        <f>'Orderformular Color Kids'!I492</f>
        <v>0</v>
      </c>
      <c r="J464" s="4">
        <f>'Orderformular Color Kids'!J492</f>
        <v>0</v>
      </c>
      <c r="K464" s="4">
        <f>'Orderformular Color Kids'!K492</f>
        <v>0</v>
      </c>
      <c r="L464" s="4">
        <f>'Orderformular Color Kids'!L492</f>
        <v>0</v>
      </c>
      <c r="M464" s="7">
        <f>'Orderformular Color Kids'!M492</f>
        <v>0</v>
      </c>
      <c r="N464" s="7">
        <f>'Packliste Orig'!N469</f>
        <v>0</v>
      </c>
      <c r="O464" s="7">
        <f>'Orderformular Color Kids'!O492</f>
        <v>0</v>
      </c>
      <c r="P464" s="7">
        <f>'Packliste Orig'!P469</f>
        <v>0</v>
      </c>
      <c r="Q464" s="7">
        <f>'Orderformular Color Kids'!Q492</f>
        <v>0</v>
      </c>
      <c r="R464" s="7">
        <f>'Orderformular Color Kids'!R492</f>
        <v>0</v>
      </c>
      <c r="S464" s="6">
        <f t="shared" si="7"/>
        <v>0</v>
      </c>
      <c r="T464" s="50">
        <f>'Orderformular Color Kids'!U492</f>
        <v>0</v>
      </c>
    </row>
    <row r="465" spans="1:20" x14ac:dyDescent="0.2">
      <c r="A465" s="61">
        <f>'Orderformular Color Kids'!A493</f>
        <v>0</v>
      </c>
      <c r="B465" s="62">
        <f>'Orderformular Color Kids'!B493</f>
        <v>0</v>
      </c>
      <c r="C465" s="8">
        <f>'Orderformular Color Kids'!C493</f>
        <v>0</v>
      </c>
      <c r="D465" s="8">
        <f>'Orderformular Color Kids'!D493</f>
        <v>0</v>
      </c>
      <c r="E465" s="4">
        <f>'Orderformular Color Kids'!E493</f>
        <v>0</v>
      </c>
      <c r="F465" s="4">
        <f>'Orderformular Color Kids'!F493</f>
        <v>0</v>
      </c>
      <c r="G465" s="4">
        <f>'Orderformular Color Kids'!G493</f>
        <v>0</v>
      </c>
      <c r="H465" s="4">
        <f>'Orderformular Color Kids'!H493</f>
        <v>0</v>
      </c>
      <c r="I465" s="4">
        <f>'Orderformular Color Kids'!I493</f>
        <v>0</v>
      </c>
      <c r="J465" s="4">
        <f>'Orderformular Color Kids'!J493</f>
        <v>0</v>
      </c>
      <c r="K465" s="4">
        <f>'Orderformular Color Kids'!K493</f>
        <v>0</v>
      </c>
      <c r="L465" s="4">
        <f>'Orderformular Color Kids'!L493</f>
        <v>0</v>
      </c>
      <c r="M465" s="7">
        <f>'Orderformular Color Kids'!M493</f>
        <v>0</v>
      </c>
      <c r="N465" s="7">
        <f>'Packliste Orig'!N470</f>
        <v>0</v>
      </c>
      <c r="O465" s="7">
        <f>'Orderformular Color Kids'!O493</f>
        <v>0</v>
      </c>
      <c r="P465" s="7">
        <f>'Packliste Orig'!P470</f>
        <v>0</v>
      </c>
      <c r="Q465" s="7">
        <f>'Orderformular Color Kids'!Q493</f>
        <v>0</v>
      </c>
      <c r="R465" s="7">
        <f>'Orderformular Color Kids'!R493</f>
        <v>0</v>
      </c>
      <c r="S465" s="6">
        <f t="shared" si="7"/>
        <v>0</v>
      </c>
      <c r="T465" s="50">
        <f>'Orderformular Color Kids'!U493</f>
        <v>0</v>
      </c>
    </row>
    <row r="466" spans="1:20" x14ac:dyDescent="0.2">
      <c r="A466" s="61">
        <f>'Orderformular Color Kids'!A494</f>
        <v>0</v>
      </c>
      <c r="B466" s="62">
        <f>'Orderformular Color Kids'!B494</f>
        <v>0</v>
      </c>
      <c r="C466" s="8">
        <f>'Orderformular Color Kids'!C494</f>
        <v>0</v>
      </c>
      <c r="D466" s="8">
        <f>'Orderformular Color Kids'!D494</f>
        <v>0</v>
      </c>
      <c r="E466" s="4">
        <f>'Orderformular Color Kids'!E494</f>
        <v>0</v>
      </c>
      <c r="F466" s="4">
        <f>'Orderformular Color Kids'!F494</f>
        <v>0</v>
      </c>
      <c r="G466" s="4">
        <f>'Orderformular Color Kids'!G494</f>
        <v>0</v>
      </c>
      <c r="H466" s="4">
        <f>'Orderformular Color Kids'!H494</f>
        <v>0</v>
      </c>
      <c r="I466" s="4">
        <f>'Orderformular Color Kids'!I494</f>
        <v>0</v>
      </c>
      <c r="J466" s="4">
        <f>'Orderformular Color Kids'!J494</f>
        <v>0</v>
      </c>
      <c r="K466" s="4">
        <f>'Orderformular Color Kids'!K494</f>
        <v>0</v>
      </c>
      <c r="L466" s="4">
        <f>'Orderformular Color Kids'!L494</f>
        <v>0</v>
      </c>
      <c r="M466" s="7">
        <f>'Orderformular Color Kids'!M494</f>
        <v>0</v>
      </c>
      <c r="N466" s="7">
        <f>'Packliste Orig'!N471</f>
        <v>0</v>
      </c>
      <c r="O466" s="7">
        <f>'Orderformular Color Kids'!O494</f>
        <v>0</v>
      </c>
      <c r="P466" s="7">
        <f>'Packliste Orig'!P471</f>
        <v>0</v>
      </c>
      <c r="Q466" s="7">
        <f>'Orderformular Color Kids'!Q494</f>
        <v>0</v>
      </c>
      <c r="R466" s="7">
        <f>'Orderformular Color Kids'!R494</f>
        <v>0</v>
      </c>
      <c r="S466" s="6">
        <f t="shared" si="7"/>
        <v>0</v>
      </c>
      <c r="T466" s="50">
        <f>'Orderformular Color Kids'!U494</f>
        <v>0</v>
      </c>
    </row>
    <row r="467" spans="1:20" x14ac:dyDescent="0.2">
      <c r="A467" s="61">
        <f>'Orderformular Color Kids'!A495</f>
        <v>0</v>
      </c>
      <c r="B467" s="62">
        <f>'Orderformular Color Kids'!B495</f>
        <v>0</v>
      </c>
      <c r="C467" s="8">
        <f>'Orderformular Color Kids'!C495</f>
        <v>0</v>
      </c>
      <c r="D467" s="8">
        <f>'Orderformular Color Kids'!D495</f>
        <v>0</v>
      </c>
      <c r="E467" s="4">
        <f>'Orderformular Color Kids'!E495</f>
        <v>0</v>
      </c>
      <c r="F467" s="4">
        <f>'Orderformular Color Kids'!F495</f>
        <v>0</v>
      </c>
      <c r="G467" s="4">
        <f>'Orderformular Color Kids'!G495</f>
        <v>0</v>
      </c>
      <c r="H467" s="4">
        <f>'Orderformular Color Kids'!H495</f>
        <v>0</v>
      </c>
      <c r="I467" s="4">
        <f>'Orderformular Color Kids'!I495</f>
        <v>0</v>
      </c>
      <c r="J467" s="4">
        <f>'Orderformular Color Kids'!J495</f>
        <v>0</v>
      </c>
      <c r="K467" s="4">
        <f>'Orderformular Color Kids'!K495</f>
        <v>0</v>
      </c>
      <c r="L467" s="4">
        <f>'Orderformular Color Kids'!L495</f>
        <v>0</v>
      </c>
      <c r="M467" s="7">
        <f>'Orderformular Color Kids'!M495</f>
        <v>0</v>
      </c>
      <c r="N467" s="7">
        <f>'Packliste Orig'!N472</f>
        <v>0</v>
      </c>
      <c r="O467" s="7">
        <f>'Orderformular Color Kids'!O495</f>
        <v>0</v>
      </c>
      <c r="P467" s="7">
        <f>'Packliste Orig'!P472</f>
        <v>0</v>
      </c>
      <c r="Q467" s="7">
        <f>'Orderformular Color Kids'!Q495</f>
        <v>0</v>
      </c>
      <c r="R467" s="7">
        <f>'Orderformular Color Kids'!R495</f>
        <v>0</v>
      </c>
      <c r="S467" s="6">
        <f t="shared" si="7"/>
        <v>0</v>
      </c>
      <c r="T467" s="50">
        <f>'Orderformular Color Kids'!U495</f>
        <v>0</v>
      </c>
    </row>
    <row r="468" spans="1:20" x14ac:dyDescent="0.2">
      <c r="A468" s="61">
        <f>'Orderformular Color Kids'!A496</f>
        <v>0</v>
      </c>
      <c r="B468" s="62">
        <f>'Orderformular Color Kids'!B496</f>
        <v>0</v>
      </c>
      <c r="C468" s="8">
        <f>'Orderformular Color Kids'!C496</f>
        <v>0</v>
      </c>
      <c r="D468" s="8">
        <f>'Orderformular Color Kids'!D496</f>
        <v>0</v>
      </c>
      <c r="E468" s="4">
        <f>'Orderformular Color Kids'!E496</f>
        <v>0</v>
      </c>
      <c r="F468" s="4">
        <f>'Orderformular Color Kids'!F496</f>
        <v>0</v>
      </c>
      <c r="G468" s="4">
        <f>'Orderformular Color Kids'!G496</f>
        <v>0</v>
      </c>
      <c r="H468" s="4">
        <f>'Orderformular Color Kids'!H496</f>
        <v>0</v>
      </c>
      <c r="I468" s="4">
        <f>'Orderformular Color Kids'!I496</f>
        <v>0</v>
      </c>
      <c r="J468" s="4">
        <f>'Orderformular Color Kids'!J496</f>
        <v>0</v>
      </c>
      <c r="K468" s="4">
        <f>'Orderformular Color Kids'!K496</f>
        <v>0</v>
      </c>
      <c r="L468" s="4">
        <f>'Orderformular Color Kids'!L496</f>
        <v>0</v>
      </c>
      <c r="M468" s="7">
        <f>'Orderformular Color Kids'!M496</f>
        <v>0</v>
      </c>
      <c r="N468" s="7">
        <f>'Packliste Orig'!N473</f>
        <v>0</v>
      </c>
      <c r="O468" s="7">
        <f>'Orderformular Color Kids'!O496</f>
        <v>0</v>
      </c>
      <c r="P468" s="7">
        <f>'Packliste Orig'!P473</f>
        <v>0</v>
      </c>
      <c r="Q468" s="7">
        <f>'Orderformular Color Kids'!Q496</f>
        <v>0</v>
      </c>
      <c r="R468" s="7">
        <f>'Orderformular Color Kids'!R496</f>
        <v>0</v>
      </c>
      <c r="S468" s="6">
        <f t="shared" si="7"/>
        <v>0</v>
      </c>
      <c r="T468" s="50">
        <f>'Orderformular Color Kids'!U496</f>
        <v>0</v>
      </c>
    </row>
    <row r="469" spans="1:20" x14ac:dyDescent="0.2">
      <c r="A469" s="61">
        <f>'Orderformular Color Kids'!A497</f>
        <v>0</v>
      </c>
      <c r="B469" s="62">
        <f>'Orderformular Color Kids'!B497</f>
        <v>0</v>
      </c>
      <c r="C469" s="8">
        <f>'Orderformular Color Kids'!C497</f>
        <v>0</v>
      </c>
      <c r="D469" s="8">
        <f>'Orderformular Color Kids'!D497</f>
        <v>0</v>
      </c>
      <c r="E469" s="4">
        <f>'Orderformular Color Kids'!E497</f>
        <v>0</v>
      </c>
      <c r="F469" s="4">
        <f>'Orderformular Color Kids'!F497</f>
        <v>0</v>
      </c>
      <c r="G469" s="4">
        <f>'Orderformular Color Kids'!G497</f>
        <v>0</v>
      </c>
      <c r="H469" s="4">
        <f>'Orderformular Color Kids'!H497</f>
        <v>0</v>
      </c>
      <c r="I469" s="4">
        <f>'Orderformular Color Kids'!I497</f>
        <v>0</v>
      </c>
      <c r="J469" s="4">
        <f>'Orderformular Color Kids'!J497</f>
        <v>0</v>
      </c>
      <c r="K469" s="4">
        <f>'Orderformular Color Kids'!K497</f>
        <v>0</v>
      </c>
      <c r="L469" s="4">
        <f>'Orderformular Color Kids'!L497</f>
        <v>0</v>
      </c>
      <c r="M469" s="7">
        <f>'Orderformular Color Kids'!M497</f>
        <v>0</v>
      </c>
      <c r="N469" s="7">
        <f>'Packliste Orig'!N474</f>
        <v>0</v>
      </c>
      <c r="O469" s="7">
        <f>'Orderformular Color Kids'!O497</f>
        <v>0</v>
      </c>
      <c r="P469" s="7">
        <f>'Packliste Orig'!P474</f>
        <v>0</v>
      </c>
      <c r="Q469" s="7">
        <f>'Orderformular Color Kids'!Q497</f>
        <v>0</v>
      </c>
      <c r="R469" s="7">
        <f>'Orderformular Color Kids'!R497</f>
        <v>0</v>
      </c>
      <c r="S469" s="6">
        <f t="shared" si="7"/>
        <v>0</v>
      </c>
      <c r="T469" s="50">
        <f>'Orderformular Color Kids'!U497</f>
        <v>0</v>
      </c>
    </row>
    <row r="470" spans="1:20" x14ac:dyDescent="0.2">
      <c r="A470" s="61">
        <f>'Orderformular Color Kids'!A498</f>
        <v>0</v>
      </c>
      <c r="B470" s="62">
        <f>'Orderformular Color Kids'!B498</f>
        <v>0</v>
      </c>
      <c r="C470" s="8">
        <f>'Orderformular Color Kids'!C498</f>
        <v>0</v>
      </c>
      <c r="D470" s="8">
        <f>'Orderformular Color Kids'!D498</f>
        <v>0</v>
      </c>
      <c r="E470" s="4">
        <f>'Orderformular Color Kids'!E498</f>
        <v>0</v>
      </c>
      <c r="F470" s="4">
        <f>'Orderformular Color Kids'!F498</f>
        <v>0</v>
      </c>
      <c r="G470" s="4">
        <f>'Orderformular Color Kids'!G498</f>
        <v>0</v>
      </c>
      <c r="H470" s="4">
        <f>'Orderformular Color Kids'!H498</f>
        <v>0</v>
      </c>
      <c r="I470" s="4">
        <f>'Orderformular Color Kids'!I498</f>
        <v>0</v>
      </c>
      <c r="J470" s="4">
        <f>'Orderformular Color Kids'!J498</f>
        <v>0</v>
      </c>
      <c r="K470" s="4">
        <f>'Orderformular Color Kids'!K498</f>
        <v>0</v>
      </c>
      <c r="L470" s="4">
        <f>'Orderformular Color Kids'!L498</f>
        <v>0</v>
      </c>
      <c r="M470" s="7">
        <f>'Orderformular Color Kids'!M498</f>
        <v>0</v>
      </c>
      <c r="N470" s="7">
        <f>'Packliste Orig'!N475</f>
        <v>0</v>
      </c>
      <c r="O470" s="7">
        <f>'Orderformular Color Kids'!O498</f>
        <v>0</v>
      </c>
      <c r="P470" s="7">
        <f>'Packliste Orig'!P475</f>
        <v>0</v>
      </c>
      <c r="Q470" s="7">
        <f>'Orderformular Color Kids'!Q498</f>
        <v>0</v>
      </c>
      <c r="R470" s="7">
        <f>'Orderformular Color Kids'!R498</f>
        <v>0</v>
      </c>
      <c r="S470" s="6">
        <f t="shared" si="7"/>
        <v>0</v>
      </c>
      <c r="T470" s="50">
        <f>'Orderformular Color Kids'!U498</f>
        <v>0</v>
      </c>
    </row>
    <row r="471" spans="1:20" x14ac:dyDescent="0.2">
      <c r="A471" s="61">
        <f>'Orderformular Color Kids'!A499</f>
        <v>0</v>
      </c>
      <c r="B471" s="62">
        <f>'Orderformular Color Kids'!B499</f>
        <v>0</v>
      </c>
      <c r="C471" s="8">
        <f>'Orderformular Color Kids'!C499</f>
        <v>0</v>
      </c>
      <c r="D471" s="8">
        <f>'Orderformular Color Kids'!D499</f>
        <v>0</v>
      </c>
      <c r="E471" s="4">
        <f>'Orderformular Color Kids'!E499</f>
        <v>0</v>
      </c>
      <c r="F471" s="4">
        <f>'Orderformular Color Kids'!F499</f>
        <v>0</v>
      </c>
      <c r="G471" s="4">
        <f>'Orderformular Color Kids'!G499</f>
        <v>0</v>
      </c>
      <c r="H471" s="4">
        <f>'Orderformular Color Kids'!H499</f>
        <v>0</v>
      </c>
      <c r="I471" s="4">
        <f>'Orderformular Color Kids'!I499</f>
        <v>0</v>
      </c>
      <c r="J471" s="4">
        <f>'Orderformular Color Kids'!J499</f>
        <v>0</v>
      </c>
      <c r="K471" s="4">
        <f>'Orderformular Color Kids'!K499</f>
        <v>0</v>
      </c>
      <c r="L471" s="4">
        <f>'Orderformular Color Kids'!L499</f>
        <v>0</v>
      </c>
      <c r="M471" s="7">
        <f>'Orderformular Color Kids'!M499</f>
        <v>0</v>
      </c>
      <c r="N471" s="7">
        <f>'Packliste Orig'!N476</f>
        <v>0</v>
      </c>
      <c r="O471" s="7">
        <f>'Orderformular Color Kids'!O499</f>
        <v>0</v>
      </c>
      <c r="P471" s="7">
        <f>'Packliste Orig'!P476</f>
        <v>0</v>
      </c>
      <c r="Q471" s="7">
        <f>'Orderformular Color Kids'!Q499</f>
        <v>0</v>
      </c>
      <c r="R471" s="7">
        <f>'Orderformular Color Kids'!R499</f>
        <v>0</v>
      </c>
      <c r="S471" s="6">
        <f t="shared" si="7"/>
        <v>0</v>
      </c>
      <c r="T471" s="50">
        <f>'Orderformular Color Kids'!U499</f>
        <v>0</v>
      </c>
    </row>
    <row r="472" spans="1:20" x14ac:dyDescent="0.2">
      <c r="A472" s="61">
        <f>'Orderformular Color Kids'!A500</f>
        <v>0</v>
      </c>
      <c r="B472" s="62">
        <f>'Orderformular Color Kids'!B500</f>
        <v>0</v>
      </c>
      <c r="C472" s="8">
        <f>'Orderformular Color Kids'!C500</f>
        <v>0</v>
      </c>
      <c r="D472" s="8">
        <f>'Orderformular Color Kids'!D500</f>
        <v>0</v>
      </c>
      <c r="E472" s="4">
        <f>'Orderformular Color Kids'!E500</f>
        <v>0</v>
      </c>
      <c r="F472" s="4">
        <f>'Orderformular Color Kids'!F500</f>
        <v>0</v>
      </c>
      <c r="G472" s="4">
        <f>'Orderformular Color Kids'!G500</f>
        <v>0</v>
      </c>
      <c r="H472" s="4">
        <f>'Orderformular Color Kids'!H500</f>
        <v>0</v>
      </c>
      <c r="I472" s="4">
        <f>'Orderformular Color Kids'!I500</f>
        <v>0</v>
      </c>
      <c r="J472" s="4">
        <f>'Orderformular Color Kids'!J500</f>
        <v>0</v>
      </c>
      <c r="K472" s="4">
        <f>'Orderformular Color Kids'!K500</f>
        <v>0</v>
      </c>
      <c r="L472" s="4">
        <f>'Orderformular Color Kids'!L500</f>
        <v>0</v>
      </c>
      <c r="M472" s="7">
        <f>'Orderformular Color Kids'!M500</f>
        <v>0</v>
      </c>
      <c r="N472" s="7">
        <f>'Packliste Orig'!N477</f>
        <v>0</v>
      </c>
      <c r="O472" s="7">
        <f>'Orderformular Color Kids'!O500</f>
        <v>0</v>
      </c>
      <c r="P472" s="7">
        <f>'Packliste Orig'!P477</f>
        <v>0</v>
      </c>
      <c r="Q472" s="7">
        <f>'Orderformular Color Kids'!Q500</f>
        <v>0</v>
      </c>
      <c r="R472" s="7">
        <f>'Orderformular Color Kids'!R500</f>
        <v>0</v>
      </c>
      <c r="S472" s="6">
        <f t="shared" si="7"/>
        <v>0</v>
      </c>
      <c r="T472" s="50">
        <f>'Orderformular Color Kids'!U500</f>
        <v>0</v>
      </c>
    </row>
    <row r="473" spans="1:20" x14ac:dyDescent="0.2">
      <c r="A473" s="61">
        <f>'Orderformular Color Kids'!A501</f>
        <v>0</v>
      </c>
      <c r="B473" s="62">
        <f>'Orderformular Color Kids'!B501</f>
        <v>0</v>
      </c>
      <c r="C473" s="8">
        <f>'Orderformular Color Kids'!C501</f>
        <v>0</v>
      </c>
      <c r="D473" s="8">
        <f>'Orderformular Color Kids'!D501</f>
        <v>0</v>
      </c>
      <c r="E473" s="4">
        <f>'Orderformular Color Kids'!E501</f>
        <v>0</v>
      </c>
      <c r="F473" s="4">
        <f>'Orderformular Color Kids'!F501</f>
        <v>0</v>
      </c>
      <c r="G473" s="4">
        <f>'Orderformular Color Kids'!G501</f>
        <v>0</v>
      </c>
      <c r="H473" s="4">
        <f>'Orderformular Color Kids'!H501</f>
        <v>0</v>
      </c>
      <c r="I473" s="4">
        <f>'Orderformular Color Kids'!I501</f>
        <v>0</v>
      </c>
      <c r="J473" s="4">
        <f>'Orderformular Color Kids'!J501</f>
        <v>0</v>
      </c>
      <c r="K473" s="4">
        <f>'Orderformular Color Kids'!K501</f>
        <v>0</v>
      </c>
      <c r="L473" s="4">
        <f>'Orderformular Color Kids'!L501</f>
        <v>0</v>
      </c>
      <c r="M473" s="7">
        <f>'Orderformular Color Kids'!M501</f>
        <v>0</v>
      </c>
      <c r="N473" s="7">
        <f>'Packliste Orig'!N478</f>
        <v>0</v>
      </c>
      <c r="O473" s="7">
        <f>'Orderformular Color Kids'!O501</f>
        <v>0</v>
      </c>
      <c r="P473" s="7">
        <f>'Packliste Orig'!P478</f>
        <v>0</v>
      </c>
      <c r="Q473" s="7">
        <f>'Orderformular Color Kids'!Q501</f>
        <v>0</v>
      </c>
      <c r="R473" s="7">
        <f>'Orderformular Color Kids'!R501</f>
        <v>0</v>
      </c>
      <c r="S473" s="6">
        <f t="shared" si="7"/>
        <v>0</v>
      </c>
      <c r="T473" s="50">
        <f>'Orderformular Color Kids'!U501</f>
        <v>0</v>
      </c>
    </row>
    <row r="474" spans="1:20" x14ac:dyDescent="0.2">
      <c r="A474" s="61">
        <f>'Orderformular Color Kids'!A502</f>
        <v>0</v>
      </c>
      <c r="B474" s="62">
        <f>'Orderformular Color Kids'!B502</f>
        <v>0</v>
      </c>
      <c r="C474" s="8">
        <f>'Orderformular Color Kids'!C502</f>
        <v>0</v>
      </c>
      <c r="D474" s="8">
        <f>'Orderformular Color Kids'!D502</f>
        <v>0</v>
      </c>
      <c r="E474" s="4">
        <f>'Orderformular Color Kids'!E502</f>
        <v>0</v>
      </c>
      <c r="F474" s="4">
        <f>'Orderformular Color Kids'!F502</f>
        <v>0</v>
      </c>
      <c r="G474" s="4">
        <f>'Orderformular Color Kids'!G502</f>
        <v>0</v>
      </c>
      <c r="H474" s="4">
        <f>'Orderformular Color Kids'!H502</f>
        <v>0</v>
      </c>
      <c r="I474" s="4">
        <f>'Orderformular Color Kids'!I502</f>
        <v>0</v>
      </c>
      <c r="J474" s="4">
        <f>'Orderformular Color Kids'!J502</f>
        <v>0</v>
      </c>
      <c r="K474" s="4">
        <f>'Orderformular Color Kids'!K502</f>
        <v>0</v>
      </c>
      <c r="L474" s="4">
        <f>'Orderformular Color Kids'!L502</f>
        <v>0</v>
      </c>
      <c r="M474" s="7">
        <f>'Orderformular Color Kids'!M502</f>
        <v>0</v>
      </c>
      <c r="N474" s="7">
        <f>'Packliste Orig'!N479</f>
        <v>0</v>
      </c>
      <c r="O474" s="7">
        <f>'Orderformular Color Kids'!O502</f>
        <v>0</v>
      </c>
      <c r="P474" s="7">
        <f>'Packliste Orig'!P479</f>
        <v>0</v>
      </c>
      <c r="Q474" s="7">
        <f>'Orderformular Color Kids'!Q502</f>
        <v>0</v>
      </c>
      <c r="R474" s="7">
        <f>'Orderformular Color Kids'!R502</f>
        <v>0</v>
      </c>
      <c r="S474" s="6">
        <f t="shared" si="7"/>
        <v>0</v>
      </c>
      <c r="T474" s="50">
        <f>'Orderformular Color Kids'!U502</f>
        <v>0</v>
      </c>
    </row>
    <row r="475" spans="1:20" x14ac:dyDescent="0.2">
      <c r="A475" s="61">
        <f>'Orderformular Color Kids'!A503</f>
        <v>0</v>
      </c>
      <c r="B475" s="62">
        <f>'Orderformular Color Kids'!B503</f>
        <v>0</v>
      </c>
      <c r="C475" s="8">
        <f>'Orderformular Color Kids'!C503</f>
        <v>0</v>
      </c>
      <c r="D475" s="8">
        <f>'Orderformular Color Kids'!D503</f>
        <v>0</v>
      </c>
      <c r="E475" s="4">
        <f>'Orderformular Color Kids'!E503</f>
        <v>0</v>
      </c>
      <c r="F475" s="4">
        <f>'Orderformular Color Kids'!F503</f>
        <v>0</v>
      </c>
      <c r="G475" s="4">
        <f>'Orderformular Color Kids'!G503</f>
        <v>0</v>
      </c>
      <c r="H475" s="4">
        <f>'Orderformular Color Kids'!H503</f>
        <v>0</v>
      </c>
      <c r="I475" s="4">
        <f>'Orderformular Color Kids'!I503</f>
        <v>0</v>
      </c>
      <c r="J475" s="4">
        <f>'Orderformular Color Kids'!J503</f>
        <v>0</v>
      </c>
      <c r="K475" s="4">
        <f>'Orderformular Color Kids'!K503</f>
        <v>0</v>
      </c>
      <c r="L475" s="4">
        <f>'Orderformular Color Kids'!L503</f>
        <v>0</v>
      </c>
      <c r="M475" s="7">
        <f>'Orderformular Color Kids'!M503</f>
        <v>0</v>
      </c>
      <c r="N475" s="7">
        <f>'Packliste Orig'!N480</f>
        <v>0</v>
      </c>
      <c r="O475" s="7">
        <f>'Orderformular Color Kids'!O503</f>
        <v>0</v>
      </c>
      <c r="P475" s="7">
        <f>'Packliste Orig'!P480</f>
        <v>0</v>
      </c>
      <c r="Q475" s="7">
        <f>'Orderformular Color Kids'!Q503</f>
        <v>0</v>
      </c>
      <c r="R475" s="7">
        <f>'Orderformular Color Kids'!R503</f>
        <v>0</v>
      </c>
      <c r="S475" s="6">
        <f t="shared" si="7"/>
        <v>0</v>
      </c>
      <c r="T475" s="50">
        <f>'Orderformular Color Kids'!U503</f>
        <v>0</v>
      </c>
    </row>
    <row r="476" spans="1:20" x14ac:dyDescent="0.2">
      <c r="A476" s="61">
        <f>'Orderformular Color Kids'!A504</f>
        <v>0</v>
      </c>
      <c r="B476" s="62">
        <f>'Orderformular Color Kids'!B504</f>
        <v>0</v>
      </c>
      <c r="C476" s="8">
        <f>'Orderformular Color Kids'!C504</f>
        <v>0</v>
      </c>
      <c r="D476" s="8">
        <f>'Orderformular Color Kids'!D504</f>
        <v>0</v>
      </c>
      <c r="E476" s="4">
        <f>'Orderformular Color Kids'!E504</f>
        <v>0</v>
      </c>
      <c r="F476" s="4">
        <f>'Orderformular Color Kids'!F504</f>
        <v>0</v>
      </c>
      <c r="G476" s="4">
        <f>'Orderformular Color Kids'!G504</f>
        <v>0</v>
      </c>
      <c r="H476" s="4">
        <f>'Orderformular Color Kids'!H504</f>
        <v>0</v>
      </c>
      <c r="I476" s="4">
        <f>'Orderformular Color Kids'!I504</f>
        <v>0</v>
      </c>
      <c r="J476" s="4">
        <f>'Orderformular Color Kids'!J504</f>
        <v>0</v>
      </c>
      <c r="K476" s="4">
        <f>'Orderformular Color Kids'!K504</f>
        <v>0</v>
      </c>
      <c r="L476" s="4">
        <f>'Orderformular Color Kids'!L504</f>
        <v>0</v>
      </c>
      <c r="M476" s="7">
        <f>'Orderformular Color Kids'!M504</f>
        <v>0</v>
      </c>
      <c r="N476" s="7">
        <f>'Packliste Orig'!N481</f>
        <v>0</v>
      </c>
      <c r="O476" s="7">
        <f>'Orderformular Color Kids'!O504</f>
        <v>0</v>
      </c>
      <c r="P476" s="7">
        <f>'Packliste Orig'!P481</f>
        <v>0</v>
      </c>
      <c r="Q476" s="7">
        <f>'Orderformular Color Kids'!Q504</f>
        <v>0</v>
      </c>
      <c r="R476" s="7">
        <f>'Orderformular Color Kids'!R504</f>
        <v>0</v>
      </c>
      <c r="S476" s="6">
        <f t="shared" si="7"/>
        <v>0</v>
      </c>
      <c r="T476" s="50">
        <f>'Orderformular Color Kids'!U504</f>
        <v>0</v>
      </c>
    </row>
    <row r="477" spans="1:20" x14ac:dyDescent="0.2">
      <c r="A477" s="61">
        <f>'Orderformular Color Kids'!A505</f>
        <v>0</v>
      </c>
      <c r="B477" s="62">
        <f>'Orderformular Color Kids'!B505</f>
        <v>0</v>
      </c>
      <c r="C477" s="8">
        <f>'Orderformular Color Kids'!C505</f>
        <v>0</v>
      </c>
      <c r="D477" s="8">
        <f>'Orderformular Color Kids'!D505</f>
        <v>0</v>
      </c>
      <c r="E477" s="4">
        <f>'Orderformular Color Kids'!E505</f>
        <v>0</v>
      </c>
      <c r="F477" s="4">
        <f>'Orderformular Color Kids'!F505</f>
        <v>0</v>
      </c>
      <c r="G477" s="4">
        <f>'Orderformular Color Kids'!G505</f>
        <v>0</v>
      </c>
      <c r="H477" s="4">
        <f>'Orderformular Color Kids'!H505</f>
        <v>0</v>
      </c>
      <c r="I477" s="4">
        <f>'Orderformular Color Kids'!I505</f>
        <v>0</v>
      </c>
      <c r="J477" s="4">
        <f>'Orderformular Color Kids'!J505</f>
        <v>0</v>
      </c>
      <c r="K477" s="4">
        <f>'Orderformular Color Kids'!K505</f>
        <v>0</v>
      </c>
      <c r="L477" s="4">
        <f>'Orderformular Color Kids'!L505</f>
        <v>0</v>
      </c>
      <c r="M477" s="7">
        <f>'Orderformular Color Kids'!M505</f>
        <v>0</v>
      </c>
      <c r="N477" s="7">
        <f>'Packliste Orig'!N482</f>
        <v>0</v>
      </c>
      <c r="O477" s="7">
        <f>'Orderformular Color Kids'!O505</f>
        <v>0</v>
      </c>
      <c r="P477" s="7">
        <f>'Packliste Orig'!P482</f>
        <v>0</v>
      </c>
      <c r="Q477" s="7">
        <f>'Orderformular Color Kids'!Q505</f>
        <v>0</v>
      </c>
      <c r="R477" s="7">
        <f>'Orderformular Color Kids'!R505</f>
        <v>0</v>
      </c>
      <c r="S477" s="6">
        <f t="shared" si="7"/>
        <v>0</v>
      </c>
      <c r="T477" s="50">
        <f>'Orderformular Color Kids'!U505</f>
        <v>0</v>
      </c>
    </row>
    <row r="478" spans="1:20" x14ac:dyDescent="0.2">
      <c r="A478" s="61">
        <f>'Orderformular Color Kids'!A506</f>
        <v>0</v>
      </c>
      <c r="B478" s="62">
        <f>'Orderformular Color Kids'!B506</f>
        <v>0</v>
      </c>
      <c r="C478" s="8">
        <f>'Orderformular Color Kids'!C506</f>
        <v>0</v>
      </c>
      <c r="D478" s="8">
        <f>'Orderformular Color Kids'!D506</f>
        <v>0</v>
      </c>
      <c r="E478" s="4">
        <f>'Orderformular Color Kids'!E506</f>
        <v>0</v>
      </c>
      <c r="F478" s="4">
        <f>'Orderformular Color Kids'!F506</f>
        <v>0</v>
      </c>
      <c r="G478" s="4">
        <f>'Orderformular Color Kids'!G506</f>
        <v>0</v>
      </c>
      <c r="H478" s="4">
        <f>'Orderformular Color Kids'!H506</f>
        <v>0</v>
      </c>
      <c r="I478" s="4">
        <f>'Orderformular Color Kids'!I506</f>
        <v>0</v>
      </c>
      <c r="J478" s="4">
        <f>'Orderformular Color Kids'!J506</f>
        <v>0</v>
      </c>
      <c r="K478" s="4">
        <f>'Orderformular Color Kids'!K506</f>
        <v>0</v>
      </c>
      <c r="L478" s="4">
        <f>'Orderformular Color Kids'!L506</f>
        <v>0</v>
      </c>
      <c r="M478" s="7">
        <f>'Orderformular Color Kids'!M506</f>
        <v>0</v>
      </c>
      <c r="N478" s="7">
        <f>'Packliste Orig'!N483</f>
        <v>0</v>
      </c>
      <c r="O478" s="7">
        <f>'Orderformular Color Kids'!O506</f>
        <v>0</v>
      </c>
      <c r="P478" s="7">
        <f>'Packliste Orig'!P483</f>
        <v>0</v>
      </c>
      <c r="Q478" s="7">
        <f>'Orderformular Color Kids'!Q506</f>
        <v>0</v>
      </c>
      <c r="R478" s="7">
        <f>'Orderformular Color Kids'!R506</f>
        <v>0</v>
      </c>
      <c r="S478" s="6">
        <f t="shared" si="7"/>
        <v>0</v>
      </c>
      <c r="T478" s="50">
        <f>'Orderformular Color Kids'!U506</f>
        <v>0</v>
      </c>
    </row>
    <row r="479" spans="1:20" x14ac:dyDescent="0.2">
      <c r="A479" s="61">
        <f>'Orderformular Color Kids'!A507</f>
        <v>0</v>
      </c>
      <c r="B479" s="62">
        <f>'Orderformular Color Kids'!B507</f>
        <v>0</v>
      </c>
      <c r="C479" s="8">
        <f>'Orderformular Color Kids'!C507</f>
        <v>0</v>
      </c>
      <c r="D479" s="8">
        <f>'Orderformular Color Kids'!D507</f>
        <v>0</v>
      </c>
      <c r="E479" s="4">
        <f>'Orderformular Color Kids'!E507</f>
        <v>0</v>
      </c>
      <c r="F479" s="4">
        <f>'Orderformular Color Kids'!F507</f>
        <v>0</v>
      </c>
      <c r="G479" s="4">
        <f>'Orderformular Color Kids'!G507</f>
        <v>0</v>
      </c>
      <c r="H479" s="4">
        <f>'Orderformular Color Kids'!H507</f>
        <v>0</v>
      </c>
      <c r="I479" s="4">
        <f>'Orderformular Color Kids'!I507</f>
        <v>0</v>
      </c>
      <c r="J479" s="4">
        <f>'Orderformular Color Kids'!J507</f>
        <v>0</v>
      </c>
      <c r="K479" s="4">
        <f>'Orderformular Color Kids'!K507</f>
        <v>0</v>
      </c>
      <c r="L479" s="4">
        <f>'Orderformular Color Kids'!L507</f>
        <v>0</v>
      </c>
      <c r="M479" s="7">
        <f>'Orderformular Color Kids'!M507</f>
        <v>0</v>
      </c>
      <c r="N479" s="7">
        <f>'Packliste Orig'!N484</f>
        <v>0</v>
      </c>
      <c r="O479" s="7">
        <f>'Orderformular Color Kids'!O507</f>
        <v>0</v>
      </c>
      <c r="P479" s="7">
        <f>'Packliste Orig'!P484</f>
        <v>0</v>
      </c>
      <c r="Q479" s="7">
        <f>'Orderformular Color Kids'!Q507</f>
        <v>0</v>
      </c>
      <c r="R479" s="7">
        <f>'Orderformular Color Kids'!R507</f>
        <v>0</v>
      </c>
      <c r="S479" s="6">
        <f t="shared" si="7"/>
        <v>0</v>
      </c>
      <c r="T479" s="50">
        <f>'Orderformular Color Kids'!U507</f>
        <v>0</v>
      </c>
    </row>
    <row r="480" spans="1:20" x14ac:dyDescent="0.2">
      <c r="A480" s="61">
        <f>'Orderformular Color Kids'!A508</f>
        <v>0</v>
      </c>
      <c r="B480" s="62">
        <f>'Orderformular Color Kids'!B508</f>
        <v>0</v>
      </c>
      <c r="C480" s="8">
        <f>'Orderformular Color Kids'!C508</f>
        <v>0</v>
      </c>
      <c r="D480" s="8">
        <f>'Orderformular Color Kids'!D508</f>
        <v>0</v>
      </c>
      <c r="E480" s="4">
        <f>'Orderformular Color Kids'!E508</f>
        <v>0</v>
      </c>
      <c r="F480" s="4">
        <f>'Orderformular Color Kids'!F508</f>
        <v>0</v>
      </c>
      <c r="G480" s="4">
        <f>'Orderformular Color Kids'!G508</f>
        <v>0</v>
      </c>
      <c r="H480" s="4">
        <f>'Orderformular Color Kids'!H508</f>
        <v>0</v>
      </c>
      <c r="I480" s="4">
        <f>'Orderformular Color Kids'!I508</f>
        <v>0</v>
      </c>
      <c r="J480" s="4">
        <f>'Orderformular Color Kids'!J508</f>
        <v>0</v>
      </c>
      <c r="K480" s="4">
        <f>'Orderformular Color Kids'!K508</f>
        <v>0</v>
      </c>
      <c r="L480" s="4">
        <f>'Orderformular Color Kids'!L508</f>
        <v>0</v>
      </c>
      <c r="M480" s="7">
        <f>'Orderformular Color Kids'!M508</f>
        <v>0</v>
      </c>
      <c r="N480" s="7">
        <f>'Packliste Orig'!N485</f>
        <v>0</v>
      </c>
      <c r="O480" s="7">
        <f>'Orderformular Color Kids'!O508</f>
        <v>0</v>
      </c>
      <c r="P480" s="7">
        <f>'Packliste Orig'!P485</f>
        <v>0</v>
      </c>
      <c r="Q480" s="7">
        <f>'Orderformular Color Kids'!Q508</f>
        <v>0</v>
      </c>
      <c r="R480" s="7">
        <f>'Orderformular Color Kids'!R508</f>
        <v>0</v>
      </c>
      <c r="S480" s="6">
        <f t="shared" si="7"/>
        <v>0</v>
      </c>
      <c r="T480" s="50">
        <f>'Orderformular Color Kids'!U508</f>
        <v>0</v>
      </c>
    </row>
    <row r="481" spans="1:20" x14ac:dyDescent="0.2">
      <c r="A481" s="61">
        <f>'Orderformular Color Kids'!A509</f>
        <v>0</v>
      </c>
      <c r="B481" s="62">
        <f>'Orderformular Color Kids'!B509</f>
        <v>0</v>
      </c>
      <c r="C481" s="8">
        <f>'Orderformular Color Kids'!C509</f>
        <v>0</v>
      </c>
      <c r="D481" s="8">
        <f>'Orderformular Color Kids'!D509</f>
        <v>0</v>
      </c>
      <c r="E481" s="4">
        <f>'Orderformular Color Kids'!E509</f>
        <v>0</v>
      </c>
      <c r="F481" s="4">
        <f>'Orderformular Color Kids'!F509</f>
        <v>0</v>
      </c>
      <c r="G481" s="4">
        <f>'Orderformular Color Kids'!G509</f>
        <v>0</v>
      </c>
      <c r="H481" s="4">
        <f>'Orderformular Color Kids'!H509</f>
        <v>0</v>
      </c>
      <c r="I481" s="4">
        <f>'Orderformular Color Kids'!I509</f>
        <v>0</v>
      </c>
      <c r="J481" s="4">
        <f>'Orderformular Color Kids'!J509</f>
        <v>0</v>
      </c>
      <c r="K481" s="4">
        <f>'Orderformular Color Kids'!K509</f>
        <v>0</v>
      </c>
      <c r="L481" s="4">
        <f>'Orderformular Color Kids'!L509</f>
        <v>0</v>
      </c>
      <c r="M481" s="7">
        <f>'Orderformular Color Kids'!M509</f>
        <v>0</v>
      </c>
      <c r="N481" s="7">
        <f>'Packliste Orig'!N486</f>
        <v>0</v>
      </c>
      <c r="O481" s="7">
        <f>'Orderformular Color Kids'!O509</f>
        <v>0</v>
      </c>
      <c r="P481" s="7">
        <f>'Packliste Orig'!P486</f>
        <v>0</v>
      </c>
      <c r="Q481" s="7">
        <f>'Orderformular Color Kids'!Q509</f>
        <v>0</v>
      </c>
      <c r="R481" s="7">
        <f>'Orderformular Color Kids'!R509</f>
        <v>0</v>
      </c>
      <c r="S481" s="6">
        <f t="shared" si="7"/>
        <v>0</v>
      </c>
      <c r="T481" s="50">
        <f>'Orderformular Color Kids'!U509</f>
        <v>0</v>
      </c>
    </row>
    <row r="482" spans="1:20" x14ac:dyDescent="0.2">
      <c r="A482" s="61">
        <f>'Orderformular Color Kids'!A510</f>
        <v>0</v>
      </c>
      <c r="B482" s="62">
        <f>'Orderformular Color Kids'!B510</f>
        <v>0</v>
      </c>
      <c r="C482" s="8">
        <f>'Orderformular Color Kids'!C510</f>
        <v>0</v>
      </c>
      <c r="D482" s="8">
        <f>'Orderformular Color Kids'!D510</f>
        <v>0</v>
      </c>
      <c r="E482" s="4">
        <f>'Orderformular Color Kids'!E510</f>
        <v>0</v>
      </c>
      <c r="F482" s="4">
        <f>'Orderformular Color Kids'!F510</f>
        <v>0</v>
      </c>
      <c r="G482" s="4">
        <f>'Orderformular Color Kids'!G510</f>
        <v>0</v>
      </c>
      <c r="H482" s="4">
        <f>'Orderformular Color Kids'!H510</f>
        <v>0</v>
      </c>
      <c r="I482" s="4">
        <f>'Orderformular Color Kids'!I510</f>
        <v>0</v>
      </c>
      <c r="J482" s="4">
        <f>'Orderformular Color Kids'!J510</f>
        <v>0</v>
      </c>
      <c r="K482" s="4">
        <f>'Orderformular Color Kids'!K510</f>
        <v>0</v>
      </c>
      <c r="L482" s="4">
        <f>'Orderformular Color Kids'!L510</f>
        <v>0</v>
      </c>
      <c r="M482" s="7">
        <f>'Orderformular Color Kids'!M510</f>
        <v>0</v>
      </c>
      <c r="N482" s="7">
        <f>'Packliste Orig'!N487</f>
        <v>0</v>
      </c>
      <c r="O482" s="7">
        <f>'Orderformular Color Kids'!O510</f>
        <v>0</v>
      </c>
      <c r="P482" s="7">
        <f>'Packliste Orig'!P487</f>
        <v>0</v>
      </c>
      <c r="Q482" s="7">
        <f>'Orderformular Color Kids'!Q510</f>
        <v>0</v>
      </c>
      <c r="R482" s="7">
        <f>'Orderformular Color Kids'!R510</f>
        <v>0</v>
      </c>
      <c r="S482" s="6">
        <f t="shared" si="7"/>
        <v>0</v>
      </c>
      <c r="T482" s="50">
        <f>'Orderformular Color Kids'!U510</f>
        <v>0</v>
      </c>
    </row>
    <row r="483" spans="1:20" x14ac:dyDescent="0.2">
      <c r="A483" s="61">
        <f>'Orderformular Color Kids'!A511</f>
        <v>0</v>
      </c>
      <c r="B483" s="62">
        <f>'Orderformular Color Kids'!B511</f>
        <v>0</v>
      </c>
      <c r="C483" s="8">
        <f>'Orderformular Color Kids'!C511</f>
        <v>0</v>
      </c>
      <c r="D483" s="8">
        <f>'Orderformular Color Kids'!D511</f>
        <v>0</v>
      </c>
      <c r="E483" s="4">
        <f>'Orderformular Color Kids'!E511</f>
        <v>0</v>
      </c>
      <c r="F483" s="4">
        <f>'Orderformular Color Kids'!F511</f>
        <v>0</v>
      </c>
      <c r="G483" s="4">
        <f>'Orderformular Color Kids'!G511</f>
        <v>0</v>
      </c>
      <c r="H483" s="4">
        <f>'Orderformular Color Kids'!H511</f>
        <v>0</v>
      </c>
      <c r="I483" s="4">
        <f>'Orderformular Color Kids'!I511</f>
        <v>0</v>
      </c>
      <c r="J483" s="4">
        <f>'Orderformular Color Kids'!J511</f>
        <v>0</v>
      </c>
      <c r="K483" s="4">
        <f>'Orderformular Color Kids'!K511</f>
        <v>0</v>
      </c>
      <c r="L483" s="4">
        <f>'Orderformular Color Kids'!L511</f>
        <v>0</v>
      </c>
      <c r="M483" s="7">
        <f>'Orderformular Color Kids'!M511</f>
        <v>0</v>
      </c>
      <c r="N483" s="7">
        <f>'Packliste Orig'!N488</f>
        <v>0</v>
      </c>
      <c r="O483" s="7">
        <f>'Orderformular Color Kids'!O511</f>
        <v>0</v>
      </c>
      <c r="P483" s="7">
        <f>'Packliste Orig'!P488</f>
        <v>0</v>
      </c>
      <c r="Q483" s="7">
        <f>'Orderformular Color Kids'!Q511</f>
        <v>0</v>
      </c>
      <c r="R483" s="7">
        <f>'Orderformular Color Kids'!R511</f>
        <v>0</v>
      </c>
      <c r="S483" s="6">
        <f t="shared" si="7"/>
        <v>0</v>
      </c>
      <c r="T483" s="50">
        <f>'Orderformular Color Kids'!U511</f>
        <v>0</v>
      </c>
    </row>
    <row r="484" spans="1:20" x14ac:dyDescent="0.2">
      <c r="A484" s="61">
        <f>'Orderformular Color Kids'!A512</f>
        <v>0</v>
      </c>
      <c r="B484" s="62">
        <f>'Orderformular Color Kids'!B512</f>
        <v>0</v>
      </c>
      <c r="C484" s="8">
        <f>'Orderformular Color Kids'!C512</f>
        <v>0</v>
      </c>
      <c r="D484" s="8">
        <f>'Orderformular Color Kids'!D512</f>
        <v>0</v>
      </c>
      <c r="E484" s="4">
        <f>'Orderformular Color Kids'!E512</f>
        <v>0</v>
      </c>
      <c r="F484" s="4">
        <f>'Orderformular Color Kids'!F512</f>
        <v>0</v>
      </c>
      <c r="G484" s="4">
        <f>'Orderformular Color Kids'!G512</f>
        <v>0</v>
      </c>
      <c r="H484" s="4">
        <f>'Orderformular Color Kids'!H512</f>
        <v>0</v>
      </c>
      <c r="I484" s="4">
        <f>'Orderformular Color Kids'!I512</f>
        <v>0</v>
      </c>
      <c r="J484" s="4">
        <f>'Orderformular Color Kids'!J512</f>
        <v>0</v>
      </c>
      <c r="K484" s="4">
        <f>'Orderformular Color Kids'!K512</f>
        <v>0</v>
      </c>
      <c r="L484" s="4">
        <f>'Orderformular Color Kids'!L512</f>
        <v>0</v>
      </c>
      <c r="M484" s="7">
        <f>'Orderformular Color Kids'!M512</f>
        <v>0</v>
      </c>
      <c r="N484" s="7">
        <f>'Packliste Orig'!N489</f>
        <v>0</v>
      </c>
      <c r="O484" s="7">
        <f>'Orderformular Color Kids'!O512</f>
        <v>0</v>
      </c>
      <c r="P484" s="7">
        <f>'Packliste Orig'!P489</f>
        <v>0</v>
      </c>
      <c r="Q484" s="7">
        <f>'Orderformular Color Kids'!Q512</f>
        <v>0</v>
      </c>
      <c r="R484" s="7">
        <f>'Orderformular Color Kids'!R512</f>
        <v>0</v>
      </c>
      <c r="S484" s="6">
        <f t="shared" si="7"/>
        <v>0</v>
      </c>
      <c r="T484" s="50">
        <f>'Orderformular Color Kids'!U512</f>
        <v>0</v>
      </c>
    </row>
    <row r="485" spans="1:20" x14ac:dyDescent="0.2">
      <c r="A485" s="61">
        <f>'Orderformular Color Kids'!A513</f>
        <v>0</v>
      </c>
      <c r="B485" s="62">
        <f>'Orderformular Color Kids'!B513</f>
        <v>0</v>
      </c>
      <c r="C485" s="8">
        <f>'Orderformular Color Kids'!C513</f>
        <v>0</v>
      </c>
      <c r="D485" s="8">
        <f>'Orderformular Color Kids'!D513</f>
        <v>0</v>
      </c>
      <c r="E485" s="4">
        <f>'Orderformular Color Kids'!E513</f>
        <v>0</v>
      </c>
      <c r="F485" s="4">
        <f>'Orderformular Color Kids'!F513</f>
        <v>0</v>
      </c>
      <c r="G485" s="4">
        <f>'Orderformular Color Kids'!G513</f>
        <v>0</v>
      </c>
      <c r="H485" s="4">
        <f>'Orderformular Color Kids'!H513</f>
        <v>0</v>
      </c>
      <c r="I485" s="4">
        <f>'Orderformular Color Kids'!I513</f>
        <v>0</v>
      </c>
      <c r="J485" s="4">
        <f>'Orderformular Color Kids'!J513</f>
        <v>0</v>
      </c>
      <c r="K485" s="4">
        <f>'Orderformular Color Kids'!K513</f>
        <v>0</v>
      </c>
      <c r="L485" s="4">
        <f>'Orderformular Color Kids'!L513</f>
        <v>0</v>
      </c>
      <c r="M485" s="7">
        <f>'Orderformular Color Kids'!M513</f>
        <v>0</v>
      </c>
      <c r="N485" s="7">
        <f>'Packliste Orig'!N490</f>
        <v>0</v>
      </c>
      <c r="O485" s="7">
        <f>'Orderformular Color Kids'!O513</f>
        <v>0</v>
      </c>
      <c r="P485" s="7">
        <f>'Packliste Orig'!P490</f>
        <v>0</v>
      </c>
      <c r="Q485" s="7">
        <f>'Orderformular Color Kids'!Q513</f>
        <v>0</v>
      </c>
      <c r="R485" s="7">
        <f>'Orderformular Color Kids'!R513</f>
        <v>0</v>
      </c>
      <c r="S485" s="6">
        <f t="shared" si="7"/>
        <v>0</v>
      </c>
      <c r="T485" s="50">
        <f>'Orderformular Color Kids'!U513</f>
        <v>0</v>
      </c>
    </row>
    <row r="486" spans="1:20" x14ac:dyDescent="0.2">
      <c r="A486" s="61">
        <f>'Orderformular Color Kids'!A514</f>
        <v>0</v>
      </c>
      <c r="B486" s="62">
        <f>'Orderformular Color Kids'!B514</f>
        <v>0</v>
      </c>
      <c r="C486" s="8">
        <f>'Orderformular Color Kids'!C514</f>
        <v>0</v>
      </c>
      <c r="D486" s="8">
        <f>'Orderformular Color Kids'!D514</f>
        <v>0</v>
      </c>
      <c r="E486" s="4">
        <f>'Orderformular Color Kids'!E514</f>
        <v>0</v>
      </c>
      <c r="F486" s="4">
        <f>'Orderformular Color Kids'!F514</f>
        <v>0</v>
      </c>
      <c r="G486" s="4">
        <f>'Orderformular Color Kids'!G514</f>
        <v>0</v>
      </c>
      <c r="H486" s="4">
        <f>'Orderformular Color Kids'!H514</f>
        <v>0</v>
      </c>
      <c r="I486" s="4">
        <f>'Orderformular Color Kids'!I514</f>
        <v>0</v>
      </c>
      <c r="J486" s="4">
        <f>'Orderformular Color Kids'!J514</f>
        <v>0</v>
      </c>
      <c r="K486" s="4">
        <f>'Orderformular Color Kids'!K514</f>
        <v>0</v>
      </c>
      <c r="L486" s="4">
        <f>'Orderformular Color Kids'!L514</f>
        <v>0</v>
      </c>
      <c r="M486" s="7">
        <f>'Orderformular Color Kids'!M514</f>
        <v>0</v>
      </c>
      <c r="N486" s="7">
        <f>'Packliste Orig'!N491</f>
        <v>0</v>
      </c>
      <c r="O486" s="7">
        <f>'Orderformular Color Kids'!O514</f>
        <v>0</v>
      </c>
      <c r="P486" s="7">
        <f>'Packliste Orig'!P491</f>
        <v>0</v>
      </c>
      <c r="Q486" s="7">
        <f>'Orderformular Color Kids'!Q514</f>
        <v>0</v>
      </c>
      <c r="R486" s="7">
        <f>'Orderformular Color Kids'!R514</f>
        <v>0</v>
      </c>
      <c r="S486" s="6">
        <f t="shared" si="7"/>
        <v>0</v>
      </c>
      <c r="T486" s="50">
        <f>'Orderformular Color Kids'!U514</f>
        <v>0</v>
      </c>
    </row>
    <row r="487" spans="1:20" x14ac:dyDescent="0.2">
      <c r="A487" s="61">
        <f>'Orderformular Color Kids'!A515</f>
        <v>0</v>
      </c>
      <c r="B487" s="62">
        <f>'Orderformular Color Kids'!B515</f>
        <v>0</v>
      </c>
      <c r="C487" s="8">
        <f>'Orderformular Color Kids'!C515</f>
        <v>0</v>
      </c>
      <c r="D487" s="8">
        <f>'Orderformular Color Kids'!D515</f>
        <v>0</v>
      </c>
      <c r="E487" s="4">
        <f>'Orderformular Color Kids'!E515</f>
        <v>0</v>
      </c>
      <c r="F487" s="4">
        <f>'Orderformular Color Kids'!F515</f>
        <v>0</v>
      </c>
      <c r="G487" s="4">
        <f>'Orderformular Color Kids'!G515</f>
        <v>0</v>
      </c>
      <c r="H487" s="4">
        <f>'Orderformular Color Kids'!H515</f>
        <v>0</v>
      </c>
      <c r="I487" s="4">
        <f>'Orderformular Color Kids'!I515</f>
        <v>0</v>
      </c>
      <c r="J487" s="4">
        <f>'Orderformular Color Kids'!J515</f>
        <v>0</v>
      </c>
      <c r="K487" s="4">
        <f>'Orderformular Color Kids'!K515</f>
        <v>0</v>
      </c>
      <c r="L487" s="4">
        <f>'Orderformular Color Kids'!L515</f>
        <v>0</v>
      </c>
      <c r="M487" s="7">
        <f>'Orderformular Color Kids'!M515</f>
        <v>0</v>
      </c>
      <c r="N487" s="7">
        <f>'Packliste Orig'!N492</f>
        <v>0</v>
      </c>
      <c r="O487" s="7">
        <f>'Orderformular Color Kids'!O515</f>
        <v>0</v>
      </c>
      <c r="P487" s="7">
        <f>'Packliste Orig'!P492</f>
        <v>0</v>
      </c>
      <c r="Q487" s="7">
        <f>'Orderformular Color Kids'!Q515</f>
        <v>0</v>
      </c>
      <c r="R487" s="7">
        <f>'Orderformular Color Kids'!R515</f>
        <v>0</v>
      </c>
      <c r="S487" s="6">
        <f t="shared" si="7"/>
        <v>0</v>
      </c>
      <c r="T487" s="50">
        <f>'Orderformular Color Kids'!U515</f>
        <v>0</v>
      </c>
    </row>
    <row r="488" spans="1:20" x14ac:dyDescent="0.2">
      <c r="A488" s="61">
        <f>'Orderformular Color Kids'!A516</f>
        <v>0</v>
      </c>
      <c r="B488" s="62">
        <f>'Orderformular Color Kids'!B516</f>
        <v>0</v>
      </c>
      <c r="C488" s="8">
        <f>'Orderformular Color Kids'!C516</f>
        <v>0</v>
      </c>
      <c r="D488" s="8">
        <f>'Orderformular Color Kids'!D516</f>
        <v>0</v>
      </c>
      <c r="E488" s="4">
        <f>'Orderformular Color Kids'!E516</f>
        <v>0</v>
      </c>
      <c r="F488" s="4">
        <f>'Orderformular Color Kids'!F516</f>
        <v>0</v>
      </c>
      <c r="G488" s="4">
        <f>'Orderformular Color Kids'!G516</f>
        <v>0</v>
      </c>
      <c r="H488" s="4">
        <f>'Orderformular Color Kids'!H516</f>
        <v>0</v>
      </c>
      <c r="I488" s="4">
        <f>'Orderformular Color Kids'!I516</f>
        <v>0</v>
      </c>
      <c r="J488" s="4">
        <f>'Orderformular Color Kids'!J516</f>
        <v>0</v>
      </c>
      <c r="K488" s="4">
        <f>'Orderformular Color Kids'!K516</f>
        <v>0</v>
      </c>
      <c r="L488" s="4">
        <f>'Orderformular Color Kids'!L516</f>
        <v>0</v>
      </c>
      <c r="M488" s="7">
        <f>'Orderformular Color Kids'!M516</f>
        <v>0</v>
      </c>
      <c r="N488" s="7">
        <f>'Packliste Orig'!N493</f>
        <v>0</v>
      </c>
      <c r="O488" s="7">
        <f>'Orderformular Color Kids'!O516</f>
        <v>0</v>
      </c>
      <c r="P488" s="7">
        <f>'Packliste Orig'!P493</f>
        <v>0</v>
      </c>
      <c r="Q488" s="7">
        <f>'Orderformular Color Kids'!Q516</f>
        <v>0</v>
      </c>
      <c r="R488" s="7">
        <f>'Orderformular Color Kids'!R516</f>
        <v>0</v>
      </c>
      <c r="S488" s="6">
        <f t="shared" si="7"/>
        <v>0</v>
      </c>
      <c r="T488" s="50">
        <f>'Orderformular Color Kids'!U516</f>
        <v>0</v>
      </c>
    </row>
    <row r="489" spans="1:20" x14ac:dyDescent="0.2">
      <c r="A489" s="61">
        <f>'Orderformular Color Kids'!A517</f>
        <v>0</v>
      </c>
      <c r="B489" s="62">
        <f>'Orderformular Color Kids'!B517</f>
        <v>0</v>
      </c>
      <c r="C489" s="8">
        <f>'Orderformular Color Kids'!C517</f>
        <v>0</v>
      </c>
      <c r="D489" s="8">
        <f>'Orderformular Color Kids'!D517</f>
        <v>0</v>
      </c>
      <c r="E489" s="4">
        <f>'Orderformular Color Kids'!E517</f>
        <v>0</v>
      </c>
      <c r="F489" s="4">
        <f>'Orderformular Color Kids'!F517</f>
        <v>0</v>
      </c>
      <c r="G489" s="4">
        <f>'Orderformular Color Kids'!G517</f>
        <v>0</v>
      </c>
      <c r="H489" s="4">
        <f>'Orderformular Color Kids'!H517</f>
        <v>0</v>
      </c>
      <c r="I489" s="4">
        <f>'Orderformular Color Kids'!I517</f>
        <v>0</v>
      </c>
      <c r="J489" s="4">
        <f>'Orderformular Color Kids'!J517</f>
        <v>0</v>
      </c>
      <c r="K489" s="4">
        <f>'Orderformular Color Kids'!K517</f>
        <v>0</v>
      </c>
      <c r="L489" s="4">
        <f>'Orderformular Color Kids'!L517</f>
        <v>0</v>
      </c>
      <c r="M489" s="7">
        <f>'Orderformular Color Kids'!M517</f>
        <v>0</v>
      </c>
      <c r="N489" s="7">
        <f>'Packliste Orig'!N494</f>
        <v>0</v>
      </c>
      <c r="O489" s="7">
        <f>'Orderformular Color Kids'!O517</f>
        <v>0</v>
      </c>
      <c r="P489" s="7">
        <f>'Packliste Orig'!P494</f>
        <v>0</v>
      </c>
      <c r="Q489" s="7">
        <f>'Orderformular Color Kids'!Q517</f>
        <v>0</v>
      </c>
      <c r="R489" s="7">
        <f>'Orderformular Color Kids'!R517</f>
        <v>0</v>
      </c>
      <c r="S489" s="6">
        <f t="shared" si="7"/>
        <v>0</v>
      </c>
      <c r="T489" s="50">
        <f>'Orderformular Color Kids'!U517</f>
        <v>0</v>
      </c>
    </row>
    <row r="490" spans="1:20" x14ac:dyDescent="0.2">
      <c r="A490" s="61">
        <f>'Orderformular Color Kids'!A518</f>
        <v>0</v>
      </c>
      <c r="B490" s="62">
        <f>'Orderformular Color Kids'!B518</f>
        <v>0</v>
      </c>
      <c r="C490" s="8">
        <f>'Orderformular Color Kids'!C518</f>
        <v>0</v>
      </c>
      <c r="D490" s="8">
        <f>'Orderformular Color Kids'!D518</f>
        <v>0</v>
      </c>
      <c r="E490" s="4">
        <f>'Orderformular Color Kids'!E518</f>
        <v>0</v>
      </c>
      <c r="F490" s="4">
        <f>'Orderformular Color Kids'!F518</f>
        <v>0</v>
      </c>
      <c r="G490" s="4">
        <f>'Orderformular Color Kids'!G518</f>
        <v>0</v>
      </c>
      <c r="H490" s="4">
        <f>'Orderformular Color Kids'!H518</f>
        <v>0</v>
      </c>
      <c r="I490" s="4">
        <f>'Orderformular Color Kids'!I518</f>
        <v>0</v>
      </c>
      <c r="J490" s="4">
        <f>'Orderformular Color Kids'!J518</f>
        <v>0</v>
      </c>
      <c r="K490" s="4">
        <f>'Orderformular Color Kids'!K518</f>
        <v>0</v>
      </c>
      <c r="L490" s="4">
        <f>'Orderformular Color Kids'!L518</f>
        <v>0</v>
      </c>
      <c r="M490" s="7">
        <f>'Orderformular Color Kids'!M518</f>
        <v>0</v>
      </c>
      <c r="N490" s="7">
        <f>'Packliste Orig'!N495</f>
        <v>0</v>
      </c>
      <c r="O490" s="7">
        <f>'Orderformular Color Kids'!O518</f>
        <v>0</v>
      </c>
      <c r="P490" s="7">
        <f>'Packliste Orig'!P495</f>
        <v>0</v>
      </c>
      <c r="Q490" s="7">
        <f>'Orderformular Color Kids'!Q518</f>
        <v>0</v>
      </c>
      <c r="R490" s="7">
        <f>'Orderformular Color Kids'!R518</f>
        <v>0</v>
      </c>
      <c r="S490" s="6">
        <f t="shared" si="7"/>
        <v>0</v>
      </c>
      <c r="T490" s="50">
        <f>'Orderformular Color Kids'!U518</f>
        <v>0</v>
      </c>
    </row>
    <row r="491" spans="1:20" x14ac:dyDescent="0.2">
      <c r="A491" s="61">
        <f>'Orderformular Color Kids'!A519</f>
        <v>0</v>
      </c>
      <c r="B491" s="62">
        <f>'Orderformular Color Kids'!B519</f>
        <v>0</v>
      </c>
      <c r="C491" s="8">
        <f>'Orderformular Color Kids'!C519</f>
        <v>0</v>
      </c>
      <c r="D491" s="8">
        <f>'Orderformular Color Kids'!D519</f>
        <v>0</v>
      </c>
      <c r="E491" s="4">
        <f>'Orderformular Color Kids'!E519</f>
        <v>0</v>
      </c>
      <c r="F491" s="4">
        <f>'Orderformular Color Kids'!F519</f>
        <v>0</v>
      </c>
      <c r="G491" s="4">
        <f>'Orderformular Color Kids'!G519</f>
        <v>0</v>
      </c>
      <c r="H491" s="4">
        <f>'Orderformular Color Kids'!H519</f>
        <v>0</v>
      </c>
      <c r="I491" s="4">
        <f>'Orderformular Color Kids'!I519</f>
        <v>0</v>
      </c>
      <c r="J491" s="4">
        <f>'Orderformular Color Kids'!J519</f>
        <v>0</v>
      </c>
      <c r="K491" s="4">
        <f>'Orderformular Color Kids'!K519</f>
        <v>0</v>
      </c>
      <c r="L491" s="4">
        <f>'Orderformular Color Kids'!L519</f>
        <v>0</v>
      </c>
      <c r="M491" s="7">
        <f>'Orderformular Color Kids'!M519</f>
        <v>0</v>
      </c>
      <c r="N491" s="7">
        <f>'Packliste Orig'!N496</f>
        <v>0</v>
      </c>
      <c r="O491" s="7">
        <f>'Orderformular Color Kids'!O519</f>
        <v>0</v>
      </c>
      <c r="P491" s="7">
        <f>'Packliste Orig'!P496</f>
        <v>0</v>
      </c>
      <c r="Q491" s="7">
        <f>'Orderformular Color Kids'!Q519</f>
        <v>0</v>
      </c>
      <c r="R491" s="7">
        <f>'Orderformular Color Kids'!R519</f>
        <v>0</v>
      </c>
      <c r="S491" s="6">
        <f t="shared" si="7"/>
        <v>0</v>
      </c>
      <c r="T491" s="50">
        <f>'Orderformular Color Kids'!U519</f>
        <v>0</v>
      </c>
    </row>
    <row r="492" spans="1:20" x14ac:dyDescent="0.2">
      <c r="A492" s="61">
        <f>'Orderformular Color Kids'!A520</f>
        <v>0</v>
      </c>
      <c r="B492" s="62">
        <f>'Orderformular Color Kids'!B520</f>
        <v>0</v>
      </c>
      <c r="C492" s="8">
        <f>'Orderformular Color Kids'!C520</f>
        <v>0</v>
      </c>
      <c r="D492" s="8">
        <f>'Orderformular Color Kids'!D520</f>
        <v>0</v>
      </c>
      <c r="E492" s="4">
        <f>'Orderformular Color Kids'!E520</f>
        <v>0</v>
      </c>
      <c r="F492" s="4">
        <f>'Orderformular Color Kids'!F520</f>
        <v>0</v>
      </c>
      <c r="G492" s="4">
        <f>'Orderformular Color Kids'!G520</f>
        <v>0</v>
      </c>
      <c r="H492" s="4">
        <f>'Orderformular Color Kids'!H520</f>
        <v>0</v>
      </c>
      <c r="I492" s="4">
        <f>'Orderformular Color Kids'!I520</f>
        <v>0</v>
      </c>
      <c r="J492" s="4">
        <f>'Orderformular Color Kids'!J520</f>
        <v>0</v>
      </c>
      <c r="K492" s="4">
        <f>'Orderformular Color Kids'!K520</f>
        <v>0</v>
      </c>
      <c r="L492" s="4">
        <f>'Orderformular Color Kids'!L520</f>
        <v>0</v>
      </c>
      <c r="M492" s="7">
        <f>'Orderformular Color Kids'!M520</f>
        <v>0</v>
      </c>
      <c r="N492" s="7">
        <f>'Packliste Orig'!N497</f>
        <v>0</v>
      </c>
      <c r="O492" s="7">
        <f>'Orderformular Color Kids'!O520</f>
        <v>0</v>
      </c>
      <c r="P492" s="7">
        <f>'Packliste Orig'!P497</f>
        <v>0</v>
      </c>
      <c r="Q492" s="7">
        <f>'Orderformular Color Kids'!Q520</f>
        <v>0</v>
      </c>
      <c r="R492" s="7">
        <f>'Orderformular Color Kids'!R520</f>
        <v>0</v>
      </c>
      <c r="S492" s="6">
        <f t="shared" si="7"/>
        <v>0</v>
      </c>
      <c r="T492" s="50">
        <f>'Orderformular Color Kids'!U520</f>
        <v>0</v>
      </c>
    </row>
    <row r="493" spans="1:20" x14ac:dyDescent="0.2">
      <c r="A493" s="61">
        <f>'Orderformular Color Kids'!A521</f>
        <v>0</v>
      </c>
      <c r="B493" s="62">
        <f>'Orderformular Color Kids'!B521</f>
        <v>0</v>
      </c>
      <c r="C493" s="8">
        <f>'Orderformular Color Kids'!C521</f>
        <v>0</v>
      </c>
      <c r="D493" s="8">
        <f>'Orderformular Color Kids'!D521</f>
        <v>0</v>
      </c>
      <c r="E493" s="4">
        <f>'Orderformular Color Kids'!E521</f>
        <v>0</v>
      </c>
      <c r="F493" s="4">
        <f>'Orderformular Color Kids'!F521</f>
        <v>0</v>
      </c>
      <c r="G493" s="4">
        <f>'Orderformular Color Kids'!G521</f>
        <v>0</v>
      </c>
      <c r="H493" s="4">
        <f>'Orderformular Color Kids'!H521</f>
        <v>0</v>
      </c>
      <c r="I493" s="4">
        <f>'Orderformular Color Kids'!I521</f>
        <v>0</v>
      </c>
      <c r="J493" s="4">
        <f>'Orderformular Color Kids'!J521</f>
        <v>0</v>
      </c>
      <c r="K493" s="4">
        <f>'Orderformular Color Kids'!K521</f>
        <v>0</v>
      </c>
      <c r="L493" s="4">
        <f>'Orderformular Color Kids'!L521</f>
        <v>0</v>
      </c>
      <c r="M493" s="7">
        <f>'Orderformular Color Kids'!M521</f>
        <v>0</v>
      </c>
      <c r="N493" s="7">
        <f>'Packliste Orig'!N498</f>
        <v>0</v>
      </c>
      <c r="O493" s="7">
        <f>'Orderformular Color Kids'!O521</f>
        <v>0</v>
      </c>
      <c r="P493" s="7">
        <f>'Packliste Orig'!P498</f>
        <v>0</v>
      </c>
      <c r="Q493" s="7">
        <f>'Orderformular Color Kids'!Q521</f>
        <v>0</v>
      </c>
      <c r="R493" s="7">
        <f>'Orderformular Color Kids'!R521</f>
        <v>0</v>
      </c>
      <c r="S493" s="6">
        <f t="shared" si="7"/>
        <v>0</v>
      </c>
      <c r="T493" s="50">
        <f>'Orderformular Color Kids'!U521</f>
        <v>0</v>
      </c>
    </row>
    <row r="494" spans="1:20" x14ac:dyDescent="0.2">
      <c r="A494" s="61">
        <f>'Orderformular Color Kids'!A522</f>
        <v>0</v>
      </c>
      <c r="B494" s="62">
        <f>'Orderformular Color Kids'!B522</f>
        <v>0</v>
      </c>
      <c r="C494" s="8">
        <f>'Orderformular Color Kids'!C522</f>
        <v>0</v>
      </c>
      <c r="D494" s="8">
        <f>'Orderformular Color Kids'!D522</f>
        <v>0</v>
      </c>
      <c r="E494" s="4">
        <f>'Orderformular Color Kids'!E522</f>
        <v>0</v>
      </c>
      <c r="F494" s="4">
        <f>'Orderformular Color Kids'!F522</f>
        <v>0</v>
      </c>
      <c r="G494" s="4">
        <f>'Orderformular Color Kids'!G522</f>
        <v>0</v>
      </c>
      <c r="H494" s="4">
        <f>'Orderformular Color Kids'!H522</f>
        <v>0</v>
      </c>
      <c r="I494" s="4">
        <f>'Orderformular Color Kids'!I522</f>
        <v>0</v>
      </c>
      <c r="J494" s="4">
        <f>'Orderformular Color Kids'!J522</f>
        <v>0</v>
      </c>
      <c r="K494" s="4">
        <f>'Orderformular Color Kids'!K522</f>
        <v>0</v>
      </c>
      <c r="L494" s="4">
        <f>'Orderformular Color Kids'!L522</f>
        <v>0</v>
      </c>
      <c r="M494" s="7">
        <f>'Orderformular Color Kids'!M522</f>
        <v>0</v>
      </c>
      <c r="N494" s="7">
        <f>'Packliste Orig'!N499</f>
        <v>0</v>
      </c>
      <c r="O494" s="7">
        <f>'Orderformular Color Kids'!O522</f>
        <v>0</v>
      </c>
      <c r="P494" s="7">
        <f>'Packliste Orig'!P499</f>
        <v>0</v>
      </c>
      <c r="Q494" s="7">
        <f>'Orderformular Color Kids'!Q522</f>
        <v>0</v>
      </c>
      <c r="R494" s="7">
        <f>'Orderformular Color Kids'!R522</f>
        <v>0</v>
      </c>
      <c r="S494" s="6">
        <f t="shared" si="7"/>
        <v>0</v>
      </c>
      <c r="T494" s="50">
        <f>'Orderformular Color Kids'!U522</f>
        <v>0</v>
      </c>
    </row>
    <row r="495" spans="1:20" x14ac:dyDescent="0.2">
      <c r="A495" s="61">
        <f>'Orderformular Color Kids'!A523</f>
        <v>0</v>
      </c>
      <c r="B495" s="62">
        <f>'Orderformular Color Kids'!B523</f>
        <v>0</v>
      </c>
      <c r="C495" s="8">
        <f>'Orderformular Color Kids'!C523</f>
        <v>0</v>
      </c>
      <c r="D495" s="8">
        <f>'Orderformular Color Kids'!D523</f>
        <v>0</v>
      </c>
      <c r="E495" s="4">
        <f>'Orderformular Color Kids'!E523</f>
        <v>0</v>
      </c>
      <c r="F495" s="4">
        <f>'Orderformular Color Kids'!F523</f>
        <v>0</v>
      </c>
      <c r="G495" s="4">
        <f>'Orderformular Color Kids'!G523</f>
        <v>0</v>
      </c>
      <c r="H495" s="4">
        <f>'Orderformular Color Kids'!H523</f>
        <v>0</v>
      </c>
      <c r="I495" s="4">
        <f>'Orderformular Color Kids'!I523</f>
        <v>0</v>
      </c>
      <c r="J495" s="4">
        <f>'Orderformular Color Kids'!J523</f>
        <v>0</v>
      </c>
      <c r="K495" s="4">
        <f>'Orderformular Color Kids'!K523</f>
        <v>0</v>
      </c>
      <c r="L495" s="4">
        <f>'Orderformular Color Kids'!L523</f>
        <v>0</v>
      </c>
      <c r="M495" s="7">
        <f>'Orderformular Color Kids'!M523</f>
        <v>0</v>
      </c>
      <c r="N495" s="7">
        <f>'Packliste Orig'!N500</f>
        <v>0</v>
      </c>
      <c r="O495" s="7">
        <f>'Orderformular Color Kids'!O523</f>
        <v>0</v>
      </c>
      <c r="P495" s="7">
        <f>'Packliste Orig'!P500</f>
        <v>0</v>
      </c>
      <c r="Q495" s="7">
        <f>'Orderformular Color Kids'!Q523</f>
        <v>0</v>
      </c>
      <c r="R495" s="7">
        <f>'Orderformular Color Kids'!R523</f>
        <v>0</v>
      </c>
      <c r="S495" s="6">
        <f t="shared" si="7"/>
        <v>0</v>
      </c>
      <c r="T495" s="50">
        <f>'Orderformular Color Kids'!U523</f>
        <v>0</v>
      </c>
    </row>
    <row r="496" spans="1:20" x14ac:dyDescent="0.2">
      <c r="A496" s="61">
        <f>'Orderformular Color Kids'!A524</f>
        <v>0</v>
      </c>
      <c r="B496" s="62">
        <f>'Orderformular Color Kids'!B524</f>
        <v>0</v>
      </c>
      <c r="C496" s="8">
        <f>'Orderformular Color Kids'!C524</f>
        <v>0</v>
      </c>
      <c r="D496" s="8">
        <f>'Orderformular Color Kids'!D524</f>
        <v>0</v>
      </c>
      <c r="E496" s="4">
        <f>'Orderformular Color Kids'!E524</f>
        <v>0</v>
      </c>
      <c r="F496" s="4">
        <f>'Orderformular Color Kids'!F524</f>
        <v>0</v>
      </c>
      <c r="G496" s="4">
        <f>'Orderformular Color Kids'!G524</f>
        <v>0</v>
      </c>
      <c r="H496" s="4">
        <f>'Orderformular Color Kids'!H524</f>
        <v>0</v>
      </c>
      <c r="I496" s="4">
        <f>'Orderformular Color Kids'!I524</f>
        <v>0</v>
      </c>
      <c r="J496" s="4">
        <f>'Orderformular Color Kids'!J524</f>
        <v>0</v>
      </c>
      <c r="K496" s="4">
        <f>'Orderformular Color Kids'!K524</f>
        <v>0</v>
      </c>
      <c r="L496" s="4">
        <f>'Orderformular Color Kids'!L524</f>
        <v>0</v>
      </c>
      <c r="M496" s="7">
        <f>'Orderformular Color Kids'!M524</f>
        <v>0</v>
      </c>
      <c r="N496" s="7">
        <f>'Packliste Orig'!N501</f>
        <v>0</v>
      </c>
      <c r="O496" s="7">
        <f>'Orderformular Color Kids'!O524</f>
        <v>0</v>
      </c>
      <c r="P496" s="7">
        <f>'Packliste Orig'!P501</f>
        <v>0</v>
      </c>
      <c r="Q496" s="7">
        <f>'Orderformular Color Kids'!Q524</f>
        <v>0</v>
      </c>
      <c r="R496" s="7">
        <f>'Orderformular Color Kids'!R524</f>
        <v>0</v>
      </c>
      <c r="S496" s="6">
        <f t="shared" si="7"/>
        <v>0</v>
      </c>
      <c r="T496" s="50">
        <f>'Orderformular Color Kids'!U524</f>
        <v>0</v>
      </c>
    </row>
    <row r="497" spans="1:20" x14ac:dyDescent="0.2">
      <c r="A497" s="61">
        <f>'Orderformular Color Kids'!A525</f>
        <v>0</v>
      </c>
      <c r="B497" s="62">
        <f>'Orderformular Color Kids'!B525</f>
        <v>0</v>
      </c>
      <c r="C497" s="8">
        <f>'Orderformular Color Kids'!C525</f>
        <v>0</v>
      </c>
      <c r="D497" s="8">
        <f>'Orderformular Color Kids'!D525</f>
        <v>0</v>
      </c>
      <c r="E497" s="4">
        <f>'Orderformular Color Kids'!E525</f>
        <v>0</v>
      </c>
      <c r="F497" s="4">
        <f>'Orderformular Color Kids'!F525</f>
        <v>0</v>
      </c>
      <c r="G497" s="4">
        <f>'Orderformular Color Kids'!G525</f>
        <v>0</v>
      </c>
      <c r="H497" s="4">
        <f>'Orderformular Color Kids'!H525</f>
        <v>0</v>
      </c>
      <c r="I497" s="4">
        <f>'Orderformular Color Kids'!I525</f>
        <v>0</v>
      </c>
      <c r="J497" s="4">
        <f>'Orderformular Color Kids'!J525</f>
        <v>0</v>
      </c>
      <c r="K497" s="4">
        <f>'Orderformular Color Kids'!K525</f>
        <v>0</v>
      </c>
      <c r="L497" s="4">
        <f>'Orderformular Color Kids'!L525</f>
        <v>0</v>
      </c>
      <c r="M497" s="7">
        <f>'Orderformular Color Kids'!M525</f>
        <v>0</v>
      </c>
      <c r="N497" s="7">
        <f>'Packliste Orig'!N502</f>
        <v>0</v>
      </c>
      <c r="O497" s="7">
        <f>'Orderformular Color Kids'!O525</f>
        <v>0</v>
      </c>
      <c r="P497" s="7">
        <f>'Packliste Orig'!P502</f>
        <v>0</v>
      </c>
      <c r="Q497" s="7">
        <f>'Orderformular Color Kids'!Q525</f>
        <v>0</v>
      </c>
      <c r="R497" s="7">
        <f>'Orderformular Color Kids'!R525</f>
        <v>0</v>
      </c>
      <c r="S497" s="6">
        <f t="shared" si="7"/>
        <v>0</v>
      </c>
      <c r="T497" s="50">
        <f>'Orderformular Color Kids'!U525</f>
        <v>0</v>
      </c>
    </row>
    <row r="498" spans="1:20" x14ac:dyDescent="0.2">
      <c r="A498" s="61">
        <f>'Orderformular Color Kids'!A526</f>
        <v>0</v>
      </c>
      <c r="B498" s="62">
        <f>'Orderformular Color Kids'!B526</f>
        <v>0</v>
      </c>
      <c r="C498" s="8">
        <f>'Orderformular Color Kids'!C526</f>
        <v>0</v>
      </c>
      <c r="D498" s="8">
        <f>'Orderformular Color Kids'!D526</f>
        <v>0</v>
      </c>
      <c r="E498" s="4">
        <f>'Orderformular Color Kids'!E526</f>
        <v>0</v>
      </c>
      <c r="F498" s="4">
        <f>'Orderformular Color Kids'!F526</f>
        <v>0</v>
      </c>
      <c r="G498" s="4">
        <f>'Orderformular Color Kids'!G526</f>
        <v>0</v>
      </c>
      <c r="H498" s="4">
        <f>'Orderformular Color Kids'!H526</f>
        <v>0</v>
      </c>
      <c r="I498" s="4">
        <f>'Orderformular Color Kids'!I526</f>
        <v>0</v>
      </c>
      <c r="J498" s="4">
        <f>'Orderformular Color Kids'!J526</f>
        <v>0</v>
      </c>
      <c r="K498" s="4">
        <f>'Orderformular Color Kids'!K526</f>
        <v>0</v>
      </c>
      <c r="L498" s="4">
        <f>'Orderformular Color Kids'!L526</f>
        <v>0</v>
      </c>
      <c r="M498" s="7">
        <f>'Orderformular Color Kids'!M526</f>
        <v>0</v>
      </c>
      <c r="N498" s="7">
        <f>'Packliste Orig'!N503</f>
        <v>0</v>
      </c>
      <c r="O498" s="7">
        <f>'Orderformular Color Kids'!O526</f>
        <v>0</v>
      </c>
      <c r="P498" s="7">
        <f>'Packliste Orig'!P503</f>
        <v>0</v>
      </c>
      <c r="Q498" s="7">
        <f>'Orderformular Color Kids'!Q526</f>
        <v>0</v>
      </c>
      <c r="R498" s="7">
        <f>'Orderformular Color Kids'!R526</f>
        <v>0</v>
      </c>
      <c r="S498" s="6">
        <f t="shared" si="7"/>
        <v>0</v>
      </c>
      <c r="T498" s="50">
        <f>'Orderformular Color Kids'!U526</f>
        <v>0</v>
      </c>
    </row>
    <row r="499" spans="1:20" x14ac:dyDescent="0.2">
      <c r="A499" s="61">
        <f>'Orderformular Color Kids'!A527</f>
        <v>0</v>
      </c>
      <c r="B499" s="62">
        <f>'Orderformular Color Kids'!B527</f>
        <v>0</v>
      </c>
      <c r="C499" s="8">
        <f>'Orderformular Color Kids'!C527</f>
        <v>0</v>
      </c>
      <c r="D499" s="8">
        <f>'Orderformular Color Kids'!D527</f>
        <v>0</v>
      </c>
      <c r="E499" s="4">
        <f>'Orderformular Color Kids'!E527</f>
        <v>0</v>
      </c>
      <c r="F499" s="4">
        <f>'Orderformular Color Kids'!F527</f>
        <v>0</v>
      </c>
      <c r="G499" s="4">
        <f>'Orderformular Color Kids'!G527</f>
        <v>0</v>
      </c>
      <c r="H499" s="4">
        <f>'Orderformular Color Kids'!H527</f>
        <v>0</v>
      </c>
      <c r="I499" s="4">
        <f>'Orderformular Color Kids'!I527</f>
        <v>0</v>
      </c>
      <c r="J499" s="4">
        <f>'Orderformular Color Kids'!J527</f>
        <v>0</v>
      </c>
      <c r="K499" s="4">
        <f>'Orderformular Color Kids'!K527</f>
        <v>0</v>
      </c>
      <c r="L499" s="4">
        <f>'Orderformular Color Kids'!L527</f>
        <v>0</v>
      </c>
      <c r="M499" s="7">
        <f>'Orderformular Color Kids'!M527</f>
        <v>0</v>
      </c>
      <c r="N499" s="7">
        <f>'Packliste Orig'!N504</f>
        <v>0</v>
      </c>
      <c r="O499" s="7">
        <f>'Orderformular Color Kids'!O527</f>
        <v>0</v>
      </c>
      <c r="P499" s="7">
        <f>'Packliste Orig'!P504</f>
        <v>0</v>
      </c>
      <c r="Q499" s="7">
        <f>'Orderformular Color Kids'!Q527</f>
        <v>0</v>
      </c>
      <c r="R499" s="7">
        <f>'Orderformular Color Kids'!R527</f>
        <v>0</v>
      </c>
      <c r="S499" s="6">
        <f t="shared" si="7"/>
        <v>0</v>
      </c>
      <c r="T499" s="50">
        <f>'Orderformular Color Kids'!U527</f>
        <v>0</v>
      </c>
    </row>
    <row r="500" spans="1:20" x14ac:dyDescent="0.2">
      <c r="A500" s="61">
        <f>'Orderformular Color Kids'!A528</f>
        <v>0</v>
      </c>
      <c r="B500" s="62">
        <f>'Orderformular Color Kids'!B528</f>
        <v>0</v>
      </c>
      <c r="C500" s="8">
        <f>'Orderformular Color Kids'!C528</f>
        <v>0</v>
      </c>
      <c r="D500" s="8">
        <f>'Orderformular Color Kids'!D528</f>
        <v>0</v>
      </c>
      <c r="E500" s="4">
        <f>'Orderformular Color Kids'!E528</f>
        <v>0</v>
      </c>
      <c r="F500" s="4">
        <f>'Orderformular Color Kids'!F528</f>
        <v>0</v>
      </c>
      <c r="G500" s="4">
        <f>'Orderformular Color Kids'!G528</f>
        <v>0</v>
      </c>
      <c r="H500" s="4">
        <f>'Orderformular Color Kids'!H528</f>
        <v>0</v>
      </c>
      <c r="I500" s="4">
        <f>'Orderformular Color Kids'!I528</f>
        <v>0</v>
      </c>
      <c r="J500" s="4">
        <f>'Orderformular Color Kids'!J528</f>
        <v>0</v>
      </c>
      <c r="K500" s="4">
        <f>'Orderformular Color Kids'!K528</f>
        <v>0</v>
      </c>
      <c r="L500" s="4">
        <f>'Orderformular Color Kids'!L528</f>
        <v>0</v>
      </c>
      <c r="M500" s="7">
        <f>'Orderformular Color Kids'!M528</f>
        <v>0</v>
      </c>
      <c r="N500" s="7">
        <f>'Packliste Orig'!N505</f>
        <v>0</v>
      </c>
      <c r="O500" s="7">
        <f>'Orderformular Color Kids'!O528</f>
        <v>0</v>
      </c>
      <c r="P500" s="7">
        <f>'Packliste Orig'!P505</f>
        <v>0</v>
      </c>
      <c r="Q500" s="7">
        <f>'Orderformular Color Kids'!Q528</f>
        <v>0</v>
      </c>
      <c r="R500" s="7">
        <f>'Orderformular Color Kids'!R528</f>
        <v>0</v>
      </c>
      <c r="S500" s="6">
        <f t="shared" si="7"/>
        <v>0</v>
      </c>
      <c r="T500" s="50">
        <f>'Orderformular Color Kids'!U528</f>
        <v>0</v>
      </c>
    </row>
    <row r="501" spans="1:20" x14ac:dyDescent="0.2">
      <c r="A501" s="61">
        <f>'Orderformular Color Kids'!A529</f>
        <v>0</v>
      </c>
      <c r="B501" s="62">
        <f>'Orderformular Color Kids'!B529</f>
        <v>0</v>
      </c>
      <c r="C501" s="8">
        <f>'Orderformular Color Kids'!C529</f>
        <v>0</v>
      </c>
      <c r="D501" s="8">
        <f>'Orderformular Color Kids'!D529</f>
        <v>0</v>
      </c>
      <c r="E501" s="4">
        <f>'Orderformular Color Kids'!E529</f>
        <v>0</v>
      </c>
      <c r="F501" s="4">
        <f>'Orderformular Color Kids'!F529</f>
        <v>0</v>
      </c>
      <c r="G501" s="4">
        <f>'Orderformular Color Kids'!G529</f>
        <v>0</v>
      </c>
      <c r="H501" s="4">
        <f>'Orderformular Color Kids'!H529</f>
        <v>0</v>
      </c>
      <c r="I501" s="4">
        <f>'Orderformular Color Kids'!I529</f>
        <v>0</v>
      </c>
      <c r="J501" s="4">
        <f>'Orderformular Color Kids'!J529</f>
        <v>0</v>
      </c>
      <c r="K501" s="4">
        <f>'Orderformular Color Kids'!K529</f>
        <v>0</v>
      </c>
      <c r="L501" s="4">
        <f>'Orderformular Color Kids'!L529</f>
        <v>0</v>
      </c>
      <c r="M501" s="7">
        <f>'Orderformular Color Kids'!M529</f>
        <v>0</v>
      </c>
      <c r="N501" s="7">
        <f>'Packliste Orig'!N506</f>
        <v>0</v>
      </c>
      <c r="O501" s="7">
        <f>'Orderformular Color Kids'!O529</f>
        <v>0</v>
      </c>
      <c r="P501" s="7">
        <f>'Packliste Orig'!P506</f>
        <v>0</v>
      </c>
      <c r="Q501" s="7">
        <f>'Orderformular Color Kids'!Q529</f>
        <v>0</v>
      </c>
      <c r="R501" s="7">
        <f>'Orderformular Color Kids'!R529</f>
        <v>0</v>
      </c>
      <c r="S501" s="6">
        <f t="shared" si="7"/>
        <v>0</v>
      </c>
      <c r="T501" s="50">
        <f>'Orderformular Color Kids'!U529</f>
        <v>0</v>
      </c>
    </row>
    <row r="502" spans="1:20" x14ac:dyDescent="0.2">
      <c r="A502" s="61">
        <f>'Orderformular Color Kids'!A530</f>
        <v>0</v>
      </c>
      <c r="B502" s="62">
        <f>'Orderformular Color Kids'!B530</f>
        <v>0</v>
      </c>
      <c r="C502" s="8">
        <f>'Orderformular Color Kids'!C530</f>
        <v>0</v>
      </c>
      <c r="D502" s="8">
        <f>'Orderformular Color Kids'!D530</f>
        <v>0</v>
      </c>
      <c r="E502" s="4">
        <f>'Orderformular Color Kids'!E530</f>
        <v>0</v>
      </c>
      <c r="F502" s="4">
        <f>'Orderformular Color Kids'!F530</f>
        <v>0</v>
      </c>
      <c r="G502" s="4">
        <f>'Orderformular Color Kids'!G530</f>
        <v>0</v>
      </c>
      <c r="H502" s="4">
        <f>'Orderformular Color Kids'!H530</f>
        <v>0</v>
      </c>
      <c r="I502" s="4">
        <f>'Orderformular Color Kids'!I530</f>
        <v>0</v>
      </c>
      <c r="J502" s="4">
        <f>'Orderformular Color Kids'!J530</f>
        <v>0</v>
      </c>
      <c r="K502" s="4">
        <f>'Orderformular Color Kids'!K530</f>
        <v>0</v>
      </c>
      <c r="L502" s="4">
        <f>'Orderformular Color Kids'!L530</f>
        <v>0</v>
      </c>
      <c r="M502" s="7">
        <f>'Orderformular Color Kids'!M530</f>
        <v>0</v>
      </c>
      <c r="N502" s="7">
        <f>'Packliste Orig'!N507</f>
        <v>0</v>
      </c>
      <c r="O502" s="7">
        <f>'Orderformular Color Kids'!O530</f>
        <v>0</v>
      </c>
      <c r="P502" s="7">
        <f>'Packliste Orig'!P507</f>
        <v>0</v>
      </c>
      <c r="Q502" s="7">
        <f>'Orderformular Color Kids'!Q530</f>
        <v>0</v>
      </c>
      <c r="R502" s="7">
        <f>'Orderformular Color Kids'!R530</f>
        <v>0</v>
      </c>
      <c r="S502" s="6">
        <f t="shared" si="7"/>
        <v>0</v>
      </c>
      <c r="T502" s="50">
        <f>'Orderformular Color Kids'!U530</f>
        <v>0</v>
      </c>
    </row>
    <row r="503" spans="1:20" x14ac:dyDescent="0.2">
      <c r="A503" s="61">
        <f>'Orderformular Color Kids'!A531</f>
        <v>0</v>
      </c>
      <c r="B503" s="62">
        <f>'Orderformular Color Kids'!B531</f>
        <v>0</v>
      </c>
      <c r="C503" s="8">
        <f>'Orderformular Color Kids'!C531</f>
        <v>0</v>
      </c>
      <c r="D503" s="8">
        <f>'Orderformular Color Kids'!D531</f>
        <v>0</v>
      </c>
      <c r="E503" s="4">
        <f>'Orderformular Color Kids'!E531</f>
        <v>0</v>
      </c>
      <c r="F503" s="4">
        <f>'Orderformular Color Kids'!F531</f>
        <v>0</v>
      </c>
      <c r="G503" s="4">
        <f>'Orderformular Color Kids'!G531</f>
        <v>0</v>
      </c>
      <c r="H503" s="4">
        <f>'Orderformular Color Kids'!H531</f>
        <v>0</v>
      </c>
      <c r="I503" s="4">
        <f>'Orderformular Color Kids'!I531</f>
        <v>0</v>
      </c>
      <c r="J503" s="4">
        <f>'Orderformular Color Kids'!J531</f>
        <v>0</v>
      </c>
      <c r="K503" s="4">
        <f>'Orderformular Color Kids'!K531</f>
        <v>0</v>
      </c>
      <c r="L503" s="4">
        <f>'Orderformular Color Kids'!L531</f>
        <v>0</v>
      </c>
      <c r="M503" s="7">
        <f>'Orderformular Color Kids'!M531</f>
        <v>0</v>
      </c>
      <c r="N503" s="7">
        <f>'Packliste Orig'!N508</f>
        <v>0</v>
      </c>
      <c r="O503" s="7">
        <f>'Orderformular Color Kids'!O531</f>
        <v>0</v>
      </c>
      <c r="P503" s="7">
        <f>'Packliste Orig'!P508</f>
        <v>0</v>
      </c>
      <c r="Q503" s="7">
        <f>'Orderformular Color Kids'!Q531</f>
        <v>0</v>
      </c>
      <c r="R503" s="7">
        <f>'Orderformular Color Kids'!R531</f>
        <v>0</v>
      </c>
      <c r="S503" s="6">
        <f t="shared" si="7"/>
        <v>0</v>
      </c>
      <c r="T503" s="50">
        <f>'Orderformular Color Kids'!U531</f>
        <v>0</v>
      </c>
    </row>
    <row r="504" spans="1:20" x14ac:dyDescent="0.2">
      <c r="A504" s="61">
        <f>'Orderformular Color Kids'!A532</f>
        <v>0</v>
      </c>
      <c r="B504" s="62">
        <f>'Orderformular Color Kids'!B532</f>
        <v>0</v>
      </c>
      <c r="C504" s="8">
        <f>'Orderformular Color Kids'!C532</f>
        <v>0</v>
      </c>
      <c r="D504" s="8">
        <f>'Orderformular Color Kids'!D532</f>
        <v>0</v>
      </c>
      <c r="E504" s="4">
        <f>'Orderformular Color Kids'!E532</f>
        <v>0</v>
      </c>
      <c r="F504" s="4">
        <f>'Orderformular Color Kids'!F532</f>
        <v>0</v>
      </c>
      <c r="G504" s="4">
        <f>'Orderformular Color Kids'!G532</f>
        <v>0</v>
      </c>
      <c r="H504" s="4">
        <f>'Orderformular Color Kids'!H532</f>
        <v>0</v>
      </c>
      <c r="I504" s="4">
        <f>'Orderformular Color Kids'!I532</f>
        <v>0</v>
      </c>
      <c r="J504" s="4">
        <f>'Orderformular Color Kids'!J532</f>
        <v>0</v>
      </c>
      <c r="K504" s="4">
        <f>'Orderformular Color Kids'!K532</f>
        <v>0</v>
      </c>
      <c r="L504" s="4">
        <f>'Orderformular Color Kids'!L532</f>
        <v>0</v>
      </c>
      <c r="M504" s="7">
        <f>'Orderformular Color Kids'!M532</f>
        <v>0</v>
      </c>
      <c r="N504" s="7">
        <f>'Packliste Orig'!N509</f>
        <v>0</v>
      </c>
      <c r="O504" s="7">
        <f>'Orderformular Color Kids'!O532</f>
        <v>0</v>
      </c>
      <c r="P504" s="7">
        <f>'Packliste Orig'!P509</f>
        <v>0</v>
      </c>
      <c r="Q504" s="7">
        <f>'Orderformular Color Kids'!Q532</f>
        <v>0</v>
      </c>
      <c r="R504" s="7">
        <f>'Orderformular Color Kids'!R532</f>
        <v>0</v>
      </c>
      <c r="S504" s="6">
        <f t="shared" si="7"/>
        <v>0</v>
      </c>
      <c r="T504" s="50">
        <f>'Orderformular Color Kids'!U532</f>
        <v>0</v>
      </c>
    </row>
    <row r="505" spans="1:20" x14ac:dyDescent="0.2">
      <c r="A505" s="61">
        <f>'Orderformular Color Kids'!A533</f>
        <v>0</v>
      </c>
      <c r="B505" s="62">
        <f>'Orderformular Color Kids'!B533</f>
        <v>0</v>
      </c>
      <c r="C505" s="8">
        <f>'Orderformular Color Kids'!C533</f>
        <v>0</v>
      </c>
      <c r="D505" s="8">
        <f>'Orderformular Color Kids'!D533</f>
        <v>0</v>
      </c>
      <c r="E505" s="4">
        <f>'Orderformular Color Kids'!E533</f>
        <v>0</v>
      </c>
      <c r="F505" s="4">
        <f>'Orderformular Color Kids'!F533</f>
        <v>0</v>
      </c>
      <c r="G505" s="4">
        <f>'Orderformular Color Kids'!G533</f>
        <v>0</v>
      </c>
      <c r="H505" s="4">
        <f>'Orderformular Color Kids'!H533</f>
        <v>0</v>
      </c>
      <c r="I505" s="4">
        <f>'Orderformular Color Kids'!I533</f>
        <v>0</v>
      </c>
      <c r="J505" s="4">
        <f>'Orderformular Color Kids'!J533</f>
        <v>0</v>
      </c>
      <c r="K505" s="4">
        <f>'Orderformular Color Kids'!K533</f>
        <v>0</v>
      </c>
      <c r="L505" s="4">
        <f>'Orderformular Color Kids'!L533</f>
        <v>0</v>
      </c>
      <c r="M505" s="7">
        <f>'Orderformular Color Kids'!M533</f>
        <v>0</v>
      </c>
      <c r="N505" s="7">
        <f>'Packliste Orig'!N510</f>
        <v>0</v>
      </c>
      <c r="O505" s="7">
        <f>'Orderformular Color Kids'!O533</f>
        <v>0</v>
      </c>
      <c r="P505" s="7">
        <f>'Packliste Orig'!P510</f>
        <v>0</v>
      </c>
      <c r="Q505" s="7">
        <f>'Orderformular Color Kids'!Q533</f>
        <v>0</v>
      </c>
      <c r="R505" s="7">
        <f>'Orderformular Color Kids'!R533</f>
        <v>0</v>
      </c>
      <c r="S505" s="6">
        <f t="shared" si="7"/>
        <v>0</v>
      </c>
      <c r="T505" s="50">
        <f>'Orderformular Color Kids'!U533</f>
        <v>0</v>
      </c>
    </row>
    <row r="506" spans="1:20" x14ac:dyDescent="0.2">
      <c r="A506" s="61">
        <f>'Orderformular Color Kids'!A534</f>
        <v>0</v>
      </c>
      <c r="B506" s="62">
        <f>'Orderformular Color Kids'!B534</f>
        <v>0</v>
      </c>
      <c r="C506" s="8">
        <f>'Orderformular Color Kids'!C534</f>
        <v>0</v>
      </c>
      <c r="D506" s="8">
        <f>'Orderformular Color Kids'!D534</f>
        <v>0</v>
      </c>
      <c r="E506" s="4">
        <f>'Orderformular Color Kids'!E534</f>
        <v>0</v>
      </c>
      <c r="F506" s="4">
        <f>'Orderformular Color Kids'!F534</f>
        <v>0</v>
      </c>
      <c r="G506" s="4">
        <f>'Orderformular Color Kids'!G534</f>
        <v>0</v>
      </c>
      <c r="H506" s="4">
        <f>'Orderformular Color Kids'!H534</f>
        <v>0</v>
      </c>
      <c r="I506" s="4">
        <f>'Orderformular Color Kids'!I534</f>
        <v>0</v>
      </c>
      <c r="J506" s="4">
        <f>'Orderformular Color Kids'!J534</f>
        <v>0</v>
      </c>
      <c r="K506" s="4">
        <f>'Orderformular Color Kids'!K534</f>
        <v>0</v>
      </c>
      <c r="L506" s="4">
        <f>'Orderformular Color Kids'!L534</f>
        <v>0</v>
      </c>
      <c r="M506" s="7">
        <f>'Orderformular Color Kids'!M534</f>
        <v>0</v>
      </c>
      <c r="N506" s="7">
        <f>'Packliste Orig'!N511</f>
        <v>0</v>
      </c>
      <c r="O506" s="7">
        <f>'Orderformular Color Kids'!O534</f>
        <v>0</v>
      </c>
      <c r="P506" s="7">
        <f>'Packliste Orig'!P511</f>
        <v>0</v>
      </c>
      <c r="Q506" s="7">
        <f>'Orderformular Color Kids'!Q534</f>
        <v>0</v>
      </c>
      <c r="R506" s="7">
        <f>'Orderformular Color Kids'!R534</f>
        <v>0</v>
      </c>
      <c r="S506" s="6">
        <f t="shared" si="7"/>
        <v>0</v>
      </c>
      <c r="T506" s="50">
        <f>'Orderformular Color Kids'!U534</f>
        <v>0</v>
      </c>
    </row>
    <row r="507" spans="1:20" x14ac:dyDescent="0.2">
      <c r="A507" s="61">
        <f>'Orderformular Color Kids'!A535</f>
        <v>0</v>
      </c>
      <c r="B507" s="62">
        <f>'Orderformular Color Kids'!B535</f>
        <v>0</v>
      </c>
      <c r="C507" s="8">
        <f>'Orderformular Color Kids'!C535</f>
        <v>0</v>
      </c>
      <c r="D507" s="8">
        <f>'Orderformular Color Kids'!D535</f>
        <v>0</v>
      </c>
      <c r="E507" s="4">
        <f>'Orderformular Color Kids'!E535</f>
        <v>0</v>
      </c>
      <c r="F507" s="4">
        <f>'Orderformular Color Kids'!F535</f>
        <v>0</v>
      </c>
      <c r="G507" s="4">
        <f>'Orderformular Color Kids'!G535</f>
        <v>0</v>
      </c>
      <c r="H507" s="4">
        <f>'Orderformular Color Kids'!H535</f>
        <v>0</v>
      </c>
      <c r="I507" s="4">
        <f>'Orderformular Color Kids'!I535</f>
        <v>0</v>
      </c>
      <c r="J507" s="4">
        <f>'Orderformular Color Kids'!J535</f>
        <v>0</v>
      </c>
      <c r="K507" s="4">
        <f>'Orderformular Color Kids'!K535</f>
        <v>0</v>
      </c>
      <c r="L507" s="4">
        <f>'Orderformular Color Kids'!L535</f>
        <v>0</v>
      </c>
      <c r="M507" s="7">
        <f>'Orderformular Color Kids'!M535</f>
        <v>0</v>
      </c>
      <c r="N507" s="7">
        <f>'Packliste Orig'!N512</f>
        <v>0</v>
      </c>
      <c r="O507" s="7">
        <f>'Orderformular Color Kids'!O535</f>
        <v>0</v>
      </c>
      <c r="P507" s="7">
        <f>'Packliste Orig'!P512</f>
        <v>0</v>
      </c>
      <c r="Q507" s="7">
        <f>'Orderformular Color Kids'!Q535</f>
        <v>0</v>
      </c>
      <c r="R507" s="7">
        <f>'Orderformular Color Kids'!R535</f>
        <v>0</v>
      </c>
      <c r="S507" s="6">
        <f t="shared" si="7"/>
        <v>0</v>
      </c>
      <c r="T507" s="50">
        <f>'Orderformular Color Kids'!U535</f>
        <v>0</v>
      </c>
    </row>
    <row r="508" spans="1:20" x14ac:dyDescent="0.2">
      <c r="A508" s="61">
        <f>'Orderformular Color Kids'!A536</f>
        <v>0</v>
      </c>
      <c r="B508" s="62">
        <f>'Orderformular Color Kids'!B536</f>
        <v>0</v>
      </c>
      <c r="C508" s="8">
        <f>'Orderformular Color Kids'!C536</f>
        <v>0</v>
      </c>
      <c r="D508" s="8">
        <f>'Orderformular Color Kids'!D536</f>
        <v>0</v>
      </c>
      <c r="E508" s="4">
        <f>'Orderformular Color Kids'!E536</f>
        <v>0</v>
      </c>
      <c r="F508" s="4">
        <f>'Orderformular Color Kids'!F536</f>
        <v>0</v>
      </c>
      <c r="G508" s="4">
        <f>'Orderformular Color Kids'!G536</f>
        <v>0</v>
      </c>
      <c r="H508" s="4">
        <f>'Orderformular Color Kids'!H536</f>
        <v>0</v>
      </c>
      <c r="I508" s="4">
        <f>'Orderformular Color Kids'!I536</f>
        <v>0</v>
      </c>
      <c r="J508" s="4">
        <f>'Orderformular Color Kids'!J536</f>
        <v>0</v>
      </c>
      <c r="K508" s="4">
        <f>'Orderformular Color Kids'!K536</f>
        <v>0</v>
      </c>
      <c r="L508" s="4">
        <f>'Orderformular Color Kids'!L536</f>
        <v>0</v>
      </c>
      <c r="M508" s="7">
        <f>'Orderformular Color Kids'!M536</f>
        <v>0</v>
      </c>
      <c r="N508" s="7">
        <f>'Packliste Orig'!N513</f>
        <v>0</v>
      </c>
      <c r="O508" s="7">
        <f>'Orderformular Color Kids'!O536</f>
        <v>0</v>
      </c>
      <c r="P508" s="7">
        <f>'Packliste Orig'!P513</f>
        <v>0</v>
      </c>
      <c r="Q508" s="7">
        <f>'Orderformular Color Kids'!Q536</f>
        <v>0</v>
      </c>
      <c r="R508" s="7">
        <f>'Orderformular Color Kids'!R536</f>
        <v>0</v>
      </c>
      <c r="S508" s="6">
        <f t="shared" si="7"/>
        <v>0</v>
      </c>
      <c r="T508" s="50">
        <f>'Orderformular Color Kids'!U536</f>
        <v>0</v>
      </c>
    </row>
    <row r="509" spans="1:20" x14ac:dyDescent="0.2">
      <c r="A509" s="61">
        <f>'Orderformular Color Kids'!A537</f>
        <v>0</v>
      </c>
      <c r="B509" s="62">
        <f>'Orderformular Color Kids'!B537</f>
        <v>0</v>
      </c>
      <c r="C509" s="8">
        <f>'Orderformular Color Kids'!C537</f>
        <v>0</v>
      </c>
      <c r="D509" s="8">
        <f>'Orderformular Color Kids'!D537</f>
        <v>0</v>
      </c>
      <c r="E509" s="4">
        <f>'Orderformular Color Kids'!E537</f>
        <v>0</v>
      </c>
      <c r="F509" s="4">
        <f>'Orderformular Color Kids'!F537</f>
        <v>0</v>
      </c>
      <c r="G509" s="4">
        <f>'Orderformular Color Kids'!G537</f>
        <v>0</v>
      </c>
      <c r="H509" s="4">
        <f>'Orderformular Color Kids'!H537</f>
        <v>0</v>
      </c>
      <c r="I509" s="4">
        <f>'Orderformular Color Kids'!I537</f>
        <v>0</v>
      </c>
      <c r="J509" s="4">
        <f>'Orderformular Color Kids'!J537</f>
        <v>0</v>
      </c>
      <c r="K509" s="4">
        <f>'Orderformular Color Kids'!K537</f>
        <v>0</v>
      </c>
      <c r="L509" s="4">
        <f>'Orderformular Color Kids'!L537</f>
        <v>0</v>
      </c>
      <c r="M509" s="7">
        <f>'Orderformular Color Kids'!M537</f>
        <v>0</v>
      </c>
      <c r="N509" s="7">
        <f>'Packliste Orig'!N514</f>
        <v>0</v>
      </c>
      <c r="O509" s="7">
        <f>'Orderformular Color Kids'!O537</f>
        <v>0</v>
      </c>
      <c r="P509" s="7">
        <f>'Packliste Orig'!P514</f>
        <v>0</v>
      </c>
      <c r="Q509" s="7">
        <f>'Orderformular Color Kids'!Q537</f>
        <v>0</v>
      </c>
      <c r="R509" s="7">
        <f>'Orderformular Color Kids'!R537</f>
        <v>0</v>
      </c>
      <c r="S509" s="6">
        <f t="shared" si="7"/>
        <v>0</v>
      </c>
      <c r="T509" s="50">
        <f>'Orderformular Color Kids'!U537</f>
        <v>0</v>
      </c>
    </row>
    <row r="510" spans="1:20" x14ac:dyDescent="0.2">
      <c r="A510" s="61">
        <f>'Orderformular Color Kids'!A538</f>
        <v>0</v>
      </c>
      <c r="B510" s="62">
        <f>'Orderformular Color Kids'!B538</f>
        <v>0</v>
      </c>
      <c r="C510" s="8">
        <f>'Orderformular Color Kids'!C538</f>
        <v>0</v>
      </c>
      <c r="D510" s="8">
        <f>'Orderformular Color Kids'!D538</f>
        <v>0</v>
      </c>
      <c r="E510" s="4">
        <f>'Orderformular Color Kids'!E538</f>
        <v>0</v>
      </c>
      <c r="F510" s="4">
        <f>'Orderformular Color Kids'!F538</f>
        <v>0</v>
      </c>
      <c r="G510" s="4">
        <f>'Orderformular Color Kids'!G538</f>
        <v>0</v>
      </c>
      <c r="H510" s="4">
        <f>'Orderformular Color Kids'!H538</f>
        <v>0</v>
      </c>
      <c r="I510" s="4">
        <f>'Orderformular Color Kids'!I538</f>
        <v>0</v>
      </c>
      <c r="J510" s="4">
        <f>'Orderformular Color Kids'!J538</f>
        <v>0</v>
      </c>
      <c r="K510" s="4">
        <f>'Orderformular Color Kids'!K538</f>
        <v>0</v>
      </c>
      <c r="L510" s="4">
        <f>'Orderformular Color Kids'!L538</f>
        <v>0</v>
      </c>
      <c r="M510" s="7">
        <f>'Orderformular Color Kids'!M538</f>
        <v>0</v>
      </c>
      <c r="N510" s="7">
        <f>'Packliste Orig'!N515</f>
        <v>0</v>
      </c>
      <c r="O510" s="7">
        <f>'Orderformular Color Kids'!O538</f>
        <v>0</v>
      </c>
      <c r="P510" s="7">
        <f>'Packliste Orig'!P515</f>
        <v>0</v>
      </c>
      <c r="Q510" s="7">
        <f>'Orderformular Color Kids'!Q538</f>
        <v>0</v>
      </c>
      <c r="R510" s="7">
        <f>'Orderformular Color Kids'!R538</f>
        <v>0</v>
      </c>
      <c r="S510" s="6">
        <f t="shared" si="7"/>
        <v>0</v>
      </c>
      <c r="T510" s="50">
        <f>'Orderformular Color Kids'!U538</f>
        <v>0</v>
      </c>
    </row>
    <row r="511" spans="1:20" x14ac:dyDescent="0.2">
      <c r="A511" s="61">
        <f>'Orderformular Color Kids'!A539</f>
        <v>0</v>
      </c>
      <c r="B511" s="62">
        <f>'Orderformular Color Kids'!B539</f>
        <v>0</v>
      </c>
      <c r="C511" s="8">
        <f>'Orderformular Color Kids'!C539</f>
        <v>0</v>
      </c>
      <c r="D511" s="8">
        <f>'Orderformular Color Kids'!D539</f>
        <v>0</v>
      </c>
      <c r="E511" s="4">
        <f>'Orderformular Color Kids'!E539</f>
        <v>0</v>
      </c>
      <c r="F511" s="4">
        <f>'Orderformular Color Kids'!F539</f>
        <v>0</v>
      </c>
      <c r="G511" s="4">
        <f>'Orderformular Color Kids'!G539</f>
        <v>0</v>
      </c>
      <c r="H511" s="4">
        <f>'Orderformular Color Kids'!H539</f>
        <v>0</v>
      </c>
      <c r="I511" s="4">
        <f>'Orderformular Color Kids'!I539</f>
        <v>0</v>
      </c>
      <c r="J511" s="4">
        <f>'Orderformular Color Kids'!J539</f>
        <v>0</v>
      </c>
      <c r="K511" s="4">
        <f>'Orderformular Color Kids'!K539</f>
        <v>0</v>
      </c>
      <c r="L511" s="4">
        <f>'Orderformular Color Kids'!L539</f>
        <v>0</v>
      </c>
      <c r="M511" s="7">
        <f>'Orderformular Color Kids'!M539</f>
        <v>0</v>
      </c>
      <c r="N511" s="7">
        <f>'Packliste Orig'!N516</f>
        <v>0</v>
      </c>
      <c r="O511" s="7">
        <f>'Orderformular Color Kids'!O539</f>
        <v>0</v>
      </c>
      <c r="P511" s="7">
        <f>'Packliste Orig'!P516</f>
        <v>0</v>
      </c>
      <c r="Q511" s="7">
        <f>'Orderformular Color Kids'!Q539</f>
        <v>0</v>
      </c>
      <c r="R511" s="7">
        <f>'Orderformular Color Kids'!R539</f>
        <v>0</v>
      </c>
      <c r="S511" s="6">
        <f t="shared" si="7"/>
        <v>0</v>
      </c>
      <c r="T511" s="50">
        <f>'Orderformular Color Kids'!U539</f>
        <v>0</v>
      </c>
    </row>
    <row r="512" spans="1:20" x14ac:dyDescent="0.2">
      <c r="A512" s="61">
        <f>'Orderformular Color Kids'!A540</f>
        <v>0</v>
      </c>
      <c r="B512" s="62">
        <f>'Orderformular Color Kids'!B540</f>
        <v>0</v>
      </c>
      <c r="C512" s="8">
        <f>'Orderformular Color Kids'!C540</f>
        <v>0</v>
      </c>
      <c r="D512" s="8">
        <f>'Orderformular Color Kids'!D540</f>
        <v>0</v>
      </c>
      <c r="E512" s="4">
        <f>'Orderformular Color Kids'!E540</f>
        <v>0</v>
      </c>
      <c r="F512" s="4">
        <f>'Orderformular Color Kids'!F540</f>
        <v>0</v>
      </c>
      <c r="G512" s="4">
        <f>'Orderformular Color Kids'!G540</f>
        <v>0</v>
      </c>
      <c r="H512" s="4">
        <f>'Orderformular Color Kids'!H540</f>
        <v>0</v>
      </c>
      <c r="I512" s="4">
        <f>'Orderformular Color Kids'!I540</f>
        <v>0</v>
      </c>
      <c r="J512" s="4">
        <f>'Orderformular Color Kids'!J540</f>
        <v>0</v>
      </c>
      <c r="K512" s="4">
        <f>'Orderformular Color Kids'!K540</f>
        <v>0</v>
      </c>
      <c r="L512" s="4">
        <f>'Orderformular Color Kids'!L540</f>
        <v>0</v>
      </c>
      <c r="M512" s="7">
        <f>'Orderformular Color Kids'!M540</f>
        <v>0</v>
      </c>
      <c r="N512" s="7">
        <f>'Packliste Orig'!N517</f>
        <v>0</v>
      </c>
      <c r="O512" s="7">
        <f>'Orderformular Color Kids'!O540</f>
        <v>0</v>
      </c>
      <c r="P512" s="7">
        <f>'Packliste Orig'!P517</f>
        <v>0</v>
      </c>
      <c r="Q512" s="7">
        <f>'Orderformular Color Kids'!Q540</f>
        <v>0</v>
      </c>
      <c r="R512" s="7">
        <f>'Orderformular Color Kids'!R540</f>
        <v>0</v>
      </c>
      <c r="S512" s="6">
        <f t="shared" si="7"/>
        <v>0</v>
      </c>
      <c r="T512" s="50">
        <f>'Orderformular Color Kids'!U540</f>
        <v>0</v>
      </c>
    </row>
    <row r="513" spans="1:20" x14ac:dyDescent="0.2">
      <c r="A513" s="61">
        <f>'Orderformular Color Kids'!A541</f>
        <v>0</v>
      </c>
      <c r="B513" s="62">
        <f>'Orderformular Color Kids'!B541</f>
        <v>0</v>
      </c>
      <c r="C513" s="8">
        <f>'Orderformular Color Kids'!C541</f>
        <v>0</v>
      </c>
      <c r="D513" s="8">
        <f>'Orderformular Color Kids'!D541</f>
        <v>0</v>
      </c>
      <c r="E513" s="4">
        <f>'Orderformular Color Kids'!E541</f>
        <v>0</v>
      </c>
      <c r="F513" s="4">
        <f>'Orderformular Color Kids'!F541</f>
        <v>0</v>
      </c>
      <c r="G513" s="4">
        <f>'Orderformular Color Kids'!G541</f>
        <v>0</v>
      </c>
      <c r="H513" s="4">
        <f>'Orderformular Color Kids'!H541</f>
        <v>0</v>
      </c>
      <c r="I513" s="4">
        <f>'Orderformular Color Kids'!I541</f>
        <v>0</v>
      </c>
      <c r="J513" s="4">
        <f>'Orderformular Color Kids'!J541</f>
        <v>0</v>
      </c>
      <c r="K513" s="4">
        <f>'Orderformular Color Kids'!K541</f>
        <v>0</v>
      </c>
      <c r="L513" s="4">
        <f>'Orderformular Color Kids'!L541</f>
        <v>0</v>
      </c>
      <c r="M513" s="7">
        <f>'Orderformular Color Kids'!M541</f>
        <v>0</v>
      </c>
      <c r="N513" s="7">
        <f>'Packliste Orig'!N518</f>
        <v>0</v>
      </c>
      <c r="O513" s="7">
        <f>'Orderformular Color Kids'!O541</f>
        <v>0</v>
      </c>
      <c r="P513" s="7">
        <f>'Packliste Orig'!P518</f>
        <v>0</v>
      </c>
      <c r="Q513" s="7">
        <f>'Orderformular Color Kids'!Q541</f>
        <v>0</v>
      </c>
      <c r="R513" s="7">
        <f>'Orderformular Color Kids'!R541</f>
        <v>0</v>
      </c>
      <c r="S513" s="6">
        <f t="shared" si="7"/>
        <v>0</v>
      </c>
      <c r="T513" s="50">
        <f>'Orderformular Color Kids'!U541</f>
        <v>0</v>
      </c>
    </row>
    <row r="514" spans="1:20" x14ac:dyDescent="0.2">
      <c r="A514" s="61">
        <f>'Orderformular Color Kids'!A542</f>
        <v>0</v>
      </c>
      <c r="B514" s="62">
        <f>'Orderformular Color Kids'!B542</f>
        <v>0</v>
      </c>
      <c r="C514" s="8">
        <f>'Orderformular Color Kids'!C542</f>
        <v>0</v>
      </c>
      <c r="D514" s="8">
        <f>'Orderformular Color Kids'!D542</f>
        <v>0</v>
      </c>
      <c r="E514" s="4">
        <f>'Orderformular Color Kids'!E542</f>
        <v>0</v>
      </c>
      <c r="F514" s="4">
        <f>'Orderformular Color Kids'!F542</f>
        <v>0</v>
      </c>
      <c r="G514" s="4">
        <f>'Orderformular Color Kids'!G542</f>
        <v>0</v>
      </c>
      <c r="H514" s="4">
        <f>'Orderformular Color Kids'!H542</f>
        <v>0</v>
      </c>
      <c r="I514" s="4">
        <f>'Orderformular Color Kids'!I542</f>
        <v>0</v>
      </c>
      <c r="J514" s="4">
        <f>'Orderformular Color Kids'!J542</f>
        <v>0</v>
      </c>
      <c r="K514" s="4">
        <f>'Orderformular Color Kids'!K542</f>
        <v>0</v>
      </c>
      <c r="L514" s="4">
        <f>'Orderformular Color Kids'!L542</f>
        <v>0</v>
      </c>
      <c r="M514" s="7">
        <f>'Orderformular Color Kids'!M542</f>
        <v>0</v>
      </c>
      <c r="N514" s="7">
        <f>'Packliste Orig'!N519</f>
        <v>0</v>
      </c>
      <c r="O514" s="7">
        <f>'Orderformular Color Kids'!O542</f>
        <v>0</v>
      </c>
      <c r="P514" s="7">
        <f>'Packliste Orig'!P519</f>
        <v>0</v>
      </c>
      <c r="Q514" s="7">
        <f>'Orderformular Color Kids'!Q542</f>
        <v>0</v>
      </c>
      <c r="R514" s="7">
        <f>'Orderformular Color Kids'!R542</f>
        <v>0</v>
      </c>
      <c r="S514" s="6">
        <f t="shared" si="7"/>
        <v>0</v>
      </c>
      <c r="T514" s="50">
        <f>'Orderformular Color Kids'!U542</f>
        <v>0</v>
      </c>
    </row>
    <row r="515" spans="1:20" x14ac:dyDescent="0.2">
      <c r="A515" s="61">
        <f>'Orderformular Color Kids'!A543</f>
        <v>0</v>
      </c>
      <c r="B515" s="62">
        <f>'Orderformular Color Kids'!B543</f>
        <v>0</v>
      </c>
      <c r="C515" s="8">
        <f>'Orderformular Color Kids'!C543</f>
        <v>0</v>
      </c>
      <c r="D515" s="8">
        <f>'Orderformular Color Kids'!D543</f>
        <v>0</v>
      </c>
      <c r="E515" s="4">
        <f>'Orderformular Color Kids'!E543</f>
        <v>0</v>
      </c>
      <c r="F515" s="4">
        <f>'Orderformular Color Kids'!F543</f>
        <v>0</v>
      </c>
      <c r="G515" s="4">
        <f>'Orderformular Color Kids'!G543</f>
        <v>0</v>
      </c>
      <c r="H515" s="4">
        <f>'Orderformular Color Kids'!H543</f>
        <v>0</v>
      </c>
      <c r="I515" s="4">
        <f>'Orderformular Color Kids'!I543</f>
        <v>0</v>
      </c>
      <c r="J515" s="4">
        <f>'Orderformular Color Kids'!J543</f>
        <v>0</v>
      </c>
      <c r="K515" s="4">
        <f>'Orderformular Color Kids'!K543</f>
        <v>0</v>
      </c>
      <c r="L515" s="4">
        <f>'Orderformular Color Kids'!L543</f>
        <v>0</v>
      </c>
      <c r="M515" s="7">
        <f>'Orderformular Color Kids'!M543</f>
        <v>0</v>
      </c>
      <c r="N515" s="7">
        <f>'Packliste Orig'!N520</f>
        <v>0</v>
      </c>
      <c r="O515" s="7">
        <f>'Orderformular Color Kids'!O543</f>
        <v>0</v>
      </c>
      <c r="P515" s="7">
        <f>'Packliste Orig'!P520</f>
        <v>0</v>
      </c>
      <c r="Q515" s="7">
        <f>'Orderformular Color Kids'!Q543</f>
        <v>0</v>
      </c>
      <c r="R515" s="7">
        <f>'Orderformular Color Kids'!R543</f>
        <v>0</v>
      </c>
      <c r="S515" s="6">
        <f t="shared" si="7"/>
        <v>0</v>
      </c>
      <c r="T515" s="50">
        <f>'Orderformular Color Kids'!U543</f>
        <v>0</v>
      </c>
    </row>
    <row r="516" spans="1:20" x14ac:dyDescent="0.2">
      <c r="A516" s="61">
        <f>'Orderformular Color Kids'!A544</f>
        <v>0</v>
      </c>
      <c r="B516" s="62">
        <f>'Orderformular Color Kids'!B544</f>
        <v>0</v>
      </c>
      <c r="C516" s="8">
        <f>'Orderformular Color Kids'!C544</f>
        <v>0</v>
      </c>
      <c r="D516" s="8">
        <f>'Orderformular Color Kids'!D544</f>
        <v>0</v>
      </c>
      <c r="E516" s="4">
        <f>'Orderformular Color Kids'!E544</f>
        <v>0</v>
      </c>
      <c r="F516" s="4">
        <f>'Orderformular Color Kids'!F544</f>
        <v>0</v>
      </c>
      <c r="G516" s="4">
        <f>'Orderformular Color Kids'!G544</f>
        <v>0</v>
      </c>
      <c r="H516" s="4">
        <f>'Orderformular Color Kids'!H544</f>
        <v>0</v>
      </c>
      <c r="I516" s="4">
        <f>'Orderformular Color Kids'!I544</f>
        <v>0</v>
      </c>
      <c r="J516" s="4">
        <f>'Orderformular Color Kids'!J544</f>
        <v>0</v>
      </c>
      <c r="K516" s="4">
        <f>'Orderformular Color Kids'!K544</f>
        <v>0</v>
      </c>
      <c r="L516" s="4">
        <f>'Orderformular Color Kids'!L544</f>
        <v>0</v>
      </c>
      <c r="M516" s="7">
        <f>'Orderformular Color Kids'!M544</f>
        <v>0</v>
      </c>
      <c r="N516" s="7">
        <f>'Packliste Orig'!N521</f>
        <v>0</v>
      </c>
      <c r="O516" s="7">
        <f>'Orderformular Color Kids'!O544</f>
        <v>0</v>
      </c>
      <c r="P516" s="7">
        <f>'Packliste Orig'!P521</f>
        <v>0</v>
      </c>
      <c r="Q516" s="7">
        <f>'Orderformular Color Kids'!Q544</f>
        <v>0</v>
      </c>
      <c r="R516" s="7">
        <f>'Orderformular Color Kids'!R544</f>
        <v>0</v>
      </c>
      <c r="S516" s="6">
        <f t="shared" si="7"/>
        <v>0</v>
      </c>
      <c r="T516" s="50">
        <f>'Orderformular Color Kids'!U544</f>
        <v>0</v>
      </c>
    </row>
    <row r="517" spans="1:20" x14ac:dyDescent="0.2">
      <c r="A517" s="61">
        <f>'Orderformular Color Kids'!A545</f>
        <v>0</v>
      </c>
      <c r="B517" s="62">
        <f>'Orderformular Color Kids'!B545</f>
        <v>0</v>
      </c>
      <c r="C517" s="8">
        <f>'Orderformular Color Kids'!C545</f>
        <v>0</v>
      </c>
      <c r="D517" s="8">
        <f>'Orderformular Color Kids'!D545</f>
        <v>0</v>
      </c>
      <c r="E517" s="4">
        <f>'Orderformular Color Kids'!E545</f>
        <v>0</v>
      </c>
      <c r="F517" s="4">
        <f>'Orderformular Color Kids'!F545</f>
        <v>0</v>
      </c>
      <c r="G517" s="4">
        <f>'Orderformular Color Kids'!G545</f>
        <v>0</v>
      </c>
      <c r="H517" s="4">
        <f>'Orderformular Color Kids'!H545</f>
        <v>0</v>
      </c>
      <c r="I517" s="4">
        <f>'Orderformular Color Kids'!I545</f>
        <v>0</v>
      </c>
      <c r="J517" s="4">
        <f>'Orderformular Color Kids'!J545</f>
        <v>0</v>
      </c>
      <c r="K517" s="4">
        <f>'Orderformular Color Kids'!K545</f>
        <v>0</v>
      </c>
      <c r="L517" s="4">
        <f>'Orderformular Color Kids'!L545</f>
        <v>0</v>
      </c>
      <c r="M517" s="7">
        <f>'Orderformular Color Kids'!M545</f>
        <v>0</v>
      </c>
      <c r="N517" s="7">
        <f>'Packliste Orig'!N522</f>
        <v>0</v>
      </c>
      <c r="O517" s="7">
        <f>'Orderformular Color Kids'!O545</f>
        <v>0</v>
      </c>
      <c r="P517" s="7">
        <f>'Packliste Orig'!P522</f>
        <v>0</v>
      </c>
      <c r="Q517" s="7">
        <f>'Orderformular Color Kids'!Q545</f>
        <v>0</v>
      </c>
      <c r="R517" s="7">
        <f>'Orderformular Color Kids'!R545</f>
        <v>0</v>
      </c>
      <c r="S517" s="6">
        <f t="shared" si="7"/>
        <v>0</v>
      </c>
      <c r="T517" s="50">
        <f>'Orderformular Color Kids'!U545</f>
        <v>0</v>
      </c>
    </row>
    <row r="518" spans="1:20" x14ac:dyDescent="0.2">
      <c r="A518" s="61">
        <f>'Orderformular Color Kids'!A546</f>
        <v>0</v>
      </c>
      <c r="B518" s="62">
        <f>'Orderformular Color Kids'!B546</f>
        <v>0</v>
      </c>
      <c r="C518" s="8">
        <f>'Orderformular Color Kids'!C546</f>
        <v>0</v>
      </c>
      <c r="D518" s="8">
        <f>'Orderformular Color Kids'!D546</f>
        <v>0</v>
      </c>
      <c r="E518" s="4">
        <f>'Orderformular Color Kids'!E546</f>
        <v>0</v>
      </c>
      <c r="F518" s="4">
        <f>'Orderformular Color Kids'!F546</f>
        <v>0</v>
      </c>
      <c r="G518" s="4">
        <f>'Orderformular Color Kids'!G546</f>
        <v>0</v>
      </c>
      <c r="H518" s="4">
        <f>'Orderformular Color Kids'!H546</f>
        <v>0</v>
      </c>
      <c r="I518" s="4">
        <f>'Orderformular Color Kids'!I546</f>
        <v>0</v>
      </c>
      <c r="J518" s="4">
        <f>'Orderformular Color Kids'!J546</f>
        <v>0</v>
      </c>
      <c r="K518" s="4">
        <f>'Orderformular Color Kids'!K546</f>
        <v>0</v>
      </c>
      <c r="L518" s="4">
        <f>'Orderformular Color Kids'!L546</f>
        <v>0</v>
      </c>
      <c r="M518" s="7">
        <f>'Orderformular Color Kids'!M546</f>
        <v>0</v>
      </c>
      <c r="N518" s="7">
        <f>'Packliste Orig'!N523</f>
        <v>0</v>
      </c>
      <c r="O518" s="7">
        <f>'Orderformular Color Kids'!O546</f>
        <v>0</v>
      </c>
      <c r="P518" s="7">
        <f>'Packliste Orig'!P523</f>
        <v>0</v>
      </c>
      <c r="Q518" s="7">
        <f>'Orderformular Color Kids'!Q546</f>
        <v>0</v>
      </c>
      <c r="R518" s="7">
        <f>'Orderformular Color Kids'!R546</f>
        <v>0</v>
      </c>
      <c r="S518" s="6">
        <f t="shared" si="7"/>
        <v>0</v>
      </c>
      <c r="T518" s="50">
        <f>'Orderformular Color Kids'!U546</f>
        <v>0</v>
      </c>
    </row>
    <row r="519" spans="1:20" x14ac:dyDescent="0.2">
      <c r="A519" s="61">
        <f>'Orderformular Color Kids'!A547</f>
        <v>0</v>
      </c>
      <c r="B519" s="62">
        <f>'Orderformular Color Kids'!B547</f>
        <v>0</v>
      </c>
      <c r="C519" s="8">
        <f>'Orderformular Color Kids'!C547</f>
        <v>0</v>
      </c>
      <c r="D519" s="8">
        <f>'Orderformular Color Kids'!D547</f>
        <v>0</v>
      </c>
      <c r="E519" s="4">
        <f>'Orderformular Color Kids'!E547</f>
        <v>0</v>
      </c>
      <c r="F519" s="4">
        <f>'Orderformular Color Kids'!F547</f>
        <v>0</v>
      </c>
      <c r="G519" s="4">
        <f>'Orderformular Color Kids'!G547</f>
        <v>0</v>
      </c>
      <c r="H519" s="4">
        <f>'Orderformular Color Kids'!H547</f>
        <v>0</v>
      </c>
      <c r="I519" s="4">
        <f>'Orderformular Color Kids'!I547</f>
        <v>0</v>
      </c>
      <c r="J519" s="4">
        <f>'Orderformular Color Kids'!J547</f>
        <v>0</v>
      </c>
      <c r="K519" s="4">
        <f>'Orderformular Color Kids'!K547</f>
        <v>0</v>
      </c>
      <c r="L519" s="4">
        <f>'Orderformular Color Kids'!L547</f>
        <v>0</v>
      </c>
      <c r="M519" s="7">
        <f>'Orderformular Color Kids'!M547</f>
        <v>0</v>
      </c>
      <c r="N519" s="7">
        <f>'Packliste Orig'!N524</f>
        <v>0</v>
      </c>
      <c r="O519" s="7">
        <f>'Orderformular Color Kids'!O547</f>
        <v>0</v>
      </c>
      <c r="P519" s="7">
        <f>'Packliste Orig'!P524</f>
        <v>0</v>
      </c>
      <c r="Q519" s="7">
        <f>'Orderformular Color Kids'!Q547</f>
        <v>0</v>
      </c>
      <c r="R519" s="7">
        <f>'Orderformular Color Kids'!R547</f>
        <v>0</v>
      </c>
      <c r="S519" s="6">
        <f t="shared" si="7"/>
        <v>0</v>
      </c>
      <c r="T519" s="50">
        <f>'Orderformular Color Kids'!U547</f>
        <v>0</v>
      </c>
    </row>
    <row r="520" spans="1:20" x14ac:dyDescent="0.2">
      <c r="A520" s="61">
        <f>'Orderformular Color Kids'!A548</f>
        <v>0</v>
      </c>
      <c r="B520" s="62">
        <f>'Orderformular Color Kids'!B548</f>
        <v>0</v>
      </c>
      <c r="C520" s="8">
        <f>'Orderformular Color Kids'!C548</f>
        <v>0</v>
      </c>
      <c r="D520" s="8">
        <f>'Orderformular Color Kids'!D548</f>
        <v>0</v>
      </c>
      <c r="E520" s="4">
        <f>'Orderformular Color Kids'!E548</f>
        <v>0</v>
      </c>
      <c r="F520" s="4">
        <f>'Orderformular Color Kids'!F548</f>
        <v>0</v>
      </c>
      <c r="G520" s="4">
        <f>'Orderformular Color Kids'!G548</f>
        <v>0</v>
      </c>
      <c r="H520" s="4">
        <f>'Orderformular Color Kids'!H548</f>
        <v>0</v>
      </c>
      <c r="I520" s="4">
        <f>'Orderformular Color Kids'!I548</f>
        <v>0</v>
      </c>
      <c r="J520" s="4">
        <f>'Orderformular Color Kids'!J548</f>
        <v>0</v>
      </c>
      <c r="K520" s="4">
        <f>'Orderformular Color Kids'!K548</f>
        <v>0</v>
      </c>
      <c r="L520" s="4">
        <f>'Orderformular Color Kids'!L548</f>
        <v>0</v>
      </c>
      <c r="M520" s="7">
        <f>'Orderformular Color Kids'!M548</f>
        <v>0</v>
      </c>
      <c r="N520" s="7">
        <f>'Packliste Orig'!N525</f>
        <v>0</v>
      </c>
      <c r="O520" s="7">
        <f>'Orderformular Color Kids'!O548</f>
        <v>0</v>
      </c>
      <c r="P520" s="7">
        <f>'Packliste Orig'!P525</f>
        <v>0</v>
      </c>
      <c r="Q520" s="7">
        <f>'Orderformular Color Kids'!Q548</f>
        <v>0</v>
      </c>
      <c r="R520" s="7">
        <f>'Orderformular Color Kids'!R548</f>
        <v>0</v>
      </c>
      <c r="S520" s="6">
        <f t="shared" si="7"/>
        <v>0</v>
      </c>
      <c r="T520" s="50">
        <f>'Orderformular Color Kids'!U548</f>
        <v>0</v>
      </c>
    </row>
    <row r="521" spans="1:20" x14ac:dyDescent="0.2">
      <c r="A521" s="61">
        <f>'Orderformular Color Kids'!A549</f>
        <v>0</v>
      </c>
      <c r="B521" s="62">
        <f>'Orderformular Color Kids'!B549</f>
        <v>0</v>
      </c>
      <c r="C521" s="8">
        <f>'Orderformular Color Kids'!C549</f>
        <v>0</v>
      </c>
      <c r="D521" s="8">
        <f>'Orderformular Color Kids'!D549</f>
        <v>0</v>
      </c>
      <c r="E521" s="4">
        <f>'Orderformular Color Kids'!E549</f>
        <v>0</v>
      </c>
      <c r="F521" s="4">
        <f>'Orderformular Color Kids'!F549</f>
        <v>0</v>
      </c>
      <c r="G521" s="4">
        <f>'Orderformular Color Kids'!G549</f>
        <v>0</v>
      </c>
      <c r="H521" s="4">
        <f>'Orderformular Color Kids'!H549</f>
        <v>0</v>
      </c>
      <c r="I521" s="4">
        <f>'Orderformular Color Kids'!I549</f>
        <v>0</v>
      </c>
      <c r="J521" s="4">
        <f>'Orderformular Color Kids'!J549</f>
        <v>0</v>
      </c>
      <c r="K521" s="4">
        <f>'Orderformular Color Kids'!K549</f>
        <v>0</v>
      </c>
      <c r="L521" s="4">
        <f>'Orderformular Color Kids'!L549</f>
        <v>0</v>
      </c>
      <c r="M521" s="7">
        <f>'Orderformular Color Kids'!M549</f>
        <v>0</v>
      </c>
      <c r="N521" s="7">
        <f>'Packliste Orig'!N526</f>
        <v>0</v>
      </c>
      <c r="O521" s="7">
        <f>'Orderformular Color Kids'!O549</f>
        <v>0</v>
      </c>
      <c r="P521" s="7">
        <f>'Packliste Orig'!P526</f>
        <v>0</v>
      </c>
      <c r="Q521" s="7">
        <f>'Orderformular Color Kids'!Q549</f>
        <v>0</v>
      </c>
      <c r="R521" s="7">
        <f>'Orderformular Color Kids'!R549</f>
        <v>0</v>
      </c>
      <c r="S521" s="6">
        <f t="shared" si="7"/>
        <v>0</v>
      </c>
      <c r="T521" s="50">
        <f>'Orderformular Color Kids'!U549</f>
        <v>0</v>
      </c>
    </row>
    <row r="522" spans="1:20" x14ac:dyDescent="0.2">
      <c r="A522" s="61">
        <f>'Orderformular Color Kids'!A550</f>
        <v>0</v>
      </c>
      <c r="B522" s="62">
        <f>'Orderformular Color Kids'!B550</f>
        <v>0</v>
      </c>
      <c r="C522" s="8">
        <f>'Orderformular Color Kids'!C550</f>
        <v>0</v>
      </c>
      <c r="D522" s="8">
        <f>'Orderformular Color Kids'!D550</f>
        <v>0</v>
      </c>
      <c r="E522" s="4">
        <f>'Orderformular Color Kids'!E550</f>
        <v>0</v>
      </c>
      <c r="F522" s="4">
        <f>'Orderformular Color Kids'!F550</f>
        <v>0</v>
      </c>
      <c r="G522" s="4">
        <f>'Orderformular Color Kids'!G550</f>
        <v>0</v>
      </c>
      <c r="H522" s="4">
        <f>'Orderformular Color Kids'!H550</f>
        <v>0</v>
      </c>
      <c r="I522" s="4">
        <f>'Orderformular Color Kids'!I550</f>
        <v>0</v>
      </c>
      <c r="J522" s="4">
        <f>'Orderformular Color Kids'!J550</f>
        <v>0</v>
      </c>
      <c r="K522" s="4">
        <f>'Orderformular Color Kids'!K550</f>
        <v>0</v>
      </c>
      <c r="L522" s="4">
        <f>'Orderformular Color Kids'!L550</f>
        <v>0</v>
      </c>
      <c r="M522" s="7">
        <f>'Orderformular Color Kids'!M550</f>
        <v>0</v>
      </c>
      <c r="N522" s="7">
        <f>'Packliste Orig'!N527</f>
        <v>0</v>
      </c>
      <c r="O522" s="7">
        <f>'Orderformular Color Kids'!O550</f>
        <v>0</v>
      </c>
      <c r="P522" s="7">
        <f>'Packliste Orig'!P527</f>
        <v>0</v>
      </c>
      <c r="Q522" s="7">
        <f>'Orderformular Color Kids'!Q550</f>
        <v>0</v>
      </c>
      <c r="R522" s="7">
        <f>'Orderformular Color Kids'!R550</f>
        <v>0</v>
      </c>
      <c r="S522" s="6">
        <f t="shared" si="7"/>
        <v>0</v>
      </c>
      <c r="T522" s="50">
        <f>'Orderformular Color Kids'!U550</f>
        <v>0</v>
      </c>
    </row>
    <row r="523" spans="1:20" x14ac:dyDescent="0.2">
      <c r="A523" s="61">
        <f>'Orderformular Color Kids'!A551</f>
        <v>0</v>
      </c>
      <c r="B523" s="62">
        <f>'Orderformular Color Kids'!B551</f>
        <v>0</v>
      </c>
      <c r="C523" s="8">
        <f>'Orderformular Color Kids'!C551</f>
        <v>0</v>
      </c>
      <c r="D523" s="8">
        <f>'Orderformular Color Kids'!D551</f>
        <v>0</v>
      </c>
      <c r="E523" s="4">
        <f>'Orderformular Color Kids'!E551</f>
        <v>0</v>
      </c>
      <c r="F523" s="4">
        <f>'Orderformular Color Kids'!F551</f>
        <v>0</v>
      </c>
      <c r="G523" s="4">
        <f>'Orderformular Color Kids'!G551</f>
        <v>0</v>
      </c>
      <c r="H523" s="4">
        <f>'Orderformular Color Kids'!H551</f>
        <v>0</v>
      </c>
      <c r="I523" s="4">
        <f>'Orderformular Color Kids'!I551</f>
        <v>0</v>
      </c>
      <c r="J523" s="4">
        <f>'Orderformular Color Kids'!J551</f>
        <v>0</v>
      </c>
      <c r="K523" s="4">
        <f>'Orderformular Color Kids'!K551</f>
        <v>0</v>
      </c>
      <c r="L523" s="4">
        <f>'Orderformular Color Kids'!L551</f>
        <v>0</v>
      </c>
      <c r="M523" s="7">
        <f>'Orderformular Color Kids'!M551</f>
        <v>0</v>
      </c>
      <c r="N523" s="7">
        <f>'Packliste Orig'!N528</f>
        <v>0</v>
      </c>
      <c r="O523" s="7">
        <f>'Orderformular Color Kids'!O551</f>
        <v>0</v>
      </c>
      <c r="P523" s="7">
        <f>'Packliste Orig'!P528</f>
        <v>0</v>
      </c>
      <c r="Q523" s="7">
        <f>'Orderformular Color Kids'!Q551</f>
        <v>0</v>
      </c>
      <c r="R523" s="7">
        <f>'Orderformular Color Kids'!R551</f>
        <v>0</v>
      </c>
      <c r="S523" s="6">
        <f t="shared" si="7"/>
        <v>0</v>
      </c>
      <c r="T523" s="50">
        <f>'Orderformular Color Kids'!U551</f>
        <v>0</v>
      </c>
    </row>
    <row r="524" spans="1:20" x14ac:dyDescent="0.2">
      <c r="A524" s="61">
        <f>'Orderformular Color Kids'!A552</f>
        <v>0</v>
      </c>
      <c r="B524" s="62">
        <f>'Orderformular Color Kids'!B552</f>
        <v>0</v>
      </c>
      <c r="C524" s="8">
        <f>'Orderformular Color Kids'!C552</f>
        <v>0</v>
      </c>
      <c r="D524" s="8">
        <f>'Orderformular Color Kids'!D552</f>
        <v>0</v>
      </c>
      <c r="E524" s="4">
        <f>'Orderformular Color Kids'!E552</f>
        <v>0</v>
      </c>
      <c r="F524" s="4">
        <f>'Orderformular Color Kids'!F552</f>
        <v>0</v>
      </c>
      <c r="G524" s="4">
        <f>'Orderformular Color Kids'!G552</f>
        <v>0</v>
      </c>
      <c r="H524" s="4">
        <f>'Orderformular Color Kids'!H552</f>
        <v>0</v>
      </c>
      <c r="I524" s="4">
        <f>'Orderformular Color Kids'!I552</f>
        <v>0</v>
      </c>
      <c r="J524" s="4">
        <f>'Orderformular Color Kids'!J552</f>
        <v>0</v>
      </c>
      <c r="K524" s="4">
        <f>'Orderformular Color Kids'!K552</f>
        <v>0</v>
      </c>
      <c r="L524" s="4">
        <f>'Orderformular Color Kids'!L552</f>
        <v>0</v>
      </c>
      <c r="M524" s="7">
        <f>'Orderformular Color Kids'!M552</f>
        <v>0</v>
      </c>
      <c r="N524" s="7">
        <f>'Packliste Orig'!N529</f>
        <v>0</v>
      </c>
      <c r="O524" s="7">
        <f>'Orderformular Color Kids'!O552</f>
        <v>0</v>
      </c>
      <c r="P524" s="7">
        <f>'Packliste Orig'!P529</f>
        <v>0</v>
      </c>
      <c r="Q524" s="7">
        <f>'Orderformular Color Kids'!Q552</f>
        <v>0</v>
      </c>
      <c r="R524" s="7">
        <f>'Orderformular Color Kids'!R552</f>
        <v>0</v>
      </c>
      <c r="S524" s="6">
        <f t="shared" ref="S524:S587" si="8">SUM(E524:R524)</f>
        <v>0</v>
      </c>
      <c r="T524" s="50">
        <f>'Orderformular Color Kids'!U552</f>
        <v>0</v>
      </c>
    </row>
    <row r="525" spans="1:20" x14ac:dyDescent="0.2">
      <c r="A525" s="61">
        <f>'Orderformular Color Kids'!A553</f>
        <v>0</v>
      </c>
      <c r="B525" s="62">
        <f>'Orderformular Color Kids'!B553</f>
        <v>0</v>
      </c>
      <c r="C525" s="8">
        <f>'Orderformular Color Kids'!C553</f>
        <v>0</v>
      </c>
      <c r="D525" s="8">
        <f>'Orderformular Color Kids'!D553</f>
        <v>0</v>
      </c>
      <c r="E525" s="4">
        <f>'Orderformular Color Kids'!E553</f>
        <v>0</v>
      </c>
      <c r="F525" s="4">
        <f>'Orderformular Color Kids'!F553</f>
        <v>0</v>
      </c>
      <c r="G525" s="4">
        <f>'Orderformular Color Kids'!G553</f>
        <v>0</v>
      </c>
      <c r="H525" s="4">
        <f>'Orderformular Color Kids'!H553</f>
        <v>0</v>
      </c>
      <c r="I525" s="4">
        <f>'Orderformular Color Kids'!I553</f>
        <v>0</v>
      </c>
      <c r="J525" s="4">
        <f>'Orderformular Color Kids'!J553</f>
        <v>0</v>
      </c>
      <c r="K525" s="4">
        <f>'Orderformular Color Kids'!K553</f>
        <v>0</v>
      </c>
      <c r="L525" s="4">
        <f>'Orderformular Color Kids'!L553</f>
        <v>0</v>
      </c>
      <c r="M525" s="7">
        <f>'Orderformular Color Kids'!M553</f>
        <v>0</v>
      </c>
      <c r="N525" s="7">
        <f>'Packliste Orig'!N530</f>
        <v>0</v>
      </c>
      <c r="O525" s="7">
        <f>'Orderformular Color Kids'!O553</f>
        <v>0</v>
      </c>
      <c r="P525" s="7">
        <f>'Packliste Orig'!P530</f>
        <v>0</v>
      </c>
      <c r="Q525" s="7">
        <f>'Orderformular Color Kids'!Q553</f>
        <v>0</v>
      </c>
      <c r="R525" s="7">
        <f>'Orderformular Color Kids'!R553</f>
        <v>0</v>
      </c>
      <c r="S525" s="6">
        <f t="shared" si="8"/>
        <v>0</v>
      </c>
      <c r="T525" s="50">
        <f>'Orderformular Color Kids'!U553</f>
        <v>0</v>
      </c>
    </row>
    <row r="526" spans="1:20" x14ac:dyDescent="0.2">
      <c r="A526" s="61">
        <f>'Orderformular Color Kids'!A554</f>
        <v>0</v>
      </c>
      <c r="B526" s="62">
        <f>'Orderformular Color Kids'!B554</f>
        <v>0</v>
      </c>
      <c r="C526" s="8">
        <f>'Orderformular Color Kids'!C554</f>
        <v>0</v>
      </c>
      <c r="D526" s="8">
        <f>'Orderformular Color Kids'!D554</f>
        <v>0</v>
      </c>
      <c r="E526" s="4">
        <f>'Orderformular Color Kids'!E554</f>
        <v>0</v>
      </c>
      <c r="F526" s="4">
        <f>'Orderformular Color Kids'!F554</f>
        <v>0</v>
      </c>
      <c r="G526" s="4">
        <f>'Orderformular Color Kids'!G554</f>
        <v>0</v>
      </c>
      <c r="H526" s="4">
        <f>'Orderformular Color Kids'!H554</f>
        <v>0</v>
      </c>
      <c r="I526" s="4">
        <f>'Orderformular Color Kids'!I554</f>
        <v>0</v>
      </c>
      <c r="J526" s="4">
        <f>'Orderformular Color Kids'!J554</f>
        <v>0</v>
      </c>
      <c r="K526" s="4">
        <f>'Orderformular Color Kids'!K554</f>
        <v>0</v>
      </c>
      <c r="L526" s="4">
        <f>'Orderformular Color Kids'!L554</f>
        <v>0</v>
      </c>
      <c r="M526" s="7">
        <f>'Orderformular Color Kids'!M554</f>
        <v>0</v>
      </c>
      <c r="N526" s="7">
        <f>'Packliste Orig'!N531</f>
        <v>0</v>
      </c>
      <c r="O526" s="7">
        <f>'Orderformular Color Kids'!O554</f>
        <v>0</v>
      </c>
      <c r="P526" s="7">
        <f>'Packliste Orig'!P531</f>
        <v>0</v>
      </c>
      <c r="Q526" s="7">
        <f>'Orderformular Color Kids'!Q554</f>
        <v>0</v>
      </c>
      <c r="R526" s="7">
        <f>'Orderformular Color Kids'!R554</f>
        <v>0</v>
      </c>
      <c r="S526" s="6">
        <f t="shared" si="8"/>
        <v>0</v>
      </c>
      <c r="T526" s="50">
        <f>'Orderformular Color Kids'!U554</f>
        <v>0</v>
      </c>
    </row>
    <row r="527" spans="1:20" x14ac:dyDescent="0.2">
      <c r="A527" s="61">
        <f>'Orderformular Color Kids'!A555</f>
        <v>0</v>
      </c>
      <c r="B527" s="62">
        <f>'Orderformular Color Kids'!B555</f>
        <v>0</v>
      </c>
      <c r="C527" s="8">
        <f>'Orderformular Color Kids'!C555</f>
        <v>0</v>
      </c>
      <c r="D527" s="8">
        <f>'Orderformular Color Kids'!D555</f>
        <v>0</v>
      </c>
      <c r="E527" s="4">
        <f>'Orderformular Color Kids'!E555</f>
        <v>0</v>
      </c>
      <c r="F527" s="4">
        <f>'Orderformular Color Kids'!F555</f>
        <v>0</v>
      </c>
      <c r="G527" s="4">
        <f>'Orderformular Color Kids'!G555</f>
        <v>0</v>
      </c>
      <c r="H527" s="4">
        <f>'Orderformular Color Kids'!H555</f>
        <v>0</v>
      </c>
      <c r="I527" s="4">
        <f>'Orderformular Color Kids'!I555</f>
        <v>0</v>
      </c>
      <c r="J527" s="4">
        <f>'Orderformular Color Kids'!J555</f>
        <v>0</v>
      </c>
      <c r="K527" s="4">
        <f>'Orderformular Color Kids'!K555</f>
        <v>0</v>
      </c>
      <c r="L527" s="4">
        <f>'Orderformular Color Kids'!L555</f>
        <v>0</v>
      </c>
      <c r="M527" s="7">
        <f>'Orderformular Color Kids'!M555</f>
        <v>0</v>
      </c>
      <c r="N527" s="7">
        <f>'Packliste Orig'!N532</f>
        <v>0</v>
      </c>
      <c r="O527" s="7">
        <f>'Orderformular Color Kids'!O555</f>
        <v>0</v>
      </c>
      <c r="P527" s="7">
        <f>'Packliste Orig'!P532</f>
        <v>0</v>
      </c>
      <c r="Q527" s="7">
        <f>'Orderformular Color Kids'!Q555</f>
        <v>0</v>
      </c>
      <c r="R527" s="7">
        <f>'Orderformular Color Kids'!R555</f>
        <v>0</v>
      </c>
      <c r="S527" s="6">
        <f t="shared" si="8"/>
        <v>0</v>
      </c>
      <c r="T527" s="50">
        <f>'Orderformular Color Kids'!U555</f>
        <v>0</v>
      </c>
    </row>
    <row r="528" spans="1:20" x14ac:dyDescent="0.2">
      <c r="A528" s="61">
        <f>'Orderformular Color Kids'!A556</f>
        <v>0</v>
      </c>
      <c r="B528" s="62">
        <f>'Orderformular Color Kids'!B556</f>
        <v>0</v>
      </c>
      <c r="C528" s="8">
        <f>'Orderformular Color Kids'!C556</f>
        <v>0</v>
      </c>
      <c r="D528" s="8">
        <f>'Orderformular Color Kids'!D556</f>
        <v>0</v>
      </c>
      <c r="E528" s="4">
        <f>'Orderformular Color Kids'!E556</f>
        <v>0</v>
      </c>
      <c r="F528" s="4">
        <f>'Orderformular Color Kids'!F556</f>
        <v>0</v>
      </c>
      <c r="G528" s="4">
        <f>'Orderformular Color Kids'!G556</f>
        <v>0</v>
      </c>
      <c r="H528" s="4">
        <f>'Orderformular Color Kids'!H556</f>
        <v>0</v>
      </c>
      <c r="I528" s="4">
        <f>'Orderformular Color Kids'!I556</f>
        <v>0</v>
      </c>
      <c r="J528" s="4">
        <f>'Orderformular Color Kids'!J556</f>
        <v>0</v>
      </c>
      <c r="K528" s="4">
        <f>'Orderformular Color Kids'!K556</f>
        <v>0</v>
      </c>
      <c r="L528" s="4">
        <f>'Orderformular Color Kids'!L556</f>
        <v>0</v>
      </c>
      <c r="M528" s="7">
        <f>'Orderformular Color Kids'!M556</f>
        <v>0</v>
      </c>
      <c r="N528" s="7">
        <f>'Packliste Orig'!N533</f>
        <v>0</v>
      </c>
      <c r="O528" s="7">
        <f>'Orderformular Color Kids'!O556</f>
        <v>0</v>
      </c>
      <c r="P528" s="7">
        <f>'Packliste Orig'!P533</f>
        <v>0</v>
      </c>
      <c r="Q528" s="7">
        <f>'Orderformular Color Kids'!Q556</f>
        <v>0</v>
      </c>
      <c r="R528" s="7">
        <f>'Orderformular Color Kids'!R556</f>
        <v>0</v>
      </c>
      <c r="S528" s="6">
        <f t="shared" si="8"/>
        <v>0</v>
      </c>
      <c r="T528" s="50">
        <f>'Orderformular Color Kids'!U556</f>
        <v>0</v>
      </c>
    </row>
    <row r="529" spans="1:20" x14ac:dyDescent="0.2">
      <c r="A529" s="61">
        <f>'Orderformular Color Kids'!A557</f>
        <v>0</v>
      </c>
      <c r="B529" s="62">
        <f>'Orderformular Color Kids'!B557</f>
        <v>0</v>
      </c>
      <c r="C529" s="8">
        <f>'Orderformular Color Kids'!C557</f>
        <v>0</v>
      </c>
      <c r="D529" s="8">
        <f>'Orderformular Color Kids'!D557</f>
        <v>0</v>
      </c>
      <c r="E529" s="4">
        <f>'Orderformular Color Kids'!E557</f>
        <v>0</v>
      </c>
      <c r="F529" s="4">
        <f>'Orderformular Color Kids'!F557</f>
        <v>0</v>
      </c>
      <c r="G529" s="4">
        <f>'Orderformular Color Kids'!G557</f>
        <v>0</v>
      </c>
      <c r="H529" s="4">
        <f>'Orderformular Color Kids'!H557</f>
        <v>0</v>
      </c>
      <c r="I529" s="4">
        <f>'Orderformular Color Kids'!I557</f>
        <v>0</v>
      </c>
      <c r="J529" s="4">
        <f>'Orderformular Color Kids'!J557</f>
        <v>0</v>
      </c>
      <c r="K529" s="4">
        <f>'Orderformular Color Kids'!K557</f>
        <v>0</v>
      </c>
      <c r="L529" s="4">
        <f>'Orderformular Color Kids'!L557</f>
        <v>0</v>
      </c>
      <c r="M529" s="7">
        <f>'Orderformular Color Kids'!M557</f>
        <v>0</v>
      </c>
      <c r="N529" s="7">
        <f>'Packliste Orig'!N534</f>
        <v>0</v>
      </c>
      <c r="O529" s="7">
        <f>'Orderformular Color Kids'!O557</f>
        <v>0</v>
      </c>
      <c r="P529" s="7">
        <f>'Packliste Orig'!P534</f>
        <v>0</v>
      </c>
      <c r="Q529" s="7">
        <f>'Orderformular Color Kids'!Q557</f>
        <v>0</v>
      </c>
      <c r="R529" s="7">
        <f>'Orderformular Color Kids'!R557</f>
        <v>0</v>
      </c>
      <c r="S529" s="6">
        <f t="shared" si="8"/>
        <v>0</v>
      </c>
      <c r="T529" s="50">
        <f>'Orderformular Color Kids'!U557</f>
        <v>0</v>
      </c>
    </row>
    <row r="530" spans="1:20" x14ac:dyDescent="0.2">
      <c r="A530" s="61">
        <f>'Orderformular Color Kids'!A558</f>
        <v>0</v>
      </c>
      <c r="B530" s="62">
        <f>'Orderformular Color Kids'!B558</f>
        <v>0</v>
      </c>
      <c r="C530" s="8">
        <f>'Orderformular Color Kids'!C558</f>
        <v>0</v>
      </c>
      <c r="D530" s="8">
        <f>'Orderformular Color Kids'!D558</f>
        <v>0</v>
      </c>
      <c r="E530" s="4">
        <f>'Orderformular Color Kids'!E558</f>
        <v>0</v>
      </c>
      <c r="F530" s="4">
        <f>'Orderformular Color Kids'!F558</f>
        <v>0</v>
      </c>
      <c r="G530" s="4">
        <f>'Orderformular Color Kids'!G558</f>
        <v>0</v>
      </c>
      <c r="H530" s="4">
        <f>'Orderformular Color Kids'!H558</f>
        <v>0</v>
      </c>
      <c r="I530" s="4">
        <f>'Orderformular Color Kids'!I558</f>
        <v>0</v>
      </c>
      <c r="J530" s="4">
        <f>'Orderformular Color Kids'!J558</f>
        <v>0</v>
      </c>
      <c r="K530" s="4">
        <f>'Orderformular Color Kids'!K558</f>
        <v>0</v>
      </c>
      <c r="L530" s="4">
        <f>'Orderformular Color Kids'!L558</f>
        <v>0</v>
      </c>
      <c r="M530" s="7">
        <f>'Orderformular Color Kids'!M558</f>
        <v>0</v>
      </c>
      <c r="N530" s="7">
        <f>'Packliste Orig'!N535</f>
        <v>0</v>
      </c>
      <c r="O530" s="7">
        <f>'Orderformular Color Kids'!O558</f>
        <v>0</v>
      </c>
      <c r="P530" s="7">
        <f>'Packliste Orig'!P535</f>
        <v>0</v>
      </c>
      <c r="Q530" s="7">
        <f>'Orderformular Color Kids'!Q558</f>
        <v>0</v>
      </c>
      <c r="R530" s="7">
        <f>'Orderformular Color Kids'!R558</f>
        <v>0</v>
      </c>
      <c r="S530" s="6">
        <f t="shared" si="8"/>
        <v>0</v>
      </c>
      <c r="T530" s="50">
        <f>'Orderformular Color Kids'!U558</f>
        <v>0</v>
      </c>
    </row>
    <row r="531" spans="1:20" x14ac:dyDescent="0.2">
      <c r="A531" s="61">
        <f>'Orderformular Color Kids'!A559</f>
        <v>0</v>
      </c>
      <c r="B531" s="62">
        <f>'Orderformular Color Kids'!B559</f>
        <v>0</v>
      </c>
      <c r="C531" s="8">
        <f>'Orderformular Color Kids'!C559</f>
        <v>0</v>
      </c>
      <c r="D531" s="8">
        <f>'Orderformular Color Kids'!D559</f>
        <v>0</v>
      </c>
      <c r="E531" s="4">
        <f>'Orderformular Color Kids'!E559</f>
        <v>0</v>
      </c>
      <c r="F531" s="4">
        <f>'Orderformular Color Kids'!F559</f>
        <v>0</v>
      </c>
      <c r="G531" s="4">
        <f>'Orderformular Color Kids'!G559</f>
        <v>0</v>
      </c>
      <c r="H531" s="4">
        <f>'Orderformular Color Kids'!H559</f>
        <v>0</v>
      </c>
      <c r="I531" s="4">
        <f>'Orderformular Color Kids'!I559</f>
        <v>0</v>
      </c>
      <c r="J531" s="4">
        <f>'Orderformular Color Kids'!J559</f>
        <v>0</v>
      </c>
      <c r="K531" s="4">
        <f>'Orderformular Color Kids'!K559</f>
        <v>0</v>
      </c>
      <c r="L531" s="4">
        <f>'Orderformular Color Kids'!L559</f>
        <v>0</v>
      </c>
      <c r="M531" s="7">
        <f>'Orderformular Color Kids'!M559</f>
        <v>0</v>
      </c>
      <c r="N531" s="7">
        <f>'Packliste Orig'!N536</f>
        <v>0</v>
      </c>
      <c r="O531" s="7">
        <f>'Orderformular Color Kids'!O559</f>
        <v>0</v>
      </c>
      <c r="P531" s="7">
        <f>'Packliste Orig'!P536</f>
        <v>0</v>
      </c>
      <c r="Q531" s="7">
        <f>'Orderformular Color Kids'!Q559</f>
        <v>0</v>
      </c>
      <c r="R531" s="7">
        <f>'Orderformular Color Kids'!R559</f>
        <v>0</v>
      </c>
      <c r="S531" s="6">
        <f t="shared" si="8"/>
        <v>0</v>
      </c>
      <c r="T531" s="50">
        <f>'Orderformular Color Kids'!U559</f>
        <v>0</v>
      </c>
    </row>
    <row r="532" spans="1:20" x14ac:dyDescent="0.2">
      <c r="A532" s="61">
        <f>'Orderformular Color Kids'!A560</f>
        <v>0</v>
      </c>
      <c r="B532" s="62">
        <f>'Orderformular Color Kids'!B560</f>
        <v>0</v>
      </c>
      <c r="C532" s="8">
        <f>'Orderformular Color Kids'!C560</f>
        <v>0</v>
      </c>
      <c r="D532" s="8">
        <f>'Orderformular Color Kids'!D560</f>
        <v>0</v>
      </c>
      <c r="E532" s="4">
        <f>'Orderformular Color Kids'!E560</f>
        <v>0</v>
      </c>
      <c r="F532" s="4">
        <f>'Orderformular Color Kids'!F560</f>
        <v>0</v>
      </c>
      <c r="G532" s="4">
        <f>'Orderformular Color Kids'!G560</f>
        <v>0</v>
      </c>
      <c r="H532" s="4">
        <f>'Orderformular Color Kids'!H560</f>
        <v>0</v>
      </c>
      <c r="I532" s="4">
        <f>'Orderformular Color Kids'!I560</f>
        <v>0</v>
      </c>
      <c r="J532" s="4">
        <f>'Orderformular Color Kids'!J560</f>
        <v>0</v>
      </c>
      <c r="K532" s="4">
        <f>'Orderformular Color Kids'!K560</f>
        <v>0</v>
      </c>
      <c r="L532" s="4">
        <f>'Orderformular Color Kids'!L560</f>
        <v>0</v>
      </c>
      <c r="M532" s="7">
        <f>'Orderformular Color Kids'!M560</f>
        <v>0</v>
      </c>
      <c r="N532" s="7">
        <f>'Packliste Orig'!N537</f>
        <v>0</v>
      </c>
      <c r="O532" s="7">
        <f>'Orderformular Color Kids'!O560</f>
        <v>0</v>
      </c>
      <c r="P532" s="7">
        <f>'Packliste Orig'!P537</f>
        <v>0</v>
      </c>
      <c r="Q532" s="7">
        <f>'Orderformular Color Kids'!Q560</f>
        <v>0</v>
      </c>
      <c r="R532" s="7">
        <f>'Orderformular Color Kids'!R560</f>
        <v>0</v>
      </c>
      <c r="S532" s="6">
        <f t="shared" si="8"/>
        <v>0</v>
      </c>
      <c r="T532" s="50">
        <f>'Orderformular Color Kids'!U560</f>
        <v>0</v>
      </c>
    </row>
    <row r="533" spans="1:20" x14ac:dyDescent="0.2">
      <c r="A533" s="61">
        <f>'Orderformular Color Kids'!A561</f>
        <v>0</v>
      </c>
      <c r="B533" s="62">
        <f>'Orderformular Color Kids'!B561</f>
        <v>0</v>
      </c>
      <c r="C533" s="8">
        <f>'Orderformular Color Kids'!C561</f>
        <v>0</v>
      </c>
      <c r="D533" s="8">
        <f>'Orderformular Color Kids'!D561</f>
        <v>0</v>
      </c>
      <c r="E533" s="4">
        <f>'Orderformular Color Kids'!E561</f>
        <v>0</v>
      </c>
      <c r="F533" s="4">
        <f>'Orderformular Color Kids'!F561</f>
        <v>0</v>
      </c>
      <c r="G533" s="4">
        <f>'Orderformular Color Kids'!G561</f>
        <v>0</v>
      </c>
      <c r="H533" s="4">
        <f>'Orderformular Color Kids'!H561</f>
        <v>0</v>
      </c>
      <c r="I533" s="4">
        <f>'Orderformular Color Kids'!I561</f>
        <v>0</v>
      </c>
      <c r="J533" s="4">
        <f>'Orderformular Color Kids'!J561</f>
        <v>0</v>
      </c>
      <c r="K533" s="4">
        <f>'Orderformular Color Kids'!K561</f>
        <v>0</v>
      </c>
      <c r="L533" s="4">
        <f>'Orderformular Color Kids'!L561</f>
        <v>0</v>
      </c>
      <c r="M533" s="7">
        <f>'Orderformular Color Kids'!M561</f>
        <v>0</v>
      </c>
      <c r="N533" s="7">
        <f>'Packliste Orig'!N538</f>
        <v>0</v>
      </c>
      <c r="O533" s="7">
        <f>'Orderformular Color Kids'!O561</f>
        <v>0</v>
      </c>
      <c r="P533" s="7">
        <f>'Packliste Orig'!P538</f>
        <v>0</v>
      </c>
      <c r="Q533" s="7">
        <f>'Orderformular Color Kids'!Q561</f>
        <v>0</v>
      </c>
      <c r="R533" s="7">
        <f>'Orderformular Color Kids'!R561</f>
        <v>0</v>
      </c>
      <c r="S533" s="6">
        <f t="shared" si="8"/>
        <v>0</v>
      </c>
      <c r="T533" s="50">
        <f>'Orderformular Color Kids'!U561</f>
        <v>0</v>
      </c>
    </row>
    <row r="534" spans="1:20" x14ac:dyDescent="0.2">
      <c r="A534" s="61">
        <f>'Orderformular Color Kids'!A562</f>
        <v>0</v>
      </c>
      <c r="B534" s="62">
        <f>'Orderformular Color Kids'!B562</f>
        <v>0</v>
      </c>
      <c r="C534" s="8">
        <f>'Orderformular Color Kids'!C562</f>
        <v>0</v>
      </c>
      <c r="D534" s="8">
        <f>'Orderformular Color Kids'!D562</f>
        <v>0</v>
      </c>
      <c r="E534" s="4">
        <f>'Orderformular Color Kids'!E562</f>
        <v>0</v>
      </c>
      <c r="F534" s="4">
        <f>'Orderformular Color Kids'!F562</f>
        <v>0</v>
      </c>
      <c r="G534" s="4">
        <f>'Orderformular Color Kids'!G562</f>
        <v>0</v>
      </c>
      <c r="H534" s="4">
        <f>'Orderformular Color Kids'!H562</f>
        <v>0</v>
      </c>
      <c r="I534" s="4">
        <f>'Orderformular Color Kids'!I562</f>
        <v>0</v>
      </c>
      <c r="J534" s="4">
        <f>'Orderformular Color Kids'!J562</f>
        <v>0</v>
      </c>
      <c r="K534" s="4">
        <f>'Orderformular Color Kids'!K562</f>
        <v>0</v>
      </c>
      <c r="L534" s="4">
        <f>'Orderformular Color Kids'!L562</f>
        <v>0</v>
      </c>
      <c r="M534" s="7">
        <f>'Orderformular Color Kids'!M562</f>
        <v>0</v>
      </c>
      <c r="N534" s="7">
        <f>'Packliste Orig'!N539</f>
        <v>0</v>
      </c>
      <c r="O534" s="7">
        <f>'Orderformular Color Kids'!O562</f>
        <v>0</v>
      </c>
      <c r="P534" s="7">
        <f>'Packliste Orig'!P539</f>
        <v>0</v>
      </c>
      <c r="Q534" s="7">
        <f>'Orderformular Color Kids'!Q562</f>
        <v>0</v>
      </c>
      <c r="R534" s="7">
        <f>'Orderformular Color Kids'!R562</f>
        <v>0</v>
      </c>
      <c r="S534" s="6">
        <f t="shared" si="8"/>
        <v>0</v>
      </c>
      <c r="T534" s="50">
        <f>'Orderformular Color Kids'!U562</f>
        <v>0</v>
      </c>
    </row>
    <row r="535" spans="1:20" x14ac:dyDescent="0.2">
      <c r="A535" s="61">
        <f>'Orderformular Color Kids'!A563</f>
        <v>0</v>
      </c>
      <c r="B535" s="62">
        <f>'Orderformular Color Kids'!B563</f>
        <v>0</v>
      </c>
      <c r="C535" s="8">
        <f>'Orderformular Color Kids'!C563</f>
        <v>0</v>
      </c>
      <c r="D535" s="8">
        <f>'Orderformular Color Kids'!D563</f>
        <v>0</v>
      </c>
      <c r="E535" s="4">
        <f>'Orderformular Color Kids'!E563</f>
        <v>0</v>
      </c>
      <c r="F535" s="4">
        <f>'Orderformular Color Kids'!F563</f>
        <v>0</v>
      </c>
      <c r="G535" s="4">
        <f>'Orderformular Color Kids'!G563</f>
        <v>0</v>
      </c>
      <c r="H535" s="4">
        <f>'Orderformular Color Kids'!H563</f>
        <v>0</v>
      </c>
      <c r="I535" s="4">
        <f>'Orderformular Color Kids'!I563</f>
        <v>0</v>
      </c>
      <c r="J535" s="4">
        <f>'Orderformular Color Kids'!J563</f>
        <v>0</v>
      </c>
      <c r="K535" s="4">
        <f>'Orderformular Color Kids'!K563</f>
        <v>0</v>
      </c>
      <c r="L535" s="4">
        <f>'Orderformular Color Kids'!L563</f>
        <v>0</v>
      </c>
      <c r="M535" s="7">
        <f>'Orderformular Color Kids'!M563</f>
        <v>0</v>
      </c>
      <c r="N535" s="7">
        <f>'Packliste Orig'!N540</f>
        <v>0</v>
      </c>
      <c r="O535" s="7">
        <f>'Orderformular Color Kids'!O563</f>
        <v>0</v>
      </c>
      <c r="P535" s="7">
        <f>'Packliste Orig'!P540</f>
        <v>0</v>
      </c>
      <c r="Q535" s="7">
        <f>'Orderformular Color Kids'!Q563</f>
        <v>0</v>
      </c>
      <c r="R535" s="7">
        <f>'Orderformular Color Kids'!R563</f>
        <v>0</v>
      </c>
      <c r="S535" s="6">
        <f t="shared" si="8"/>
        <v>0</v>
      </c>
      <c r="T535" s="50">
        <f>'Orderformular Color Kids'!U563</f>
        <v>0</v>
      </c>
    </row>
    <row r="536" spans="1:20" x14ac:dyDescent="0.2">
      <c r="A536" s="61">
        <f>'Orderformular Color Kids'!A564</f>
        <v>0</v>
      </c>
      <c r="B536" s="62">
        <f>'Orderformular Color Kids'!B564</f>
        <v>0</v>
      </c>
      <c r="C536" s="8">
        <f>'Orderformular Color Kids'!C564</f>
        <v>0</v>
      </c>
      <c r="D536" s="8">
        <f>'Orderformular Color Kids'!D564</f>
        <v>0</v>
      </c>
      <c r="E536" s="4">
        <f>'Orderformular Color Kids'!E564</f>
        <v>0</v>
      </c>
      <c r="F536" s="4">
        <f>'Orderformular Color Kids'!F564</f>
        <v>0</v>
      </c>
      <c r="G536" s="4">
        <f>'Orderformular Color Kids'!G564</f>
        <v>0</v>
      </c>
      <c r="H536" s="4">
        <f>'Orderformular Color Kids'!H564</f>
        <v>0</v>
      </c>
      <c r="I536" s="4">
        <f>'Orderformular Color Kids'!I564</f>
        <v>0</v>
      </c>
      <c r="J536" s="4">
        <f>'Orderformular Color Kids'!J564</f>
        <v>0</v>
      </c>
      <c r="K536" s="4">
        <f>'Orderformular Color Kids'!K564</f>
        <v>0</v>
      </c>
      <c r="L536" s="4">
        <f>'Orderformular Color Kids'!L564</f>
        <v>0</v>
      </c>
      <c r="M536" s="7">
        <f>'Orderformular Color Kids'!M564</f>
        <v>0</v>
      </c>
      <c r="N536" s="7">
        <f>'Packliste Orig'!N541</f>
        <v>0</v>
      </c>
      <c r="O536" s="7">
        <f>'Orderformular Color Kids'!O564</f>
        <v>0</v>
      </c>
      <c r="P536" s="7">
        <f>'Packliste Orig'!P541</f>
        <v>0</v>
      </c>
      <c r="Q536" s="7">
        <f>'Orderformular Color Kids'!Q564</f>
        <v>0</v>
      </c>
      <c r="R536" s="7">
        <f>'Orderformular Color Kids'!R564</f>
        <v>0</v>
      </c>
      <c r="S536" s="6">
        <f t="shared" si="8"/>
        <v>0</v>
      </c>
      <c r="T536" s="50">
        <f>'Orderformular Color Kids'!U564</f>
        <v>0</v>
      </c>
    </row>
    <row r="537" spans="1:20" x14ac:dyDescent="0.2">
      <c r="A537" s="61">
        <f>'Orderformular Color Kids'!A565</f>
        <v>0</v>
      </c>
      <c r="B537" s="62">
        <f>'Orderformular Color Kids'!B565</f>
        <v>0</v>
      </c>
      <c r="C537" s="8">
        <f>'Orderformular Color Kids'!C565</f>
        <v>0</v>
      </c>
      <c r="D537" s="8">
        <f>'Orderformular Color Kids'!D565</f>
        <v>0</v>
      </c>
      <c r="E537" s="4">
        <f>'Orderformular Color Kids'!E565</f>
        <v>0</v>
      </c>
      <c r="F537" s="4">
        <f>'Orderformular Color Kids'!F565</f>
        <v>0</v>
      </c>
      <c r="G537" s="4">
        <f>'Orderformular Color Kids'!G565</f>
        <v>0</v>
      </c>
      <c r="H537" s="4">
        <f>'Orderformular Color Kids'!H565</f>
        <v>0</v>
      </c>
      <c r="I537" s="4">
        <f>'Orderformular Color Kids'!I565</f>
        <v>0</v>
      </c>
      <c r="J537" s="4">
        <f>'Orderformular Color Kids'!J565</f>
        <v>0</v>
      </c>
      <c r="K537" s="4">
        <f>'Orderformular Color Kids'!K565</f>
        <v>0</v>
      </c>
      <c r="L537" s="4">
        <f>'Orderformular Color Kids'!L565</f>
        <v>0</v>
      </c>
      <c r="M537" s="7">
        <f>'Orderformular Color Kids'!M565</f>
        <v>0</v>
      </c>
      <c r="N537" s="7">
        <f>'Packliste Orig'!N542</f>
        <v>0</v>
      </c>
      <c r="O537" s="7">
        <f>'Orderformular Color Kids'!O565</f>
        <v>0</v>
      </c>
      <c r="P537" s="7">
        <f>'Packliste Orig'!P542</f>
        <v>0</v>
      </c>
      <c r="Q537" s="7">
        <f>'Orderformular Color Kids'!Q565</f>
        <v>0</v>
      </c>
      <c r="R537" s="7">
        <f>'Orderformular Color Kids'!R565</f>
        <v>0</v>
      </c>
      <c r="S537" s="6">
        <f t="shared" si="8"/>
        <v>0</v>
      </c>
      <c r="T537" s="50">
        <f>'Orderformular Color Kids'!U565</f>
        <v>0</v>
      </c>
    </row>
    <row r="538" spans="1:20" x14ac:dyDescent="0.2">
      <c r="A538" s="61">
        <f>'Orderformular Color Kids'!A566</f>
        <v>0</v>
      </c>
      <c r="B538" s="62">
        <f>'Orderformular Color Kids'!B566</f>
        <v>0</v>
      </c>
      <c r="C538" s="8">
        <f>'Orderformular Color Kids'!C566</f>
        <v>0</v>
      </c>
      <c r="D538" s="8">
        <f>'Orderformular Color Kids'!D566</f>
        <v>0</v>
      </c>
      <c r="E538" s="4">
        <f>'Orderformular Color Kids'!E566</f>
        <v>0</v>
      </c>
      <c r="F538" s="4">
        <f>'Orderformular Color Kids'!F566</f>
        <v>0</v>
      </c>
      <c r="G538" s="4">
        <f>'Orderformular Color Kids'!G566</f>
        <v>0</v>
      </c>
      <c r="H538" s="4">
        <f>'Orderformular Color Kids'!H566</f>
        <v>0</v>
      </c>
      <c r="I538" s="4">
        <f>'Orderformular Color Kids'!I566</f>
        <v>0</v>
      </c>
      <c r="J538" s="4">
        <f>'Orderformular Color Kids'!J566</f>
        <v>0</v>
      </c>
      <c r="K538" s="4">
        <f>'Orderformular Color Kids'!K566</f>
        <v>0</v>
      </c>
      <c r="L538" s="4">
        <f>'Orderformular Color Kids'!L566</f>
        <v>0</v>
      </c>
      <c r="M538" s="7">
        <f>'Orderformular Color Kids'!M566</f>
        <v>0</v>
      </c>
      <c r="N538" s="7">
        <f>'Packliste Orig'!N543</f>
        <v>0</v>
      </c>
      <c r="O538" s="7">
        <f>'Orderformular Color Kids'!O566</f>
        <v>0</v>
      </c>
      <c r="P538" s="7">
        <f>'Packliste Orig'!P543</f>
        <v>0</v>
      </c>
      <c r="Q538" s="7">
        <f>'Orderformular Color Kids'!Q566</f>
        <v>0</v>
      </c>
      <c r="R538" s="7">
        <f>'Orderformular Color Kids'!R566</f>
        <v>0</v>
      </c>
      <c r="S538" s="6">
        <f t="shared" si="8"/>
        <v>0</v>
      </c>
      <c r="T538" s="50">
        <f>'Orderformular Color Kids'!U566</f>
        <v>0</v>
      </c>
    </row>
    <row r="539" spans="1:20" x14ac:dyDescent="0.2">
      <c r="A539" s="61">
        <f>'Orderformular Color Kids'!A567</f>
        <v>0</v>
      </c>
      <c r="B539" s="62">
        <f>'Orderformular Color Kids'!B567</f>
        <v>0</v>
      </c>
      <c r="C539" s="8">
        <f>'Orderformular Color Kids'!C567</f>
        <v>0</v>
      </c>
      <c r="D539" s="8">
        <f>'Orderformular Color Kids'!D567</f>
        <v>0</v>
      </c>
      <c r="E539" s="4">
        <f>'Orderformular Color Kids'!E567</f>
        <v>0</v>
      </c>
      <c r="F539" s="4">
        <f>'Orderformular Color Kids'!F567</f>
        <v>0</v>
      </c>
      <c r="G539" s="4">
        <f>'Orderformular Color Kids'!G567</f>
        <v>0</v>
      </c>
      <c r="H539" s="4">
        <f>'Orderformular Color Kids'!H567</f>
        <v>0</v>
      </c>
      <c r="I539" s="4">
        <f>'Orderformular Color Kids'!I567</f>
        <v>0</v>
      </c>
      <c r="J539" s="4">
        <f>'Orderformular Color Kids'!J567</f>
        <v>0</v>
      </c>
      <c r="K539" s="4">
        <f>'Orderformular Color Kids'!K567</f>
        <v>0</v>
      </c>
      <c r="L539" s="4">
        <f>'Orderformular Color Kids'!L567</f>
        <v>0</v>
      </c>
      <c r="M539" s="7">
        <f>'Orderformular Color Kids'!M567</f>
        <v>0</v>
      </c>
      <c r="N539" s="7">
        <f>'Packliste Orig'!N544</f>
        <v>0</v>
      </c>
      <c r="O539" s="7">
        <f>'Orderformular Color Kids'!O567</f>
        <v>0</v>
      </c>
      <c r="P539" s="7">
        <f>'Packliste Orig'!P544</f>
        <v>0</v>
      </c>
      <c r="Q539" s="7">
        <f>'Orderformular Color Kids'!Q567</f>
        <v>0</v>
      </c>
      <c r="R539" s="7">
        <f>'Orderformular Color Kids'!R567</f>
        <v>0</v>
      </c>
      <c r="S539" s="6">
        <f t="shared" si="8"/>
        <v>0</v>
      </c>
      <c r="T539" s="50">
        <f>'Orderformular Color Kids'!U567</f>
        <v>0</v>
      </c>
    </row>
    <row r="540" spans="1:20" x14ac:dyDescent="0.2">
      <c r="A540" s="61">
        <f>'Orderformular Color Kids'!A568</f>
        <v>0</v>
      </c>
      <c r="B540" s="62">
        <f>'Orderformular Color Kids'!B568</f>
        <v>0</v>
      </c>
      <c r="C540" s="8">
        <f>'Orderformular Color Kids'!C568</f>
        <v>0</v>
      </c>
      <c r="D540" s="8">
        <f>'Orderformular Color Kids'!D568</f>
        <v>0</v>
      </c>
      <c r="E540" s="4">
        <f>'Orderformular Color Kids'!E568</f>
        <v>0</v>
      </c>
      <c r="F540" s="4">
        <f>'Orderformular Color Kids'!F568</f>
        <v>0</v>
      </c>
      <c r="G540" s="4">
        <f>'Orderformular Color Kids'!G568</f>
        <v>0</v>
      </c>
      <c r="H540" s="4">
        <f>'Orderformular Color Kids'!H568</f>
        <v>0</v>
      </c>
      <c r="I540" s="4">
        <f>'Orderformular Color Kids'!I568</f>
        <v>0</v>
      </c>
      <c r="J540" s="4">
        <f>'Orderformular Color Kids'!J568</f>
        <v>0</v>
      </c>
      <c r="K540" s="4">
        <f>'Orderformular Color Kids'!K568</f>
        <v>0</v>
      </c>
      <c r="L540" s="4">
        <f>'Orderformular Color Kids'!L568</f>
        <v>0</v>
      </c>
      <c r="M540" s="7">
        <f>'Orderformular Color Kids'!M568</f>
        <v>0</v>
      </c>
      <c r="N540" s="7">
        <f>'Packliste Orig'!N545</f>
        <v>0</v>
      </c>
      <c r="O540" s="7">
        <f>'Orderformular Color Kids'!O568</f>
        <v>0</v>
      </c>
      <c r="P540" s="7">
        <f>'Packliste Orig'!P545</f>
        <v>0</v>
      </c>
      <c r="Q540" s="7">
        <f>'Orderformular Color Kids'!Q568</f>
        <v>0</v>
      </c>
      <c r="R540" s="7">
        <f>'Orderformular Color Kids'!R568</f>
        <v>0</v>
      </c>
      <c r="S540" s="6">
        <f t="shared" si="8"/>
        <v>0</v>
      </c>
      <c r="T540" s="50">
        <f>'Orderformular Color Kids'!U568</f>
        <v>0</v>
      </c>
    </row>
    <row r="541" spans="1:20" x14ac:dyDescent="0.2">
      <c r="A541" s="61">
        <f>'Orderformular Color Kids'!A569</f>
        <v>0</v>
      </c>
      <c r="B541" s="62">
        <f>'Orderformular Color Kids'!B569</f>
        <v>0</v>
      </c>
      <c r="C541" s="8">
        <f>'Orderformular Color Kids'!C569</f>
        <v>0</v>
      </c>
      <c r="D541" s="8">
        <f>'Orderformular Color Kids'!D569</f>
        <v>0</v>
      </c>
      <c r="E541" s="4">
        <f>'Orderformular Color Kids'!E569</f>
        <v>0</v>
      </c>
      <c r="F541" s="4">
        <f>'Orderformular Color Kids'!F569</f>
        <v>0</v>
      </c>
      <c r="G541" s="4">
        <f>'Orderformular Color Kids'!G569</f>
        <v>0</v>
      </c>
      <c r="H541" s="4">
        <f>'Orderformular Color Kids'!H569</f>
        <v>0</v>
      </c>
      <c r="I541" s="4">
        <f>'Orderformular Color Kids'!I569</f>
        <v>0</v>
      </c>
      <c r="J541" s="4">
        <f>'Orderformular Color Kids'!J569</f>
        <v>0</v>
      </c>
      <c r="K541" s="4">
        <f>'Orderformular Color Kids'!K569</f>
        <v>0</v>
      </c>
      <c r="L541" s="4">
        <f>'Orderformular Color Kids'!L569</f>
        <v>0</v>
      </c>
      <c r="M541" s="7">
        <f>'Orderformular Color Kids'!M569</f>
        <v>0</v>
      </c>
      <c r="N541" s="7">
        <f>'Packliste Orig'!N546</f>
        <v>0</v>
      </c>
      <c r="O541" s="7">
        <f>'Orderformular Color Kids'!O569</f>
        <v>0</v>
      </c>
      <c r="P541" s="7">
        <f>'Packliste Orig'!P546</f>
        <v>0</v>
      </c>
      <c r="Q541" s="7">
        <f>'Orderformular Color Kids'!Q569</f>
        <v>0</v>
      </c>
      <c r="R541" s="7">
        <f>'Orderformular Color Kids'!R569</f>
        <v>0</v>
      </c>
      <c r="S541" s="6">
        <f t="shared" si="8"/>
        <v>0</v>
      </c>
      <c r="T541" s="50">
        <f>'Orderformular Color Kids'!U569</f>
        <v>0</v>
      </c>
    </row>
    <row r="542" spans="1:20" x14ac:dyDescent="0.2">
      <c r="A542" s="61">
        <f>'Orderformular Color Kids'!A570</f>
        <v>0</v>
      </c>
      <c r="B542" s="62">
        <f>'Orderformular Color Kids'!B570</f>
        <v>0</v>
      </c>
      <c r="C542" s="8">
        <f>'Orderformular Color Kids'!C570</f>
        <v>0</v>
      </c>
      <c r="D542" s="8">
        <f>'Orderformular Color Kids'!D570</f>
        <v>0</v>
      </c>
      <c r="E542" s="4">
        <f>'Orderformular Color Kids'!E570</f>
        <v>0</v>
      </c>
      <c r="F542" s="4">
        <f>'Orderformular Color Kids'!F570</f>
        <v>0</v>
      </c>
      <c r="G542" s="4">
        <f>'Orderformular Color Kids'!G570</f>
        <v>0</v>
      </c>
      <c r="H542" s="4">
        <f>'Orderformular Color Kids'!H570</f>
        <v>0</v>
      </c>
      <c r="I542" s="4">
        <f>'Orderformular Color Kids'!I570</f>
        <v>0</v>
      </c>
      <c r="J542" s="4">
        <f>'Orderformular Color Kids'!J570</f>
        <v>0</v>
      </c>
      <c r="K542" s="4">
        <f>'Orderformular Color Kids'!K570</f>
        <v>0</v>
      </c>
      <c r="L542" s="4">
        <f>'Orderformular Color Kids'!L570</f>
        <v>0</v>
      </c>
      <c r="M542" s="7">
        <f>'Orderformular Color Kids'!M570</f>
        <v>0</v>
      </c>
      <c r="N542" s="7">
        <f>'Packliste Orig'!N547</f>
        <v>0</v>
      </c>
      <c r="O542" s="7">
        <f>'Orderformular Color Kids'!O570</f>
        <v>0</v>
      </c>
      <c r="P542" s="7">
        <f>'Packliste Orig'!P547</f>
        <v>0</v>
      </c>
      <c r="Q542" s="7">
        <f>'Orderformular Color Kids'!Q570</f>
        <v>0</v>
      </c>
      <c r="R542" s="7">
        <f>'Orderformular Color Kids'!R570</f>
        <v>0</v>
      </c>
      <c r="S542" s="6">
        <f t="shared" si="8"/>
        <v>0</v>
      </c>
      <c r="T542" s="50">
        <f>'Orderformular Color Kids'!U570</f>
        <v>0</v>
      </c>
    </row>
    <row r="543" spans="1:20" x14ac:dyDescent="0.2">
      <c r="A543" s="61">
        <f>'Orderformular Color Kids'!A571</f>
        <v>0</v>
      </c>
      <c r="B543" s="62">
        <f>'Orderformular Color Kids'!B571</f>
        <v>0</v>
      </c>
      <c r="C543" s="8">
        <f>'Orderformular Color Kids'!C571</f>
        <v>0</v>
      </c>
      <c r="D543" s="8">
        <f>'Orderformular Color Kids'!D571</f>
        <v>0</v>
      </c>
      <c r="E543" s="4">
        <f>'Orderformular Color Kids'!E571</f>
        <v>0</v>
      </c>
      <c r="F543" s="4">
        <f>'Orderformular Color Kids'!F571</f>
        <v>0</v>
      </c>
      <c r="G543" s="4">
        <f>'Orderformular Color Kids'!G571</f>
        <v>0</v>
      </c>
      <c r="H543" s="4">
        <f>'Orderformular Color Kids'!H571</f>
        <v>0</v>
      </c>
      <c r="I543" s="4">
        <f>'Orderformular Color Kids'!I571</f>
        <v>0</v>
      </c>
      <c r="J543" s="4">
        <f>'Orderformular Color Kids'!J571</f>
        <v>0</v>
      </c>
      <c r="K543" s="4">
        <f>'Orderformular Color Kids'!K571</f>
        <v>0</v>
      </c>
      <c r="L543" s="4">
        <f>'Orderformular Color Kids'!L571</f>
        <v>0</v>
      </c>
      <c r="M543" s="7">
        <f>'Orderformular Color Kids'!M571</f>
        <v>0</v>
      </c>
      <c r="N543" s="7">
        <f>'Packliste Orig'!N548</f>
        <v>0</v>
      </c>
      <c r="O543" s="7">
        <f>'Orderformular Color Kids'!O571</f>
        <v>0</v>
      </c>
      <c r="P543" s="7">
        <f>'Packliste Orig'!P548</f>
        <v>0</v>
      </c>
      <c r="Q543" s="7">
        <f>'Orderformular Color Kids'!Q571</f>
        <v>0</v>
      </c>
      <c r="R543" s="7">
        <f>'Orderformular Color Kids'!R571</f>
        <v>0</v>
      </c>
      <c r="S543" s="6">
        <f t="shared" si="8"/>
        <v>0</v>
      </c>
      <c r="T543" s="50">
        <f>'Orderformular Color Kids'!U571</f>
        <v>0</v>
      </c>
    </row>
    <row r="544" spans="1:20" x14ac:dyDescent="0.2">
      <c r="A544" s="61">
        <f>'Orderformular Color Kids'!A572</f>
        <v>0</v>
      </c>
      <c r="B544" s="62">
        <f>'Orderformular Color Kids'!B572</f>
        <v>0</v>
      </c>
      <c r="C544" s="8">
        <f>'Orderformular Color Kids'!C572</f>
        <v>0</v>
      </c>
      <c r="D544" s="8">
        <f>'Orderformular Color Kids'!D572</f>
        <v>0</v>
      </c>
      <c r="E544" s="4">
        <f>'Orderformular Color Kids'!E572</f>
        <v>0</v>
      </c>
      <c r="F544" s="4">
        <f>'Orderformular Color Kids'!F572</f>
        <v>0</v>
      </c>
      <c r="G544" s="4">
        <f>'Orderformular Color Kids'!G572</f>
        <v>0</v>
      </c>
      <c r="H544" s="4">
        <f>'Orderformular Color Kids'!H572</f>
        <v>0</v>
      </c>
      <c r="I544" s="4">
        <f>'Orderformular Color Kids'!I572</f>
        <v>0</v>
      </c>
      <c r="J544" s="4">
        <f>'Orderformular Color Kids'!J572</f>
        <v>0</v>
      </c>
      <c r="K544" s="4">
        <f>'Orderformular Color Kids'!K572</f>
        <v>0</v>
      </c>
      <c r="L544" s="4">
        <f>'Orderformular Color Kids'!L572</f>
        <v>0</v>
      </c>
      <c r="M544" s="7">
        <f>'Orderformular Color Kids'!M572</f>
        <v>0</v>
      </c>
      <c r="N544" s="7">
        <f>'Packliste Orig'!N549</f>
        <v>0</v>
      </c>
      <c r="O544" s="7">
        <f>'Orderformular Color Kids'!O572</f>
        <v>0</v>
      </c>
      <c r="P544" s="7">
        <f>'Packliste Orig'!P549</f>
        <v>0</v>
      </c>
      <c r="Q544" s="7">
        <f>'Orderformular Color Kids'!Q572</f>
        <v>0</v>
      </c>
      <c r="R544" s="7">
        <f>'Orderformular Color Kids'!R572</f>
        <v>0</v>
      </c>
      <c r="S544" s="6">
        <f t="shared" si="8"/>
        <v>0</v>
      </c>
      <c r="T544" s="50">
        <f>'Orderformular Color Kids'!U572</f>
        <v>0</v>
      </c>
    </row>
    <row r="545" spans="1:20" x14ac:dyDescent="0.2">
      <c r="A545" s="61">
        <f>'Orderformular Color Kids'!A573</f>
        <v>0</v>
      </c>
      <c r="B545" s="62">
        <f>'Orderformular Color Kids'!B573</f>
        <v>0</v>
      </c>
      <c r="C545" s="8">
        <f>'Orderformular Color Kids'!C573</f>
        <v>0</v>
      </c>
      <c r="D545" s="8">
        <f>'Orderformular Color Kids'!D573</f>
        <v>0</v>
      </c>
      <c r="E545" s="4">
        <f>'Orderformular Color Kids'!E573</f>
        <v>0</v>
      </c>
      <c r="F545" s="4">
        <f>'Orderformular Color Kids'!F573</f>
        <v>0</v>
      </c>
      <c r="G545" s="4">
        <f>'Orderformular Color Kids'!G573</f>
        <v>0</v>
      </c>
      <c r="H545" s="4">
        <f>'Orderformular Color Kids'!H573</f>
        <v>0</v>
      </c>
      <c r="I545" s="4">
        <f>'Orderformular Color Kids'!I573</f>
        <v>0</v>
      </c>
      <c r="J545" s="4">
        <f>'Orderformular Color Kids'!J573</f>
        <v>0</v>
      </c>
      <c r="K545" s="4">
        <f>'Orderformular Color Kids'!K573</f>
        <v>0</v>
      </c>
      <c r="L545" s="4">
        <f>'Orderformular Color Kids'!L573</f>
        <v>0</v>
      </c>
      <c r="M545" s="7">
        <f>'Orderformular Color Kids'!M573</f>
        <v>0</v>
      </c>
      <c r="N545" s="7">
        <f>'Packliste Orig'!N550</f>
        <v>0</v>
      </c>
      <c r="O545" s="7">
        <f>'Orderformular Color Kids'!O573</f>
        <v>0</v>
      </c>
      <c r="P545" s="7">
        <f>'Packliste Orig'!P550</f>
        <v>0</v>
      </c>
      <c r="Q545" s="7">
        <f>'Orderformular Color Kids'!Q573</f>
        <v>0</v>
      </c>
      <c r="R545" s="7">
        <f>'Orderformular Color Kids'!R573</f>
        <v>0</v>
      </c>
      <c r="S545" s="6">
        <f t="shared" si="8"/>
        <v>0</v>
      </c>
      <c r="T545" s="50">
        <f>'Orderformular Color Kids'!U573</f>
        <v>0</v>
      </c>
    </row>
    <row r="546" spans="1:20" x14ac:dyDescent="0.2">
      <c r="A546" s="61">
        <f>'Orderformular Color Kids'!A574</f>
        <v>0</v>
      </c>
      <c r="B546" s="62">
        <f>'Orderformular Color Kids'!B574</f>
        <v>0</v>
      </c>
      <c r="C546" s="8">
        <f>'Orderformular Color Kids'!C574</f>
        <v>0</v>
      </c>
      <c r="D546" s="8">
        <f>'Orderformular Color Kids'!D574</f>
        <v>0</v>
      </c>
      <c r="E546" s="4">
        <f>'Orderformular Color Kids'!E574</f>
        <v>0</v>
      </c>
      <c r="F546" s="4">
        <f>'Orderformular Color Kids'!F574</f>
        <v>0</v>
      </c>
      <c r="G546" s="4">
        <f>'Orderformular Color Kids'!G574</f>
        <v>0</v>
      </c>
      <c r="H546" s="4">
        <f>'Orderformular Color Kids'!H574</f>
        <v>0</v>
      </c>
      <c r="I546" s="4">
        <f>'Orderformular Color Kids'!I574</f>
        <v>0</v>
      </c>
      <c r="J546" s="4">
        <f>'Orderformular Color Kids'!J574</f>
        <v>0</v>
      </c>
      <c r="K546" s="4">
        <f>'Orderformular Color Kids'!K574</f>
        <v>0</v>
      </c>
      <c r="L546" s="4">
        <f>'Orderformular Color Kids'!L574</f>
        <v>0</v>
      </c>
      <c r="M546" s="7">
        <f>'Orderformular Color Kids'!M574</f>
        <v>0</v>
      </c>
      <c r="N546" s="7">
        <f>'Packliste Orig'!N551</f>
        <v>0</v>
      </c>
      <c r="O546" s="7">
        <f>'Orderformular Color Kids'!O574</f>
        <v>0</v>
      </c>
      <c r="P546" s="7">
        <f>'Packliste Orig'!P551</f>
        <v>0</v>
      </c>
      <c r="Q546" s="7">
        <f>'Orderformular Color Kids'!Q574</f>
        <v>0</v>
      </c>
      <c r="R546" s="7">
        <f>'Orderformular Color Kids'!R574</f>
        <v>0</v>
      </c>
      <c r="S546" s="6">
        <f t="shared" si="8"/>
        <v>0</v>
      </c>
      <c r="T546" s="50">
        <f>'Orderformular Color Kids'!U574</f>
        <v>0</v>
      </c>
    </row>
    <row r="547" spans="1:20" x14ac:dyDescent="0.2">
      <c r="A547" s="61">
        <f>'Orderformular Color Kids'!A575</f>
        <v>0</v>
      </c>
      <c r="B547" s="62">
        <f>'Orderformular Color Kids'!B575</f>
        <v>0</v>
      </c>
      <c r="C547" s="8">
        <f>'Orderformular Color Kids'!C575</f>
        <v>0</v>
      </c>
      <c r="D547" s="8">
        <f>'Orderformular Color Kids'!D575</f>
        <v>0</v>
      </c>
      <c r="E547" s="4">
        <f>'Orderformular Color Kids'!E575</f>
        <v>0</v>
      </c>
      <c r="F547" s="4">
        <f>'Orderformular Color Kids'!F575</f>
        <v>0</v>
      </c>
      <c r="G547" s="4">
        <f>'Orderformular Color Kids'!G575</f>
        <v>0</v>
      </c>
      <c r="H547" s="4">
        <f>'Orderformular Color Kids'!H575</f>
        <v>0</v>
      </c>
      <c r="I547" s="4">
        <f>'Orderformular Color Kids'!I575</f>
        <v>0</v>
      </c>
      <c r="J547" s="4">
        <f>'Orderformular Color Kids'!J575</f>
        <v>0</v>
      </c>
      <c r="K547" s="4">
        <f>'Orderformular Color Kids'!K575</f>
        <v>0</v>
      </c>
      <c r="L547" s="4">
        <f>'Orderformular Color Kids'!L575</f>
        <v>0</v>
      </c>
      <c r="M547" s="7">
        <f>'Orderformular Color Kids'!M575</f>
        <v>0</v>
      </c>
      <c r="N547" s="7">
        <f>'Packliste Orig'!N552</f>
        <v>0</v>
      </c>
      <c r="O547" s="7">
        <f>'Orderformular Color Kids'!O575</f>
        <v>0</v>
      </c>
      <c r="P547" s="7">
        <f>'Packliste Orig'!P552</f>
        <v>0</v>
      </c>
      <c r="Q547" s="7">
        <f>'Orderformular Color Kids'!Q575</f>
        <v>0</v>
      </c>
      <c r="R547" s="7">
        <f>'Orderformular Color Kids'!R575</f>
        <v>0</v>
      </c>
      <c r="S547" s="6">
        <f t="shared" si="8"/>
        <v>0</v>
      </c>
      <c r="T547" s="50">
        <f>'Orderformular Color Kids'!U575</f>
        <v>0</v>
      </c>
    </row>
    <row r="548" spans="1:20" x14ac:dyDescent="0.2">
      <c r="A548" s="61">
        <f>'Orderformular Color Kids'!A576</f>
        <v>0</v>
      </c>
      <c r="B548" s="62">
        <f>'Orderformular Color Kids'!B576</f>
        <v>0</v>
      </c>
      <c r="C548" s="8">
        <f>'Orderformular Color Kids'!C576</f>
        <v>0</v>
      </c>
      <c r="D548" s="8">
        <f>'Orderformular Color Kids'!D576</f>
        <v>0</v>
      </c>
      <c r="E548" s="4">
        <f>'Orderformular Color Kids'!E576</f>
        <v>0</v>
      </c>
      <c r="F548" s="4">
        <f>'Orderformular Color Kids'!F576</f>
        <v>0</v>
      </c>
      <c r="G548" s="4">
        <f>'Orderformular Color Kids'!G576</f>
        <v>0</v>
      </c>
      <c r="H548" s="4">
        <f>'Orderformular Color Kids'!H576</f>
        <v>0</v>
      </c>
      <c r="I548" s="4">
        <f>'Orderformular Color Kids'!I576</f>
        <v>0</v>
      </c>
      <c r="J548" s="4">
        <f>'Orderformular Color Kids'!J576</f>
        <v>0</v>
      </c>
      <c r="K548" s="4">
        <f>'Orderformular Color Kids'!K576</f>
        <v>0</v>
      </c>
      <c r="L548" s="4">
        <f>'Orderformular Color Kids'!L576</f>
        <v>0</v>
      </c>
      <c r="M548" s="7">
        <f>'Orderformular Color Kids'!M576</f>
        <v>0</v>
      </c>
      <c r="N548" s="7">
        <f>'Packliste Orig'!N553</f>
        <v>0</v>
      </c>
      <c r="O548" s="7">
        <f>'Orderformular Color Kids'!O576</f>
        <v>0</v>
      </c>
      <c r="P548" s="7">
        <f>'Packliste Orig'!P553</f>
        <v>0</v>
      </c>
      <c r="Q548" s="7">
        <f>'Orderformular Color Kids'!Q576</f>
        <v>0</v>
      </c>
      <c r="R548" s="7">
        <f>'Orderformular Color Kids'!R576</f>
        <v>0</v>
      </c>
      <c r="S548" s="6">
        <f t="shared" si="8"/>
        <v>0</v>
      </c>
      <c r="T548" s="50">
        <f>'Orderformular Color Kids'!U576</f>
        <v>0</v>
      </c>
    </row>
    <row r="549" spans="1:20" x14ac:dyDescent="0.2">
      <c r="A549" s="61">
        <f>'Orderformular Color Kids'!A577</f>
        <v>0</v>
      </c>
      <c r="B549" s="62">
        <f>'Orderformular Color Kids'!B577</f>
        <v>0</v>
      </c>
      <c r="C549" s="8">
        <f>'Orderformular Color Kids'!C577</f>
        <v>0</v>
      </c>
      <c r="D549" s="8">
        <f>'Orderformular Color Kids'!D577</f>
        <v>0</v>
      </c>
      <c r="E549" s="4">
        <f>'Orderformular Color Kids'!E577</f>
        <v>0</v>
      </c>
      <c r="F549" s="4">
        <f>'Orderformular Color Kids'!F577</f>
        <v>0</v>
      </c>
      <c r="G549" s="4">
        <f>'Orderformular Color Kids'!G577</f>
        <v>0</v>
      </c>
      <c r="H549" s="4">
        <f>'Orderformular Color Kids'!H577</f>
        <v>0</v>
      </c>
      <c r="I549" s="4">
        <f>'Orderformular Color Kids'!I577</f>
        <v>0</v>
      </c>
      <c r="J549" s="4">
        <f>'Orderformular Color Kids'!J577</f>
        <v>0</v>
      </c>
      <c r="K549" s="4">
        <f>'Orderformular Color Kids'!K577</f>
        <v>0</v>
      </c>
      <c r="L549" s="4">
        <f>'Orderformular Color Kids'!L577</f>
        <v>0</v>
      </c>
      <c r="M549" s="7">
        <f>'Orderformular Color Kids'!M577</f>
        <v>0</v>
      </c>
      <c r="N549" s="7">
        <f>'Packliste Orig'!N554</f>
        <v>0</v>
      </c>
      <c r="O549" s="7">
        <f>'Orderformular Color Kids'!O577</f>
        <v>0</v>
      </c>
      <c r="P549" s="7">
        <f>'Packliste Orig'!P554</f>
        <v>0</v>
      </c>
      <c r="Q549" s="7">
        <f>'Orderformular Color Kids'!Q577</f>
        <v>0</v>
      </c>
      <c r="R549" s="7">
        <f>'Orderformular Color Kids'!R577</f>
        <v>0</v>
      </c>
      <c r="S549" s="6">
        <f t="shared" si="8"/>
        <v>0</v>
      </c>
      <c r="T549" s="50">
        <f>'Orderformular Color Kids'!U577</f>
        <v>0</v>
      </c>
    </row>
    <row r="550" spans="1:20" x14ac:dyDescent="0.2">
      <c r="A550" s="61">
        <f>'Orderformular Color Kids'!A578</f>
        <v>0</v>
      </c>
      <c r="B550" s="62">
        <f>'Orderformular Color Kids'!B578</f>
        <v>0</v>
      </c>
      <c r="C550" s="8">
        <f>'Orderformular Color Kids'!C578</f>
        <v>0</v>
      </c>
      <c r="D550" s="8">
        <f>'Orderformular Color Kids'!D578</f>
        <v>0</v>
      </c>
      <c r="E550" s="4">
        <f>'Orderformular Color Kids'!E578</f>
        <v>0</v>
      </c>
      <c r="F550" s="4">
        <f>'Orderformular Color Kids'!F578</f>
        <v>0</v>
      </c>
      <c r="G550" s="4">
        <f>'Orderformular Color Kids'!G578</f>
        <v>0</v>
      </c>
      <c r="H550" s="4">
        <f>'Orderformular Color Kids'!H578</f>
        <v>0</v>
      </c>
      <c r="I550" s="4">
        <f>'Orderformular Color Kids'!I578</f>
        <v>0</v>
      </c>
      <c r="J550" s="4">
        <f>'Orderformular Color Kids'!J578</f>
        <v>0</v>
      </c>
      <c r="K550" s="4">
        <f>'Orderformular Color Kids'!K578</f>
        <v>0</v>
      </c>
      <c r="L550" s="4">
        <f>'Orderformular Color Kids'!L578</f>
        <v>0</v>
      </c>
      <c r="M550" s="7">
        <f>'Orderformular Color Kids'!M578</f>
        <v>0</v>
      </c>
      <c r="N550" s="7">
        <f>'Packliste Orig'!N555</f>
        <v>0</v>
      </c>
      <c r="O550" s="7">
        <f>'Orderformular Color Kids'!O578</f>
        <v>0</v>
      </c>
      <c r="P550" s="7">
        <f>'Packliste Orig'!P555</f>
        <v>0</v>
      </c>
      <c r="Q550" s="7">
        <f>'Orderformular Color Kids'!Q578</f>
        <v>0</v>
      </c>
      <c r="R550" s="7">
        <f>'Orderformular Color Kids'!R578</f>
        <v>0</v>
      </c>
      <c r="S550" s="6">
        <f t="shared" si="8"/>
        <v>0</v>
      </c>
      <c r="T550" s="50">
        <f>'Orderformular Color Kids'!U578</f>
        <v>0</v>
      </c>
    </row>
    <row r="551" spans="1:20" x14ac:dyDescent="0.2">
      <c r="A551" s="61">
        <f>'Orderformular Color Kids'!A579</f>
        <v>0</v>
      </c>
      <c r="B551" s="62">
        <f>'Orderformular Color Kids'!B579</f>
        <v>0</v>
      </c>
      <c r="C551" s="8">
        <f>'Orderformular Color Kids'!C579</f>
        <v>0</v>
      </c>
      <c r="D551" s="8">
        <f>'Orderformular Color Kids'!D579</f>
        <v>0</v>
      </c>
      <c r="E551" s="4">
        <f>'Orderformular Color Kids'!E579</f>
        <v>0</v>
      </c>
      <c r="F551" s="4">
        <f>'Orderformular Color Kids'!F579</f>
        <v>0</v>
      </c>
      <c r="G551" s="4">
        <f>'Orderformular Color Kids'!G579</f>
        <v>0</v>
      </c>
      <c r="H551" s="4">
        <f>'Orderformular Color Kids'!H579</f>
        <v>0</v>
      </c>
      <c r="I551" s="4">
        <f>'Orderformular Color Kids'!I579</f>
        <v>0</v>
      </c>
      <c r="J551" s="4">
        <f>'Orderformular Color Kids'!J579</f>
        <v>0</v>
      </c>
      <c r="K551" s="4">
        <f>'Orderformular Color Kids'!K579</f>
        <v>0</v>
      </c>
      <c r="L551" s="4">
        <f>'Orderformular Color Kids'!L579</f>
        <v>0</v>
      </c>
      <c r="M551" s="7">
        <f>'Orderformular Color Kids'!M579</f>
        <v>0</v>
      </c>
      <c r="N551" s="7">
        <f>'Packliste Orig'!N556</f>
        <v>0</v>
      </c>
      <c r="O551" s="7">
        <f>'Orderformular Color Kids'!O579</f>
        <v>0</v>
      </c>
      <c r="P551" s="7">
        <f>'Packliste Orig'!P556</f>
        <v>0</v>
      </c>
      <c r="Q551" s="7">
        <f>'Orderformular Color Kids'!Q579</f>
        <v>0</v>
      </c>
      <c r="R551" s="7">
        <f>'Orderformular Color Kids'!R579</f>
        <v>0</v>
      </c>
      <c r="S551" s="6">
        <f t="shared" si="8"/>
        <v>0</v>
      </c>
      <c r="T551" s="50">
        <f>'Orderformular Color Kids'!U579</f>
        <v>0</v>
      </c>
    </row>
    <row r="552" spans="1:20" x14ac:dyDescent="0.2">
      <c r="A552" s="61">
        <f>'Orderformular Color Kids'!A580</f>
        <v>0</v>
      </c>
      <c r="B552" s="62">
        <f>'Orderformular Color Kids'!B580</f>
        <v>0</v>
      </c>
      <c r="C552" s="8">
        <f>'Orderformular Color Kids'!C580</f>
        <v>0</v>
      </c>
      <c r="D552" s="8">
        <f>'Orderformular Color Kids'!D580</f>
        <v>0</v>
      </c>
      <c r="E552" s="4">
        <f>'Orderformular Color Kids'!E580</f>
        <v>0</v>
      </c>
      <c r="F552" s="4">
        <f>'Orderformular Color Kids'!F580</f>
        <v>0</v>
      </c>
      <c r="G552" s="4">
        <f>'Orderformular Color Kids'!G580</f>
        <v>0</v>
      </c>
      <c r="H552" s="4">
        <f>'Orderformular Color Kids'!H580</f>
        <v>0</v>
      </c>
      <c r="I552" s="4">
        <f>'Orderformular Color Kids'!I580</f>
        <v>0</v>
      </c>
      <c r="J552" s="4">
        <f>'Orderformular Color Kids'!J580</f>
        <v>0</v>
      </c>
      <c r="K552" s="4">
        <f>'Orderformular Color Kids'!K580</f>
        <v>0</v>
      </c>
      <c r="L552" s="4">
        <f>'Orderformular Color Kids'!L580</f>
        <v>0</v>
      </c>
      <c r="M552" s="7">
        <f>'Orderformular Color Kids'!M580</f>
        <v>0</v>
      </c>
      <c r="N552" s="7">
        <f>'Packliste Orig'!N557</f>
        <v>0</v>
      </c>
      <c r="O552" s="7">
        <f>'Orderformular Color Kids'!O580</f>
        <v>0</v>
      </c>
      <c r="P552" s="7">
        <f>'Packliste Orig'!P557</f>
        <v>0</v>
      </c>
      <c r="Q552" s="7">
        <f>'Orderformular Color Kids'!Q580</f>
        <v>0</v>
      </c>
      <c r="R552" s="7">
        <f>'Orderformular Color Kids'!R580</f>
        <v>0</v>
      </c>
      <c r="S552" s="6">
        <f t="shared" si="8"/>
        <v>0</v>
      </c>
      <c r="T552" s="50">
        <f>'Orderformular Color Kids'!U580</f>
        <v>0</v>
      </c>
    </row>
    <row r="553" spans="1:20" x14ac:dyDescent="0.2">
      <c r="A553" s="61">
        <f>'Orderformular Color Kids'!A581</f>
        <v>0</v>
      </c>
      <c r="B553" s="62">
        <f>'Orderformular Color Kids'!B581</f>
        <v>0</v>
      </c>
      <c r="C553" s="8">
        <f>'Orderformular Color Kids'!C581</f>
        <v>0</v>
      </c>
      <c r="D553" s="8">
        <f>'Orderformular Color Kids'!D581</f>
        <v>0</v>
      </c>
      <c r="E553" s="4">
        <f>'Orderformular Color Kids'!E581</f>
        <v>0</v>
      </c>
      <c r="F553" s="4">
        <f>'Orderformular Color Kids'!F581</f>
        <v>0</v>
      </c>
      <c r="G553" s="4">
        <f>'Orderformular Color Kids'!G581</f>
        <v>0</v>
      </c>
      <c r="H553" s="4">
        <f>'Orderformular Color Kids'!H581</f>
        <v>0</v>
      </c>
      <c r="I553" s="4">
        <f>'Orderformular Color Kids'!I581</f>
        <v>0</v>
      </c>
      <c r="J553" s="4">
        <f>'Orderformular Color Kids'!J581</f>
        <v>0</v>
      </c>
      <c r="K553" s="4">
        <f>'Orderformular Color Kids'!K581</f>
        <v>0</v>
      </c>
      <c r="L553" s="4">
        <f>'Orderformular Color Kids'!L581</f>
        <v>0</v>
      </c>
      <c r="M553" s="7">
        <f>'Orderformular Color Kids'!M581</f>
        <v>0</v>
      </c>
      <c r="N553" s="7">
        <f>'Packliste Orig'!N558</f>
        <v>0</v>
      </c>
      <c r="O553" s="7">
        <f>'Orderformular Color Kids'!O581</f>
        <v>0</v>
      </c>
      <c r="P553" s="7">
        <f>'Packliste Orig'!P558</f>
        <v>0</v>
      </c>
      <c r="Q553" s="7">
        <f>'Orderformular Color Kids'!Q581</f>
        <v>0</v>
      </c>
      <c r="R553" s="7">
        <f>'Orderformular Color Kids'!R581</f>
        <v>0</v>
      </c>
      <c r="S553" s="6">
        <f t="shared" si="8"/>
        <v>0</v>
      </c>
      <c r="T553" s="50">
        <f>'Orderformular Color Kids'!U581</f>
        <v>0</v>
      </c>
    </row>
    <row r="554" spans="1:20" x14ac:dyDescent="0.2">
      <c r="A554" s="61">
        <f>'Orderformular Color Kids'!A582</f>
        <v>0</v>
      </c>
      <c r="B554" s="62">
        <f>'Orderformular Color Kids'!B582</f>
        <v>0</v>
      </c>
      <c r="C554" s="8">
        <f>'Orderformular Color Kids'!C582</f>
        <v>0</v>
      </c>
      <c r="D554" s="8">
        <f>'Orderformular Color Kids'!D582</f>
        <v>0</v>
      </c>
      <c r="E554" s="4">
        <f>'Orderformular Color Kids'!E582</f>
        <v>0</v>
      </c>
      <c r="F554" s="4">
        <f>'Orderformular Color Kids'!F582</f>
        <v>0</v>
      </c>
      <c r="G554" s="4">
        <f>'Orderformular Color Kids'!G582</f>
        <v>0</v>
      </c>
      <c r="H554" s="4">
        <f>'Orderformular Color Kids'!H582</f>
        <v>0</v>
      </c>
      <c r="I554" s="4">
        <f>'Orderformular Color Kids'!I582</f>
        <v>0</v>
      </c>
      <c r="J554" s="4">
        <f>'Orderformular Color Kids'!J582</f>
        <v>0</v>
      </c>
      <c r="K554" s="4">
        <f>'Orderformular Color Kids'!K582</f>
        <v>0</v>
      </c>
      <c r="L554" s="4">
        <f>'Orderformular Color Kids'!L582</f>
        <v>0</v>
      </c>
      <c r="M554" s="7">
        <f>'Orderformular Color Kids'!M582</f>
        <v>0</v>
      </c>
      <c r="N554" s="7">
        <f>'Packliste Orig'!N559</f>
        <v>0</v>
      </c>
      <c r="O554" s="7">
        <f>'Orderformular Color Kids'!O582</f>
        <v>0</v>
      </c>
      <c r="P554" s="7">
        <f>'Packliste Orig'!P559</f>
        <v>0</v>
      </c>
      <c r="Q554" s="7">
        <f>'Orderformular Color Kids'!Q582</f>
        <v>0</v>
      </c>
      <c r="R554" s="7">
        <f>'Orderformular Color Kids'!R582</f>
        <v>0</v>
      </c>
      <c r="S554" s="6">
        <f t="shared" si="8"/>
        <v>0</v>
      </c>
      <c r="T554" s="50">
        <f>'Orderformular Color Kids'!U582</f>
        <v>0</v>
      </c>
    </row>
    <row r="555" spans="1:20" x14ac:dyDescent="0.2">
      <c r="A555" s="61">
        <f>'Orderformular Color Kids'!A583</f>
        <v>0</v>
      </c>
      <c r="B555" s="62">
        <f>'Orderformular Color Kids'!B583</f>
        <v>0</v>
      </c>
      <c r="C555" s="8">
        <f>'Orderformular Color Kids'!C583</f>
        <v>0</v>
      </c>
      <c r="D555" s="8">
        <f>'Orderformular Color Kids'!D583</f>
        <v>0</v>
      </c>
      <c r="E555" s="4">
        <f>'Orderformular Color Kids'!E583</f>
        <v>0</v>
      </c>
      <c r="F555" s="4">
        <f>'Orderformular Color Kids'!F583</f>
        <v>0</v>
      </c>
      <c r="G555" s="4">
        <f>'Orderformular Color Kids'!G583</f>
        <v>0</v>
      </c>
      <c r="H555" s="4">
        <f>'Orderformular Color Kids'!H583</f>
        <v>0</v>
      </c>
      <c r="I555" s="4">
        <f>'Orderformular Color Kids'!I583</f>
        <v>0</v>
      </c>
      <c r="J555" s="4">
        <f>'Orderformular Color Kids'!J583</f>
        <v>0</v>
      </c>
      <c r="K555" s="4">
        <f>'Orderformular Color Kids'!K583</f>
        <v>0</v>
      </c>
      <c r="L555" s="4">
        <f>'Orderformular Color Kids'!L583</f>
        <v>0</v>
      </c>
      <c r="M555" s="7">
        <f>'Orderformular Color Kids'!M583</f>
        <v>0</v>
      </c>
      <c r="N555" s="7">
        <f>'Packliste Orig'!N560</f>
        <v>0</v>
      </c>
      <c r="O555" s="7">
        <f>'Orderformular Color Kids'!O583</f>
        <v>0</v>
      </c>
      <c r="P555" s="7">
        <f>'Packliste Orig'!P560</f>
        <v>0</v>
      </c>
      <c r="Q555" s="7">
        <f>'Orderformular Color Kids'!Q583</f>
        <v>0</v>
      </c>
      <c r="R555" s="7">
        <f>'Orderformular Color Kids'!R583</f>
        <v>0</v>
      </c>
      <c r="S555" s="6">
        <f t="shared" si="8"/>
        <v>0</v>
      </c>
      <c r="T555" s="50">
        <f>'Orderformular Color Kids'!U583</f>
        <v>0</v>
      </c>
    </row>
    <row r="556" spans="1:20" x14ac:dyDescent="0.2">
      <c r="A556" s="61">
        <f>'Orderformular Color Kids'!A584</f>
        <v>0</v>
      </c>
      <c r="B556" s="62">
        <f>'Orderformular Color Kids'!B584</f>
        <v>0</v>
      </c>
      <c r="C556" s="8">
        <f>'Orderformular Color Kids'!C584</f>
        <v>0</v>
      </c>
      <c r="D556" s="8">
        <f>'Orderformular Color Kids'!D584</f>
        <v>0</v>
      </c>
      <c r="E556" s="4">
        <f>'Orderformular Color Kids'!E584</f>
        <v>0</v>
      </c>
      <c r="F556" s="4">
        <f>'Orderformular Color Kids'!F584</f>
        <v>0</v>
      </c>
      <c r="G556" s="4">
        <f>'Orderformular Color Kids'!G584</f>
        <v>0</v>
      </c>
      <c r="H556" s="4">
        <f>'Orderformular Color Kids'!H584</f>
        <v>0</v>
      </c>
      <c r="I556" s="4">
        <f>'Orderformular Color Kids'!I584</f>
        <v>0</v>
      </c>
      <c r="J556" s="4">
        <f>'Orderformular Color Kids'!J584</f>
        <v>0</v>
      </c>
      <c r="K556" s="4">
        <f>'Orderformular Color Kids'!K584</f>
        <v>0</v>
      </c>
      <c r="L556" s="4">
        <f>'Orderformular Color Kids'!L584</f>
        <v>0</v>
      </c>
      <c r="M556" s="7">
        <f>'Orderformular Color Kids'!M584</f>
        <v>0</v>
      </c>
      <c r="N556" s="7">
        <f>'Packliste Orig'!N561</f>
        <v>0</v>
      </c>
      <c r="O556" s="7">
        <f>'Orderformular Color Kids'!O584</f>
        <v>0</v>
      </c>
      <c r="P556" s="7">
        <f>'Packliste Orig'!P561</f>
        <v>0</v>
      </c>
      <c r="Q556" s="7">
        <f>'Orderformular Color Kids'!Q584</f>
        <v>0</v>
      </c>
      <c r="R556" s="7">
        <f>'Orderformular Color Kids'!R584</f>
        <v>0</v>
      </c>
      <c r="S556" s="6">
        <f t="shared" si="8"/>
        <v>0</v>
      </c>
      <c r="T556" s="50">
        <f>'Orderformular Color Kids'!U584</f>
        <v>0</v>
      </c>
    </row>
    <row r="557" spans="1:20" x14ac:dyDescent="0.2">
      <c r="A557" s="61">
        <f>'Orderformular Color Kids'!A585</f>
        <v>0</v>
      </c>
      <c r="B557" s="62">
        <f>'Orderformular Color Kids'!B585</f>
        <v>0</v>
      </c>
      <c r="C557" s="8">
        <f>'Orderformular Color Kids'!C585</f>
        <v>0</v>
      </c>
      <c r="D557" s="8">
        <f>'Orderformular Color Kids'!D585</f>
        <v>0</v>
      </c>
      <c r="E557" s="4">
        <f>'Orderformular Color Kids'!E585</f>
        <v>0</v>
      </c>
      <c r="F557" s="4">
        <f>'Orderformular Color Kids'!F585</f>
        <v>0</v>
      </c>
      <c r="G557" s="4">
        <f>'Orderformular Color Kids'!G585</f>
        <v>0</v>
      </c>
      <c r="H557" s="4">
        <f>'Orderformular Color Kids'!H585</f>
        <v>0</v>
      </c>
      <c r="I557" s="4">
        <f>'Orderformular Color Kids'!I585</f>
        <v>0</v>
      </c>
      <c r="J557" s="4">
        <f>'Orderformular Color Kids'!J585</f>
        <v>0</v>
      </c>
      <c r="K557" s="4">
        <f>'Orderformular Color Kids'!K585</f>
        <v>0</v>
      </c>
      <c r="L557" s="4">
        <f>'Orderformular Color Kids'!L585</f>
        <v>0</v>
      </c>
      <c r="M557" s="7">
        <f>'Orderformular Color Kids'!M585</f>
        <v>0</v>
      </c>
      <c r="N557" s="7">
        <f>'Packliste Orig'!N562</f>
        <v>0</v>
      </c>
      <c r="O557" s="7">
        <f>'Orderformular Color Kids'!O585</f>
        <v>0</v>
      </c>
      <c r="P557" s="7">
        <f>'Packliste Orig'!P562</f>
        <v>0</v>
      </c>
      <c r="Q557" s="7">
        <f>'Orderformular Color Kids'!Q585</f>
        <v>0</v>
      </c>
      <c r="R557" s="7">
        <f>'Orderformular Color Kids'!R585</f>
        <v>0</v>
      </c>
      <c r="S557" s="6">
        <f t="shared" si="8"/>
        <v>0</v>
      </c>
      <c r="T557" s="50">
        <f>'Orderformular Color Kids'!U585</f>
        <v>0</v>
      </c>
    </row>
    <row r="558" spans="1:20" x14ac:dyDescent="0.2">
      <c r="A558" s="61">
        <f>'Orderformular Color Kids'!A586</f>
        <v>0</v>
      </c>
      <c r="B558" s="62">
        <f>'Orderformular Color Kids'!B586</f>
        <v>0</v>
      </c>
      <c r="C558" s="8">
        <f>'Orderformular Color Kids'!C586</f>
        <v>0</v>
      </c>
      <c r="D558" s="8">
        <f>'Orderformular Color Kids'!D586</f>
        <v>0</v>
      </c>
      <c r="E558" s="4">
        <f>'Orderformular Color Kids'!E586</f>
        <v>0</v>
      </c>
      <c r="F558" s="4">
        <f>'Orderformular Color Kids'!F586</f>
        <v>0</v>
      </c>
      <c r="G558" s="4">
        <f>'Orderformular Color Kids'!G586</f>
        <v>0</v>
      </c>
      <c r="H558" s="4">
        <f>'Orderformular Color Kids'!H586</f>
        <v>0</v>
      </c>
      <c r="I558" s="4">
        <f>'Orderformular Color Kids'!I586</f>
        <v>0</v>
      </c>
      <c r="J558" s="4">
        <f>'Orderformular Color Kids'!J586</f>
        <v>0</v>
      </c>
      <c r="K558" s="4">
        <f>'Orderformular Color Kids'!K586</f>
        <v>0</v>
      </c>
      <c r="L558" s="4">
        <f>'Orderformular Color Kids'!L586</f>
        <v>0</v>
      </c>
      <c r="M558" s="7">
        <f>'Orderformular Color Kids'!M586</f>
        <v>0</v>
      </c>
      <c r="N558" s="7">
        <f>'Packliste Orig'!N563</f>
        <v>0</v>
      </c>
      <c r="O558" s="7">
        <f>'Orderformular Color Kids'!O586</f>
        <v>0</v>
      </c>
      <c r="P558" s="7">
        <f>'Packliste Orig'!P563</f>
        <v>0</v>
      </c>
      <c r="Q558" s="7">
        <f>'Orderformular Color Kids'!Q586</f>
        <v>0</v>
      </c>
      <c r="R558" s="7">
        <f>'Orderformular Color Kids'!R586</f>
        <v>0</v>
      </c>
      <c r="S558" s="6">
        <f t="shared" si="8"/>
        <v>0</v>
      </c>
      <c r="T558" s="50">
        <f>'Orderformular Color Kids'!U586</f>
        <v>0</v>
      </c>
    </row>
    <row r="559" spans="1:20" x14ac:dyDescent="0.2">
      <c r="A559" s="61">
        <f>'Orderformular Color Kids'!A587</f>
        <v>0</v>
      </c>
      <c r="B559" s="62">
        <f>'Orderformular Color Kids'!B587</f>
        <v>0</v>
      </c>
      <c r="C559" s="8">
        <f>'Orderformular Color Kids'!C587</f>
        <v>0</v>
      </c>
      <c r="D559" s="8">
        <f>'Orderformular Color Kids'!D587</f>
        <v>0</v>
      </c>
      <c r="E559" s="4">
        <f>'Orderformular Color Kids'!E587</f>
        <v>0</v>
      </c>
      <c r="F559" s="4">
        <f>'Orderformular Color Kids'!F587</f>
        <v>0</v>
      </c>
      <c r="G559" s="4">
        <f>'Orderformular Color Kids'!G587</f>
        <v>0</v>
      </c>
      <c r="H559" s="4">
        <f>'Orderformular Color Kids'!H587</f>
        <v>0</v>
      </c>
      <c r="I559" s="4">
        <f>'Orderformular Color Kids'!I587</f>
        <v>0</v>
      </c>
      <c r="J559" s="4">
        <f>'Orderformular Color Kids'!J587</f>
        <v>0</v>
      </c>
      <c r="K559" s="4">
        <f>'Orderformular Color Kids'!K587</f>
        <v>0</v>
      </c>
      <c r="L559" s="4">
        <f>'Orderformular Color Kids'!L587</f>
        <v>0</v>
      </c>
      <c r="M559" s="7">
        <f>'Orderformular Color Kids'!M587</f>
        <v>0</v>
      </c>
      <c r="N559" s="7">
        <f>'Packliste Orig'!N564</f>
        <v>0</v>
      </c>
      <c r="O559" s="7">
        <f>'Orderformular Color Kids'!O587</f>
        <v>0</v>
      </c>
      <c r="P559" s="7">
        <f>'Packliste Orig'!P564</f>
        <v>0</v>
      </c>
      <c r="Q559" s="7">
        <f>'Orderformular Color Kids'!Q587</f>
        <v>0</v>
      </c>
      <c r="R559" s="7">
        <f>'Orderformular Color Kids'!R587</f>
        <v>0</v>
      </c>
      <c r="S559" s="6">
        <f t="shared" si="8"/>
        <v>0</v>
      </c>
      <c r="T559" s="50">
        <f>'Orderformular Color Kids'!U587</f>
        <v>0</v>
      </c>
    </row>
    <row r="560" spans="1:20" x14ac:dyDescent="0.2">
      <c r="A560" s="61">
        <f>'Orderformular Color Kids'!A588</f>
        <v>0</v>
      </c>
      <c r="B560" s="62">
        <f>'Orderformular Color Kids'!B588</f>
        <v>0</v>
      </c>
      <c r="C560" s="8">
        <f>'Orderformular Color Kids'!C588</f>
        <v>0</v>
      </c>
      <c r="D560" s="8">
        <f>'Orderformular Color Kids'!D588</f>
        <v>0</v>
      </c>
      <c r="E560" s="4">
        <f>'Orderformular Color Kids'!E588</f>
        <v>0</v>
      </c>
      <c r="F560" s="4">
        <f>'Orderformular Color Kids'!F588</f>
        <v>0</v>
      </c>
      <c r="G560" s="4">
        <f>'Orderformular Color Kids'!G588</f>
        <v>0</v>
      </c>
      <c r="H560" s="4">
        <f>'Orderformular Color Kids'!H588</f>
        <v>0</v>
      </c>
      <c r="I560" s="4">
        <f>'Orderformular Color Kids'!I588</f>
        <v>0</v>
      </c>
      <c r="J560" s="4">
        <f>'Orderformular Color Kids'!J588</f>
        <v>0</v>
      </c>
      <c r="K560" s="4">
        <f>'Orderformular Color Kids'!K588</f>
        <v>0</v>
      </c>
      <c r="L560" s="4">
        <f>'Orderformular Color Kids'!L588</f>
        <v>0</v>
      </c>
      <c r="M560" s="7">
        <f>'Orderformular Color Kids'!M588</f>
        <v>0</v>
      </c>
      <c r="N560" s="7">
        <f>'Packliste Orig'!N565</f>
        <v>0</v>
      </c>
      <c r="O560" s="7">
        <f>'Orderformular Color Kids'!O588</f>
        <v>0</v>
      </c>
      <c r="P560" s="7">
        <f>'Packliste Orig'!P565</f>
        <v>0</v>
      </c>
      <c r="Q560" s="7">
        <f>'Orderformular Color Kids'!Q588</f>
        <v>0</v>
      </c>
      <c r="R560" s="7">
        <f>'Orderformular Color Kids'!R588</f>
        <v>0</v>
      </c>
      <c r="S560" s="6">
        <f t="shared" si="8"/>
        <v>0</v>
      </c>
      <c r="T560" s="50">
        <f>'Orderformular Color Kids'!U588</f>
        <v>0</v>
      </c>
    </row>
    <row r="561" spans="1:20" x14ac:dyDescent="0.2">
      <c r="A561" s="61">
        <f>'Orderformular Color Kids'!A589</f>
        <v>0</v>
      </c>
      <c r="B561" s="62">
        <f>'Orderformular Color Kids'!B589</f>
        <v>0</v>
      </c>
      <c r="C561" s="8">
        <f>'Orderformular Color Kids'!C589</f>
        <v>0</v>
      </c>
      <c r="D561" s="8">
        <f>'Orderformular Color Kids'!D589</f>
        <v>0</v>
      </c>
      <c r="E561" s="4">
        <f>'Orderformular Color Kids'!E589</f>
        <v>0</v>
      </c>
      <c r="F561" s="4">
        <f>'Orderformular Color Kids'!F589</f>
        <v>0</v>
      </c>
      <c r="G561" s="4">
        <f>'Orderformular Color Kids'!G589</f>
        <v>0</v>
      </c>
      <c r="H561" s="4">
        <f>'Orderformular Color Kids'!H589</f>
        <v>0</v>
      </c>
      <c r="I561" s="4">
        <f>'Orderformular Color Kids'!I589</f>
        <v>0</v>
      </c>
      <c r="J561" s="4">
        <f>'Orderformular Color Kids'!J589</f>
        <v>0</v>
      </c>
      <c r="K561" s="4">
        <f>'Orderformular Color Kids'!K589</f>
        <v>0</v>
      </c>
      <c r="L561" s="4">
        <f>'Orderformular Color Kids'!L589</f>
        <v>0</v>
      </c>
      <c r="M561" s="7">
        <f>'Orderformular Color Kids'!M589</f>
        <v>0</v>
      </c>
      <c r="N561" s="7">
        <f>'Packliste Orig'!N566</f>
        <v>0</v>
      </c>
      <c r="O561" s="7">
        <f>'Orderformular Color Kids'!O589</f>
        <v>0</v>
      </c>
      <c r="P561" s="7">
        <f>'Packliste Orig'!P566</f>
        <v>0</v>
      </c>
      <c r="Q561" s="7">
        <f>'Orderformular Color Kids'!Q589</f>
        <v>0</v>
      </c>
      <c r="R561" s="7">
        <f>'Orderformular Color Kids'!R589</f>
        <v>0</v>
      </c>
      <c r="S561" s="6">
        <f t="shared" si="8"/>
        <v>0</v>
      </c>
      <c r="T561" s="50">
        <f>'Orderformular Color Kids'!U589</f>
        <v>0</v>
      </c>
    </row>
    <row r="562" spans="1:20" x14ac:dyDescent="0.2">
      <c r="A562" s="61">
        <f>'Orderformular Color Kids'!A590</f>
        <v>0</v>
      </c>
      <c r="B562" s="62">
        <f>'Orderformular Color Kids'!B590</f>
        <v>0</v>
      </c>
      <c r="C562" s="8">
        <f>'Orderformular Color Kids'!C590</f>
        <v>0</v>
      </c>
      <c r="D562" s="8">
        <f>'Orderformular Color Kids'!D590</f>
        <v>0</v>
      </c>
      <c r="E562" s="4">
        <f>'Orderformular Color Kids'!E590</f>
        <v>0</v>
      </c>
      <c r="F562" s="4">
        <f>'Orderformular Color Kids'!F590</f>
        <v>0</v>
      </c>
      <c r="G562" s="4">
        <f>'Orderformular Color Kids'!G590</f>
        <v>0</v>
      </c>
      <c r="H562" s="4">
        <f>'Orderformular Color Kids'!H590</f>
        <v>0</v>
      </c>
      <c r="I562" s="4">
        <f>'Orderformular Color Kids'!I590</f>
        <v>0</v>
      </c>
      <c r="J562" s="4">
        <f>'Orderformular Color Kids'!J590</f>
        <v>0</v>
      </c>
      <c r="K562" s="4">
        <f>'Orderformular Color Kids'!K590</f>
        <v>0</v>
      </c>
      <c r="L562" s="4">
        <f>'Orderformular Color Kids'!L590</f>
        <v>0</v>
      </c>
      <c r="M562" s="7">
        <f>'Orderformular Color Kids'!M590</f>
        <v>0</v>
      </c>
      <c r="N562" s="7">
        <f>'Packliste Orig'!N567</f>
        <v>0</v>
      </c>
      <c r="O562" s="7">
        <f>'Orderformular Color Kids'!O590</f>
        <v>0</v>
      </c>
      <c r="P562" s="7">
        <f>'Packliste Orig'!P567</f>
        <v>0</v>
      </c>
      <c r="Q562" s="7">
        <f>'Orderformular Color Kids'!Q590</f>
        <v>0</v>
      </c>
      <c r="R562" s="7">
        <f>'Orderformular Color Kids'!R590</f>
        <v>0</v>
      </c>
      <c r="S562" s="6">
        <f t="shared" si="8"/>
        <v>0</v>
      </c>
      <c r="T562" s="50">
        <f>'Orderformular Color Kids'!U590</f>
        <v>0</v>
      </c>
    </row>
    <row r="563" spans="1:20" x14ac:dyDescent="0.2">
      <c r="A563" s="61">
        <f>'Orderformular Color Kids'!A591</f>
        <v>0</v>
      </c>
      <c r="B563" s="62">
        <f>'Orderformular Color Kids'!B591</f>
        <v>0</v>
      </c>
      <c r="C563" s="8">
        <f>'Orderformular Color Kids'!C591</f>
        <v>0</v>
      </c>
      <c r="D563" s="8">
        <f>'Orderformular Color Kids'!D591</f>
        <v>0</v>
      </c>
      <c r="E563" s="4">
        <f>'Orderformular Color Kids'!E591</f>
        <v>0</v>
      </c>
      <c r="F563" s="4">
        <f>'Orderformular Color Kids'!F591</f>
        <v>0</v>
      </c>
      <c r="G563" s="4">
        <f>'Orderformular Color Kids'!G591</f>
        <v>0</v>
      </c>
      <c r="H563" s="4">
        <f>'Orderformular Color Kids'!H591</f>
        <v>0</v>
      </c>
      <c r="I563" s="4">
        <f>'Orderformular Color Kids'!I591</f>
        <v>0</v>
      </c>
      <c r="J563" s="4">
        <f>'Orderformular Color Kids'!J591</f>
        <v>0</v>
      </c>
      <c r="K563" s="4">
        <f>'Orderformular Color Kids'!K591</f>
        <v>0</v>
      </c>
      <c r="L563" s="4">
        <f>'Orderformular Color Kids'!L591</f>
        <v>0</v>
      </c>
      <c r="M563" s="7">
        <f>'Orderformular Color Kids'!M591</f>
        <v>0</v>
      </c>
      <c r="N563" s="7">
        <f>'Packliste Orig'!N568</f>
        <v>0</v>
      </c>
      <c r="O563" s="7">
        <f>'Orderformular Color Kids'!O591</f>
        <v>0</v>
      </c>
      <c r="P563" s="7">
        <f>'Packliste Orig'!P568</f>
        <v>0</v>
      </c>
      <c r="Q563" s="7">
        <f>'Orderformular Color Kids'!Q591</f>
        <v>0</v>
      </c>
      <c r="R563" s="7">
        <f>'Orderformular Color Kids'!R591</f>
        <v>0</v>
      </c>
      <c r="S563" s="6">
        <f t="shared" si="8"/>
        <v>0</v>
      </c>
      <c r="T563" s="50">
        <f>'Orderformular Color Kids'!U591</f>
        <v>0</v>
      </c>
    </row>
    <row r="564" spans="1:20" x14ac:dyDescent="0.2">
      <c r="A564" s="61">
        <f>'Orderformular Color Kids'!A592</f>
        <v>0</v>
      </c>
      <c r="B564" s="62">
        <f>'Orderformular Color Kids'!B592</f>
        <v>0</v>
      </c>
      <c r="C564" s="8">
        <f>'Orderformular Color Kids'!C592</f>
        <v>0</v>
      </c>
      <c r="D564" s="8">
        <f>'Orderformular Color Kids'!D592</f>
        <v>0</v>
      </c>
      <c r="E564" s="4">
        <f>'Orderformular Color Kids'!E592</f>
        <v>0</v>
      </c>
      <c r="F564" s="4">
        <f>'Orderformular Color Kids'!F592</f>
        <v>0</v>
      </c>
      <c r="G564" s="4">
        <f>'Orderformular Color Kids'!G592</f>
        <v>0</v>
      </c>
      <c r="H564" s="4">
        <f>'Orderformular Color Kids'!H592</f>
        <v>0</v>
      </c>
      <c r="I564" s="4">
        <f>'Orderformular Color Kids'!I592</f>
        <v>0</v>
      </c>
      <c r="J564" s="4">
        <f>'Orderformular Color Kids'!J592</f>
        <v>0</v>
      </c>
      <c r="K564" s="4">
        <f>'Orderformular Color Kids'!K592</f>
        <v>0</v>
      </c>
      <c r="L564" s="4">
        <f>'Orderformular Color Kids'!L592</f>
        <v>0</v>
      </c>
      <c r="M564" s="7">
        <f>'Orderformular Color Kids'!M592</f>
        <v>0</v>
      </c>
      <c r="N564" s="7">
        <f>'Packliste Orig'!N569</f>
        <v>0</v>
      </c>
      <c r="O564" s="7">
        <f>'Orderformular Color Kids'!O592</f>
        <v>0</v>
      </c>
      <c r="P564" s="7">
        <f>'Packliste Orig'!P569</f>
        <v>0</v>
      </c>
      <c r="Q564" s="7">
        <f>'Orderformular Color Kids'!Q592</f>
        <v>0</v>
      </c>
      <c r="R564" s="7">
        <f>'Orderformular Color Kids'!R592</f>
        <v>0</v>
      </c>
      <c r="S564" s="6">
        <f t="shared" si="8"/>
        <v>0</v>
      </c>
      <c r="T564" s="50">
        <f>'Orderformular Color Kids'!U592</f>
        <v>0</v>
      </c>
    </row>
    <row r="565" spans="1:20" x14ac:dyDescent="0.2">
      <c r="A565" s="61">
        <f>'Orderformular Color Kids'!A593</f>
        <v>0</v>
      </c>
      <c r="B565" s="62">
        <f>'Orderformular Color Kids'!B593</f>
        <v>0</v>
      </c>
      <c r="C565" s="8">
        <f>'Orderformular Color Kids'!C593</f>
        <v>0</v>
      </c>
      <c r="D565" s="8">
        <f>'Orderformular Color Kids'!D593</f>
        <v>0</v>
      </c>
      <c r="E565" s="4">
        <f>'Orderformular Color Kids'!E593</f>
        <v>0</v>
      </c>
      <c r="F565" s="4">
        <f>'Orderformular Color Kids'!F593</f>
        <v>0</v>
      </c>
      <c r="G565" s="4">
        <f>'Orderformular Color Kids'!G593</f>
        <v>0</v>
      </c>
      <c r="H565" s="4">
        <f>'Orderformular Color Kids'!H593</f>
        <v>0</v>
      </c>
      <c r="I565" s="4">
        <f>'Orderformular Color Kids'!I593</f>
        <v>0</v>
      </c>
      <c r="J565" s="4">
        <f>'Orderformular Color Kids'!J593</f>
        <v>0</v>
      </c>
      <c r="K565" s="4">
        <f>'Orderformular Color Kids'!K593</f>
        <v>0</v>
      </c>
      <c r="L565" s="4">
        <f>'Orderformular Color Kids'!L593</f>
        <v>0</v>
      </c>
      <c r="M565" s="7">
        <f>'Orderformular Color Kids'!M593</f>
        <v>0</v>
      </c>
      <c r="N565" s="7">
        <f>'Packliste Orig'!N570</f>
        <v>0</v>
      </c>
      <c r="O565" s="7">
        <f>'Orderformular Color Kids'!O593</f>
        <v>0</v>
      </c>
      <c r="P565" s="7">
        <f>'Packliste Orig'!P570</f>
        <v>0</v>
      </c>
      <c r="Q565" s="7">
        <f>'Orderformular Color Kids'!Q593</f>
        <v>0</v>
      </c>
      <c r="R565" s="7">
        <f>'Orderformular Color Kids'!R593</f>
        <v>0</v>
      </c>
      <c r="S565" s="6">
        <f t="shared" si="8"/>
        <v>0</v>
      </c>
      <c r="T565" s="50">
        <f>'Orderformular Color Kids'!U593</f>
        <v>0</v>
      </c>
    </row>
    <row r="566" spans="1:20" x14ac:dyDescent="0.2">
      <c r="A566" s="61">
        <f>'Orderformular Color Kids'!A594</f>
        <v>0</v>
      </c>
      <c r="B566" s="62">
        <f>'Orderformular Color Kids'!B594</f>
        <v>0</v>
      </c>
      <c r="C566" s="8">
        <f>'Orderformular Color Kids'!C594</f>
        <v>0</v>
      </c>
      <c r="D566" s="8">
        <f>'Orderformular Color Kids'!D594</f>
        <v>0</v>
      </c>
      <c r="E566" s="4">
        <f>'Orderformular Color Kids'!E594</f>
        <v>0</v>
      </c>
      <c r="F566" s="4">
        <f>'Orderformular Color Kids'!F594</f>
        <v>0</v>
      </c>
      <c r="G566" s="4">
        <f>'Orderformular Color Kids'!G594</f>
        <v>0</v>
      </c>
      <c r="H566" s="4">
        <f>'Orderformular Color Kids'!H594</f>
        <v>0</v>
      </c>
      <c r="I566" s="4">
        <f>'Orderformular Color Kids'!I594</f>
        <v>0</v>
      </c>
      <c r="J566" s="4">
        <f>'Orderformular Color Kids'!J594</f>
        <v>0</v>
      </c>
      <c r="K566" s="4">
        <f>'Orderformular Color Kids'!K594</f>
        <v>0</v>
      </c>
      <c r="L566" s="4">
        <f>'Orderformular Color Kids'!L594</f>
        <v>0</v>
      </c>
      <c r="M566" s="7">
        <f>'Orderformular Color Kids'!M594</f>
        <v>0</v>
      </c>
      <c r="N566" s="7">
        <f>'Packliste Orig'!N571</f>
        <v>0</v>
      </c>
      <c r="O566" s="7">
        <f>'Orderformular Color Kids'!O594</f>
        <v>0</v>
      </c>
      <c r="P566" s="7">
        <f>'Packliste Orig'!P571</f>
        <v>0</v>
      </c>
      <c r="Q566" s="7">
        <f>'Orderformular Color Kids'!Q594</f>
        <v>0</v>
      </c>
      <c r="R566" s="7">
        <f>'Orderformular Color Kids'!R594</f>
        <v>0</v>
      </c>
      <c r="S566" s="6">
        <f t="shared" si="8"/>
        <v>0</v>
      </c>
      <c r="T566" s="50">
        <f>'Orderformular Color Kids'!U594</f>
        <v>0</v>
      </c>
    </row>
    <row r="567" spans="1:20" x14ac:dyDescent="0.2">
      <c r="A567" s="61">
        <f>'Orderformular Color Kids'!A595</f>
        <v>0</v>
      </c>
      <c r="B567" s="62">
        <f>'Orderformular Color Kids'!B595</f>
        <v>0</v>
      </c>
      <c r="C567" s="8">
        <f>'Orderformular Color Kids'!C595</f>
        <v>0</v>
      </c>
      <c r="D567" s="8">
        <f>'Orderformular Color Kids'!D595</f>
        <v>0</v>
      </c>
      <c r="E567" s="4">
        <f>'Orderformular Color Kids'!E595</f>
        <v>0</v>
      </c>
      <c r="F567" s="4">
        <f>'Orderformular Color Kids'!F595</f>
        <v>0</v>
      </c>
      <c r="G567" s="4">
        <f>'Orderformular Color Kids'!G595</f>
        <v>0</v>
      </c>
      <c r="H567" s="4">
        <f>'Orderformular Color Kids'!H595</f>
        <v>0</v>
      </c>
      <c r="I567" s="4">
        <f>'Orderformular Color Kids'!I595</f>
        <v>0</v>
      </c>
      <c r="J567" s="4">
        <f>'Orderformular Color Kids'!J595</f>
        <v>0</v>
      </c>
      <c r="K567" s="4">
        <f>'Orderformular Color Kids'!K595</f>
        <v>0</v>
      </c>
      <c r="L567" s="4">
        <f>'Orderformular Color Kids'!L595</f>
        <v>0</v>
      </c>
      <c r="M567" s="7">
        <f>'Orderformular Color Kids'!M595</f>
        <v>0</v>
      </c>
      <c r="N567" s="7">
        <f>'Packliste Orig'!N572</f>
        <v>0</v>
      </c>
      <c r="O567" s="7">
        <f>'Orderformular Color Kids'!O595</f>
        <v>0</v>
      </c>
      <c r="P567" s="7">
        <f>'Packliste Orig'!P572</f>
        <v>0</v>
      </c>
      <c r="Q567" s="7">
        <f>'Orderformular Color Kids'!Q595</f>
        <v>0</v>
      </c>
      <c r="R567" s="7">
        <f>'Orderformular Color Kids'!R595</f>
        <v>0</v>
      </c>
      <c r="S567" s="6">
        <f t="shared" si="8"/>
        <v>0</v>
      </c>
      <c r="T567" s="50">
        <f>'Orderformular Color Kids'!U595</f>
        <v>0</v>
      </c>
    </row>
    <row r="568" spans="1:20" x14ac:dyDescent="0.2">
      <c r="A568" s="61">
        <f>'Orderformular Color Kids'!A596</f>
        <v>0</v>
      </c>
      <c r="B568" s="62">
        <f>'Orderformular Color Kids'!B596</f>
        <v>0</v>
      </c>
      <c r="C568" s="8">
        <f>'Orderformular Color Kids'!C596</f>
        <v>0</v>
      </c>
      <c r="D568" s="8">
        <f>'Orderformular Color Kids'!D596</f>
        <v>0</v>
      </c>
      <c r="E568" s="4">
        <f>'Orderformular Color Kids'!E596</f>
        <v>0</v>
      </c>
      <c r="F568" s="4">
        <f>'Orderformular Color Kids'!F596</f>
        <v>0</v>
      </c>
      <c r="G568" s="4">
        <f>'Orderformular Color Kids'!G596</f>
        <v>0</v>
      </c>
      <c r="H568" s="4">
        <f>'Orderformular Color Kids'!H596</f>
        <v>0</v>
      </c>
      <c r="I568" s="4">
        <f>'Orderformular Color Kids'!I596</f>
        <v>0</v>
      </c>
      <c r="J568" s="4">
        <f>'Orderformular Color Kids'!J596</f>
        <v>0</v>
      </c>
      <c r="K568" s="4">
        <f>'Orderformular Color Kids'!K596</f>
        <v>0</v>
      </c>
      <c r="L568" s="4">
        <f>'Orderformular Color Kids'!L596</f>
        <v>0</v>
      </c>
      <c r="M568" s="7">
        <f>'Orderformular Color Kids'!M596</f>
        <v>0</v>
      </c>
      <c r="N568" s="7">
        <f>'Packliste Orig'!N573</f>
        <v>0</v>
      </c>
      <c r="O568" s="7">
        <f>'Orderformular Color Kids'!O596</f>
        <v>0</v>
      </c>
      <c r="P568" s="7">
        <f>'Packliste Orig'!P573</f>
        <v>0</v>
      </c>
      <c r="Q568" s="7">
        <f>'Orderformular Color Kids'!Q596</f>
        <v>0</v>
      </c>
      <c r="R568" s="7">
        <f>'Orderformular Color Kids'!R596</f>
        <v>0</v>
      </c>
      <c r="S568" s="6">
        <f t="shared" si="8"/>
        <v>0</v>
      </c>
      <c r="T568" s="50">
        <f>'Orderformular Color Kids'!U596</f>
        <v>0</v>
      </c>
    </row>
    <row r="569" spans="1:20" x14ac:dyDescent="0.2">
      <c r="A569" s="61">
        <f>'Orderformular Color Kids'!A597</f>
        <v>0</v>
      </c>
      <c r="B569" s="62">
        <f>'Orderformular Color Kids'!B597</f>
        <v>0</v>
      </c>
      <c r="C569" s="8">
        <f>'Orderformular Color Kids'!C597</f>
        <v>0</v>
      </c>
      <c r="D569" s="8">
        <f>'Orderformular Color Kids'!D597</f>
        <v>0</v>
      </c>
      <c r="E569" s="4">
        <f>'Orderformular Color Kids'!E597</f>
        <v>0</v>
      </c>
      <c r="F569" s="4">
        <f>'Orderformular Color Kids'!F597</f>
        <v>0</v>
      </c>
      <c r="G569" s="4">
        <f>'Orderformular Color Kids'!G597</f>
        <v>0</v>
      </c>
      <c r="H569" s="4">
        <f>'Orderformular Color Kids'!H597</f>
        <v>0</v>
      </c>
      <c r="I569" s="4">
        <f>'Orderformular Color Kids'!I597</f>
        <v>0</v>
      </c>
      <c r="J569" s="4">
        <f>'Orderformular Color Kids'!J597</f>
        <v>0</v>
      </c>
      <c r="K569" s="4">
        <f>'Orderformular Color Kids'!K597</f>
        <v>0</v>
      </c>
      <c r="L569" s="4">
        <f>'Orderformular Color Kids'!L597</f>
        <v>0</v>
      </c>
      <c r="M569" s="7">
        <f>'Orderformular Color Kids'!M597</f>
        <v>0</v>
      </c>
      <c r="N569" s="7">
        <f>'Packliste Orig'!N574</f>
        <v>0</v>
      </c>
      <c r="O569" s="7">
        <f>'Orderformular Color Kids'!O597</f>
        <v>0</v>
      </c>
      <c r="P569" s="7">
        <f>'Packliste Orig'!P574</f>
        <v>0</v>
      </c>
      <c r="Q569" s="7">
        <f>'Orderformular Color Kids'!Q597</f>
        <v>0</v>
      </c>
      <c r="R569" s="7">
        <f>'Orderformular Color Kids'!R597</f>
        <v>0</v>
      </c>
      <c r="S569" s="6">
        <f t="shared" si="8"/>
        <v>0</v>
      </c>
      <c r="T569" s="50">
        <f>'Orderformular Color Kids'!U597</f>
        <v>0</v>
      </c>
    </row>
    <row r="570" spans="1:20" x14ac:dyDescent="0.2">
      <c r="A570" s="61">
        <f>'Orderformular Color Kids'!A598</f>
        <v>0</v>
      </c>
      <c r="B570" s="62">
        <f>'Orderformular Color Kids'!B598</f>
        <v>0</v>
      </c>
      <c r="C570" s="8">
        <f>'Orderformular Color Kids'!C598</f>
        <v>0</v>
      </c>
      <c r="D570" s="8">
        <f>'Orderformular Color Kids'!D598</f>
        <v>0</v>
      </c>
      <c r="E570" s="4">
        <f>'Orderformular Color Kids'!E598</f>
        <v>0</v>
      </c>
      <c r="F570" s="4">
        <f>'Orderformular Color Kids'!F598</f>
        <v>0</v>
      </c>
      <c r="G570" s="4">
        <f>'Orderformular Color Kids'!G598</f>
        <v>0</v>
      </c>
      <c r="H570" s="4">
        <f>'Orderformular Color Kids'!H598</f>
        <v>0</v>
      </c>
      <c r="I570" s="4">
        <f>'Orderformular Color Kids'!I598</f>
        <v>0</v>
      </c>
      <c r="J570" s="4">
        <f>'Orderformular Color Kids'!J598</f>
        <v>0</v>
      </c>
      <c r="K570" s="4">
        <f>'Orderformular Color Kids'!K598</f>
        <v>0</v>
      </c>
      <c r="L570" s="4">
        <f>'Orderformular Color Kids'!L598</f>
        <v>0</v>
      </c>
      <c r="M570" s="7">
        <f>'Orderformular Color Kids'!M598</f>
        <v>0</v>
      </c>
      <c r="N570" s="7">
        <f>'Packliste Orig'!N575</f>
        <v>0</v>
      </c>
      <c r="O570" s="7">
        <f>'Orderformular Color Kids'!O598</f>
        <v>0</v>
      </c>
      <c r="P570" s="7">
        <f>'Packliste Orig'!P575</f>
        <v>0</v>
      </c>
      <c r="Q570" s="7">
        <f>'Orderformular Color Kids'!Q598</f>
        <v>0</v>
      </c>
      <c r="R570" s="7">
        <f>'Orderformular Color Kids'!R598</f>
        <v>0</v>
      </c>
      <c r="S570" s="6">
        <f t="shared" si="8"/>
        <v>0</v>
      </c>
      <c r="T570" s="50">
        <f>'Orderformular Color Kids'!U598</f>
        <v>0</v>
      </c>
    </row>
    <row r="571" spans="1:20" x14ac:dyDescent="0.2">
      <c r="A571" s="61">
        <f>'Orderformular Color Kids'!A599</f>
        <v>0</v>
      </c>
      <c r="B571" s="62">
        <f>'Orderformular Color Kids'!B599</f>
        <v>0</v>
      </c>
      <c r="C571" s="8">
        <f>'Orderformular Color Kids'!C599</f>
        <v>0</v>
      </c>
      <c r="D571" s="8">
        <f>'Orderformular Color Kids'!D599</f>
        <v>0</v>
      </c>
      <c r="E571" s="4">
        <f>'Orderformular Color Kids'!E599</f>
        <v>0</v>
      </c>
      <c r="F571" s="4">
        <f>'Orderformular Color Kids'!F599</f>
        <v>0</v>
      </c>
      <c r="G571" s="4">
        <f>'Orderformular Color Kids'!G599</f>
        <v>0</v>
      </c>
      <c r="H571" s="4">
        <f>'Orderformular Color Kids'!H599</f>
        <v>0</v>
      </c>
      <c r="I571" s="4">
        <f>'Orderformular Color Kids'!I599</f>
        <v>0</v>
      </c>
      <c r="J571" s="4">
        <f>'Orderformular Color Kids'!J599</f>
        <v>0</v>
      </c>
      <c r="K571" s="4">
        <f>'Orderformular Color Kids'!K599</f>
        <v>0</v>
      </c>
      <c r="L571" s="4">
        <f>'Orderformular Color Kids'!L599</f>
        <v>0</v>
      </c>
      <c r="M571" s="7">
        <f>'Orderformular Color Kids'!M599</f>
        <v>0</v>
      </c>
      <c r="N571" s="7">
        <f>'Packliste Orig'!N576</f>
        <v>0</v>
      </c>
      <c r="O571" s="7">
        <f>'Orderformular Color Kids'!O599</f>
        <v>0</v>
      </c>
      <c r="P571" s="7">
        <f>'Packliste Orig'!P576</f>
        <v>0</v>
      </c>
      <c r="Q571" s="7">
        <f>'Orderformular Color Kids'!Q599</f>
        <v>0</v>
      </c>
      <c r="R571" s="7">
        <f>'Orderformular Color Kids'!R599</f>
        <v>0</v>
      </c>
      <c r="S571" s="6">
        <f t="shared" si="8"/>
        <v>0</v>
      </c>
      <c r="T571" s="50">
        <f>'Orderformular Color Kids'!U599</f>
        <v>0</v>
      </c>
    </row>
    <row r="572" spans="1:20" x14ac:dyDescent="0.2">
      <c r="A572" s="61">
        <f>'Orderformular Color Kids'!A600</f>
        <v>0</v>
      </c>
      <c r="B572" s="62">
        <f>'Orderformular Color Kids'!B600</f>
        <v>0</v>
      </c>
      <c r="C572" s="8">
        <f>'Orderformular Color Kids'!C600</f>
        <v>0</v>
      </c>
      <c r="D572" s="8">
        <f>'Orderformular Color Kids'!D600</f>
        <v>0</v>
      </c>
      <c r="E572" s="4">
        <f>'Orderformular Color Kids'!E600</f>
        <v>0</v>
      </c>
      <c r="F572" s="4">
        <f>'Orderformular Color Kids'!F600</f>
        <v>0</v>
      </c>
      <c r="G572" s="4">
        <f>'Orderformular Color Kids'!G600</f>
        <v>0</v>
      </c>
      <c r="H572" s="4">
        <f>'Orderformular Color Kids'!H600</f>
        <v>0</v>
      </c>
      <c r="I572" s="4">
        <f>'Orderformular Color Kids'!I600</f>
        <v>0</v>
      </c>
      <c r="J572" s="4">
        <f>'Orderformular Color Kids'!J600</f>
        <v>0</v>
      </c>
      <c r="K572" s="4">
        <f>'Orderformular Color Kids'!K600</f>
        <v>0</v>
      </c>
      <c r="L572" s="4">
        <f>'Orderformular Color Kids'!L600</f>
        <v>0</v>
      </c>
      <c r="M572" s="7">
        <f>'Orderformular Color Kids'!M600</f>
        <v>0</v>
      </c>
      <c r="N572" s="7">
        <f>'Packliste Orig'!N577</f>
        <v>0</v>
      </c>
      <c r="O572" s="7">
        <f>'Orderformular Color Kids'!O600</f>
        <v>0</v>
      </c>
      <c r="P572" s="7">
        <f>'Packliste Orig'!P577</f>
        <v>0</v>
      </c>
      <c r="Q572" s="7">
        <f>'Orderformular Color Kids'!Q600</f>
        <v>0</v>
      </c>
      <c r="R572" s="7">
        <f>'Orderformular Color Kids'!R600</f>
        <v>0</v>
      </c>
      <c r="S572" s="6">
        <f t="shared" si="8"/>
        <v>0</v>
      </c>
      <c r="T572" s="50">
        <f>'Orderformular Color Kids'!U600</f>
        <v>0</v>
      </c>
    </row>
    <row r="573" spans="1:20" x14ac:dyDescent="0.2">
      <c r="A573" s="61">
        <f>'Orderformular Color Kids'!A601</f>
        <v>0</v>
      </c>
      <c r="B573" s="62">
        <f>'Orderformular Color Kids'!B601</f>
        <v>0</v>
      </c>
      <c r="C573" s="8">
        <f>'Orderformular Color Kids'!C601</f>
        <v>0</v>
      </c>
      <c r="D573" s="8">
        <f>'Orderformular Color Kids'!D601</f>
        <v>0</v>
      </c>
      <c r="E573" s="4">
        <f>'Orderformular Color Kids'!E601</f>
        <v>0</v>
      </c>
      <c r="F573" s="4">
        <f>'Orderformular Color Kids'!F601</f>
        <v>0</v>
      </c>
      <c r="G573" s="4">
        <f>'Orderformular Color Kids'!G601</f>
        <v>0</v>
      </c>
      <c r="H573" s="4">
        <f>'Orderformular Color Kids'!H601</f>
        <v>0</v>
      </c>
      <c r="I573" s="4">
        <f>'Orderformular Color Kids'!I601</f>
        <v>0</v>
      </c>
      <c r="J573" s="4">
        <f>'Orderformular Color Kids'!J601</f>
        <v>0</v>
      </c>
      <c r="K573" s="4">
        <f>'Orderformular Color Kids'!K601</f>
        <v>0</v>
      </c>
      <c r="L573" s="4">
        <f>'Orderformular Color Kids'!L601</f>
        <v>0</v>
      </c>
      <c r="M573" s="7">
        <f>'Orderformular Color Kids'!M601</f>
        <v>0</v>
      </c>
      <c r="N573" s="7">
        <f>'Packliste Orig'!N578</f>
        <v>0</v>
      </c>
      <c r="O573" s="7">
        <f>'Orderformular Color Kids'!O601</f>
        <v>0</v>
      </c>
      <c r="P573" s="7">
        <f>'Packliste Orig'!P578</f>
        <v>0</v>
      </c>
      <c r="Q573" s="7">
        <f>'Orderformular Color Kids'!Q601</f>
        <v>0</v>
      </c>
      <c r="R573" s="7">
        <f>'Orderformular Color Kids'!R601</f>
        <v>0</v>
      </c>
      <c r="S573" s="6">
        <f t="shared" si="8"/>
        <v>0</v>
      </c>
      <c r="T573" s="50">
        <f>'Orderformular Color Kids'!U601</f>
        <v>0</v>
      </c>
    </row>
    <row r="574" spans="1:20" x14ac:dyDescent="0.2">
      <c r="A574" s="61">
        <f>'Orderformular Color Kids'!A602</f>
        <v>0</v>
      </c>
      <c r="B574" s="62">
        <f>'Orderformular Color Kids'!B602</f>
        <v>0</v>
      </c>
      <c r="C574" s="8">
        <f>'Orderformular Color Kids'!C602</f>
        <v>0</v>
      </c>
      <c r="D574" s="8">
        <f>'Orderformular Color Kids'!D602</f>
        <v>0</v>
      </c>
      <c r="E574" s="4">
        <f>'Orderformular Color Kids'!E602</f>
        <v>0</v>
      </c>
      <c r="F574" s="4">
        <f>'Orderformular Color Kids'!F602</f>
        <v>0</v>
      </c>
      <c r="G574" s="4">
        <f>'Orderformular Color Kids'!G602</f>
        <v>0</v>
      </c>
      <c r="H574" s="4">
        <f>'Orderformular Color Kids'!H602</f>
        <v>0</v>
      </c>
      <c r="I574" s="4">
        <f>'Orderformular Color Kids'!I602</f>
        <v>0</v>
      </c>
      <c r="J574" s="4">
        <f>'Orderformular Color Kids'!J602</f>
        <v>0</v>
      </c>
      <c r="K574" s="4">
        <f>'Orderformular Color Kids'!K602</f>
        <v>0</v>
      </c>
      <c r="L574" s="4">
        <f>'Orderformular Color Kids'!L602</f>
        <v>0</v>
      </c>
      <c r="M574" s="7">
        <f>'Orderformular Color Kids'!M602</f>
        <v>0</v>
      </c>
      <c r="N574" s="7">
        <f>'Packliste Orig'!N579</f>
        <v>0</v>
      </c>
      <c r="O574" s="7">
        <f>'Orderformular Color Kids'!O602</f>
        <v>0</v>
      </c>
      <c r="P574" s="7">
        <f>'Packliste Orig'!P579</f>
        <v>0</v>
      </c>
      <c r="Q574" s="7">
        <f>'Orderformular Color Kids'!Q602</f>
        <v>0</v>
      </c>
      <c r="R574" s="7">
        <f>'Orderformular Color Kids'!R602</f>
        <v>0</v>
      </c>
      <c r="S574" s="6">
        <f t="shared" si="8"/>
        <v>0</v>
      </c>
      <c r="T574" s="50">
        <f>'Orderformular Color Kids'!U602</f>
        <v>0</v>
      </c>
    </row>
    <row r="575" spans="1:20" x14ac:dyDescent="0.2">
      <c r="A575" s="61">
        <f>'Orderformular Color Kids'!A603</f>
        <v>0</v>
      </c>
      <c r="B575" s="62">
        <f>'Orderformular Color Kids'!B603</f>
        <v>0</v>
      </c>
      <c r="C575" s="8">
        <f>'Orderformular Color Kids'!C603</f>
        <v>0</v>
      </c>
      <c r="D575" s="8">
        <f>'Orderformular Color Kids'!D603</f>
        <v>0</v>
      </c>
      <c r="E575" s="4">
        <f>'Orderformular Color Kids'!E603</f>
        <v>0</v>
      </c>
      <c r="F575" s="4">
        <f>'Orderformular Color Kids'!F603</f>
        <v>0</v>
      </c>
      <c r="G575" s="4">
        <f>'Orderformular Color Kids'!G603</f>
        <v>0</v>
      </c>
      <c r="H575" s="4">
        <f>'Orderformular Color Kids'!H603</f>
        <v>0</v>
      </c>
      <c r="I575" s="4">
        <f>'Orderformular Color Kids'!I603</f>
        <v>0</v>
      </c>
      <c r="J575" s="4">
        <f>'Orderformular Color Kids'!J603</f>
        <v>0</v>
      </c>
      <c r="K575" s="4">
        <f>'Orderformular Color Kids'!K603</f>
        <v>0</v>
      </c>
      <c r="L575" s="4">
        <f>'Orderformular Color Kids'!L603</f>
        <v>0</v>
      </c>
      <c r="M575" s="7">
        <f>'Orderformular Color Kids'!M603</f>
        <v>0</v>
      </c>
      <c r="N575" s="7">
        <f>'Packliste Orig'!N580</f>
        <v>0</v>
      </c>
      <c r="O575" s="7">
        <f>'Orderformular Color Kids'!O603</f>
        <v>0</v>
      </c>
      <c r="P575" s="7">
        <f>'Packliste Orig'!P580</f>
        <v>0</v>
      </c>
      <c r="Q575" s="7">
        <f>'Orderformular Color Kids'!Q603</f>
        <v>0</v>
      </c>
      <c r="R575" s="7">
        <f>'Orderformular Color Kids'!R603</f>
        <v>0</v>
      </c>
      <c r="S575" s="6">
        <f t="shared" si="8"/>
        <v>0</v>
      </c>
      <c r="T575" s="50">
        <f>'Orderformular Color Kids'!U603</f>
        <v>0</v>
      </c>
    </row>
    <row r="576" spans="1:20" x14ac:dyDescent="0.2">
      <c r="A576" s="61">
        <f>'Orderformular Color Kids'!A604</f>
        <v>0</v>
      </c>
      <c r="B576" s="62">
        <f>'Orderformular Color Kids'!B604</f>
        <v>0</v>
      </c>
      <c r="C576" s="8">
        <f>'Orderformular Color Kids'!C604</f>
        <v>0</v>
      </c>
      <c r="D576" s="8">
        <f>'Orderformular Color Kids'!D604</f>
        <v>0</v>
      </c>
      <c r="E576" s="4">
        <f>'Orderformular Color Kids'!E604</f>
        <v>0</v>
      </c>
      <c r="F576" s="4">
        <f>'Orderformular Color Kids'!F604</f>
        <v>0</v>
      </c>
      <c r="G576" s="4">
        <f>'Orderformular Color Kids'!G604</f>
        <v>0</v>
      </c>
      <c r="H576" s="4">
        <f>'Orderformular Color Kids'!H604</f>
        <v>0</v>
      </c>
      <c r="I576" s="4">
        <f>'Orderformular Color Kids'!I604</f>
        <v>0</v>
      </c>
      <c r="J576" s="4">
        <f>'Orderformular Color Kids'!J604</f>
        <v>0</v>
      </c>
      <c r="K576" s="4">
        <f>'Orderformular Color Kids'!K604</f>
        <v>0</v>
      </c>
      <c r="L576" s="4">
        <f>'Orderformular Color Kids'!L604</f>
        <v>0</v>
      </c>
      <c r="M576" s="7">
        <f>'Orderformular Color Kids'!M604</f>
        <v>0</v>
      </c>
      <c r="N576" s="7">
        <f>'Packliste Orig'!N581</f>
        <v>0</v>
      </c>
      <c r="O576" s="7">
        <f>'Orderformular Color Kids'!O604</f>
        <v>0</v>
      </c>
      <c r="P576" s="7">
        <f>'Packliste Orig'!P581</f>
        <v>0</v>
      </c>
      <c r="Q576" s="7">
        <f>'Orderformular Color Kids'!Q604</f>
        <v>0</v>
      </c>
      <c r="R576" s="7">
        <f>'Orderformular Color Kids'!R604</f>
        <v>0</v>
      </c>
      <c r="S576" s="6">
        <f t="shared" si="8"/>
        <v>0</v>
      </c>
      <c r="T576" s="50">
        <f>'Orderformular Color Kids'!U604</f>
        <v>0</v>
      </c>
    </row>
    <row r="577" spans="1:20" x14ac:dyDescent="0.2">
      <c r="A577" s="61">
        <f>'Orderformular Color Kids'!A605</f>
        <v>0</v>
      </c>
      <c r="B577" s="62">
        <f>'Orderformular Color Kids'!B605</f>
        <v>0</v>
      </c>
      <c r="C577" s="8">
        <f>'Orderformular Color Kids'!C605</f>
        <v>0</v>
      </c>
      <c r="D577" s="8">
        <f>'Orderformular Color Kids'!D605</f>
        <v>0</v>
      </c>
      <c r="E577" s="4">
        <f>'Orderformular Color Kids'!E605</f>
        <v>0</v>
      </c>
      <c r="F577" s="4">
        <f>'Orderformular Color Kids'!F605</f>
        <v>0</v>
      </c>
      <c r="G577" s="4">
        <f>'Orderformular Color Kids'!G605</f>
        <v>0</v>
      </c>
      <c r="H577" s="4">
        <f>'Orderformular Color Kids'!H605</f>
        <v>0</v>
      </c>
      <c r="I577" s="4">
        <f>'Orderformular Color Kids'!I605</f>
        <v>0</v>
      </c>
      <c r="J577" s="4">
        <f>'Orderformular Color Kids'!J605</f>
        <v>0</v>
      </c>
      <c r="K577" s="4">
        <f>'Orderformular Color Kids'!K605</f>
        <v>0</v>
      </c>
      <c r="L577" s="4">
        <f>'Orderformular Color Kids'!L605</f>
        <v>0</v>
      </c>
      <c r="M577" s="7">
        <f>'Orderformular Color Kids'!M605</f>
        <v>0</v>
      </c>
      <c r="N577" s="7">
        <f>'Packliste Orig'!N582</f>
        <v>0</v>
      </c>
      <c r="O577" s="7">
        <f>'Orderformular Color Kids'!O605</f>
        <v>0</v>
      </c>
      <c r="P577" s="7">
        <f>'Packliste Orig'!P582</f>
        <v>0</v>
      </c>
      <c r="Q577" s="7">
        <f>'Orderformular Color Kids'!Q605</f>
        <v>0</v>
      </c>
      <c r="R577" s="7">
        <f>'Orderformular Color Kids'!R605</f>
        <v>0</v>
      </c>
      <c r="S577" s="6">
        <f t="shared" si="8"/>
        <v>0</v>
      </c>
      <c r="T577" s="50">
        <f>'Orderformular Color Kids'!U605</f>
        <v>0</v>
      </c>
    </row>
    <row r="578" spans="1:20" x14ac:dyDescent="0.2">
      <c r="A578" s="61">
        <f>'Orderformular Color Kids'!A606</f>
        <v>0</v>
      </c>
      <c r="B578" s="62">
        <f>'Orderformular Color Kids'!B606</f>
        <v>0</v>
      </c>
      <c r="C578" s="8">
        <f>'Orderformular Color Kids'!C606</f>
        <v>0</v>
      </c>
      <c r="D578" s="8">
        <f>'Orderformular Color Kids'!D606</f>
        <v>0</v>
      </c>
      <c r="E578" s="4">
        <f>'Orderformular Color Kids'!E606</f>
        <v>0</v>
      </c>
      <c r="F578" s="4">
        <f>'Orderformular Color Kids'!F606</f>
        <v>0</v>
      </c>
      <c r="G578" s="4">
        <f>'Orderformular Color Kids'!G606</f>
        <v>0</v>
      </c>
      <c r="H578" s="4">
        <f>'Orderformular Color Kids'!H606</f>
        <v>0</v>
      </c>
      <c r="I578" s="4">
        <f>'Orderformular Color Kids'!I606</f>
        <v>0</v>
      </c>
      <c r="J578" s="4">
        <f>'Orderformular Color Kids'!J606</f>
        <v>0</v>
      </c>
      <c r="K578" s="4">
        <f>'Orderformular Color Kids'!K606</f>
        <v>0</v>
      </c>
      <c r="L578" s="4">
        <f>'Orderformular Color Kids'!L606</f>
        <v>0</v>
      </c>
      <c r="M578" s="7">
        <f>'Orderformular Color Kids'!M606</f>
        <v>0</v>
      </c>
      <c r="N578" s="7">
        <f>'Packliste Orig'!N583</f>
        <v>0</v>
      </c>
      <c r="O578" s="7">
        <f>'Orderformular Color Kids'!O606</f>
        <v>0</v>
      </c>
      <c r="P578" s="7">
        <f>'Packliste Orig'!P583</f>
        <v>0</v>
      </c>
      <c r="Q578" s="7">
        <f>'Orderformular Color Kids'!Q606</f>
        <v>0</v>
      </c>
      <c r="R578" s="7">
        <f>'Orderformular Color Kids'!R606</f>
        <v>0</v>
      </c>
      <c r="S578" s="6">
        <f t="shared" si="8"/>
        <v>0</v>
      </c>
      <c r="T578" s="50">
        <f>'Orderformular Color Kids'!U606</f>
        <v>0</v>
      </c>
    </row>
    <row r="579" spans="1:20" x14ac:dyDescent="0.2">
      <c r="A579" s="61">
        <f>'Orderformular Color Kids'!A607</f>
        <v>0</v>
      </c>
      <c r="B579" s="62">
        <f>'Orderformular Color Kids'!B607</f>
        <v>0</v>
      </c>
      <c r="C579" s="8">
        <f>'Orderformular Color Kids'!C607</f>
        <v>0</v>
      </c>
      <c r="D579" s="8">
        <f>'Orderformular Color Kids'!D607</f>
        <v>0</v>
      </c>
      <c r="E579" s="4">
        <f>'Orderformular Color Kids'!E607</f>
        <v>0</v>
      </c>
      <c r="F579" s="4">
        <f>'Orderformular Color Kids'!F607</f>
        <v>0</v>
      </c>
      <c r="G579" s="4">
        <f>'Orderformular Color Kids'!G607</f>
        <v>0</v>
      </c>
      <c r="H579" s="4">
        <f>'Orderformular Color Kids'!H607</f>
        <v>0</v>
      </c>
      <c r="I579" s="4">
        <f>'Orderformular Color Kids'!I607</f>
        <v>0</v>
      </c>
      <c r="J579" s="4">
        <f>'Orderformular Color Kids'!J607</f>
        <v>0</v>
      </c>
      <c r="K579" s="4">
        <f>'Orderformular Color Kids'!K607</f>
        <v>0</v>
      </c>
      <c r="L579" s="4">
        <f>'Orderformular Color Kids'!L607</f>
        <v>0</v>
      </c>
      <c r="M579" s="7">
        <f>'Orderformular Color Kids'!M607</f>
        <v>0</v>
      </c>
      <c r="N579" s="7">
        <f>'Packliste Orig'!N584</f>
        <v>0</v>
      </c>
      <c r="O579" s="7">
        <f>'Orderformular Color Kids'!O607</f>
        <v>0</v>
      </c>
      <c r="P579" s="7">
        <f>'Packliste Orig'!P584</f>
        <v>0</v>
      </c>
      <c r="Q579" s="7">
        <f>'Orderformular Color Kids'!Q607</f>
        <v>0</v>
      </c>
      <c r="R579" s="7">
        <f>'Orderformular Color Kids'!R607</f>
        <v>0</v>
      </c>
      <c r="S579" s="6">
        <f t="shared" si="8"/>
        <v>0</v>
      </c>
      <c r="T579" s="50">
        <f>'Orderformular Color Kids'!U607</f>
        <v>0</v>
      </c>
    </row>
    <row r="580" spans="1:20" x14ac:dyDescent="0.2">
      <c r="A580" s="61">
        <f>'Orderformular Color Kids'!A608</f>
        <v>0</v>
      </c>
      <c r="B580" s="62">
        <f>'Orderformular Color Kids'!B608</f>
        <v>0</v>
      </c>
      <c r="C580" s="8">
        <f>'Orderformular Color Kids'!C608</f>
        <v>0</v>
      </c>
      <c r="D580" s="8">
        <f>'Orderformular Color Kids'!D608</f>
        <v>0</v>
      </c>
      <c r="E580" s="4">
        <f>'Orderformular Color Kids'!E608</f>
        <v>0</v>
      </c>
      <c r="F580" s="4">
        <f>'Orderformular Color Kids'!F608</f>
        <v>0</v>
      </c>
      <c r="G580" s="4">
        <f>'Orderformular Color Kids'!G608</f>
        <v>0</v>
      </c>
      <c r="H580" s="4">
        <f>'Orderformular Color Kids'!H608</f>
        <v>0</v>
      </c>
      <c r="I580" s="4">
        <f>'Orderformular Color Kids'!I608</f>
        <v>0</v>
      </c>
      <c r="J580" s="4">
        <f>'Orderformular Color Kids'!J608</f>
        <v>0</v>
      </c>
      <c r="K580" s="4">
        <f>'Orderformular Color Kids'!K608</f>
        <v>0</v>
      </c>
      <c r="L580" s="4">
        <f>'Orderformular Color Kids'!L608</f>
        <v>0</v>
      </c>
      <c r="M580" s="7">
        <f>'Orderformular Color Kids'!M608</f>
        <v>0</v>
      </c>
      <c r="N580" s="7">
        <f>'Packliste Orig'!N585</f>
        <v>0</v>
      </c>
      <c r="O580" s="7">
        <f>'Orderformular Color Kids'!O608</f>
        <v>0</v>
      </c>
      <c r="P580" s="7">
        <f>'Packliste Orig'!P585</f>
        <v>0</v>
      </c>
      <c r="Q580" s="7">
        <f>'Orderformular Color Kids'!Q608</f>
        <v>0</v>
      </c>
      <c r="R580" s="7">
        <f>'Orderformular Color Kids'!R608</f>
        <v>0</v>
      </c>
      <c r="S580" s="6">
        <f t="shared" si="8"/>
        <v>0</v>
      </c>
      <c r="T580" s="50">
        <f>'Orderformular Color Kids'!U608</f>
        <v>0</v>
      </c>
    </row>
    <row r="581" spans="1:20" x14ac:dyDescent="0.2">
      <c r="A581" s="61">
        <f>'Orderformular Color Kids'!A609</f>
        <v>0</v>
      </c>
      <c r="B581" s="62">
        <f>'Orderformular Color Kids'!B609</f>
        <v>0</v>
      </c>
      <c r="C581" s="8">
        <f>'Orderformular Color Kids'!C609</f>
        <v>0</v>
      </c>
      <c r="D581" s="8">
        <f>'Orderformular Color Kids'!D609</f>
        <v>0</v>
      </c>
      <c r="E581" s="4">
        <f>'Orderformular Color Kids'!E609</f>
        <v>0</v>
      </c>
      <c r="F581" s="4">
        <f>'Orderformular Color Kids'!F609</f>
        <v>0</v>
      </c>
      <c r="G581" s="4">
        <f>'Orderformular Color Kids'!G609</f>
        <v>0</v>
      </c>
      <c r="H581" s="4">
        <f>'Orderformular Color Kids'!H609</f>
        <v>0</v>
      </c>
      <c r="I581" s="4">
        <f>'Orderformular Color Kids'!I609</f>
        <v>0</v>
      </c>
      <c r="J581" s="4">
        <f>'Orderformular Color Kids'!J609</f>
        <v>0</v>
      </c>
      <c r="K581" s="4">
        <f>'Orderformular Color Kids'!K609</f>
        <v>0</v>
      </c>
      <c r="L581" s="4">
        <f>'Orderformular Color Kids'!L609</f>
        <v>0</v>
      </c>
      <c r="M581" s="7">
        <f>'Orderformular Color Kids'!M609</f>
        <v>0</v>
      </c>
      <c r="N581" s="7">
        <f>'Packliste Orig'!N586</f>
        <v>0</v>
      </c>
      <c r="O581" s="7">
        <f>'Orderformular Color Kids'!O609</f>
        <v>0</v>
      </c>
      <c r="P581" s="7">
        <f>'Packliste Orig'!P586</f>
        <v>0</v>
      </c>
      <c r="Q581" s="7">
        <f>'Orderformular Color Kids'!Q609</f>
        <v>0</v>
      </c>
      <c r="R581" s="7">
        <f>'Orderformular Color Kids'!R609</f>
        <v>0</v>
      </c>
      <c r="S581" s="6">
        <f t="shared" si="8"/>
        <v>0</v>
      </c>
      <c r="T581" s="50">
        <f>'Orderformular Color Kids'!U609</f>
        <v>0</v>
      </c>
    </row>
    <row r="582" spans="1:20" x14ac:dyDescent="0.2">
      <c r="A582" s="61">
        <f>'Orderformular Color Kids'!A610</f>
        <v>0</v>
      </c>
      <c r="B582" s="62">
        <f>'Orderformular Color Kids'!B610</f>
        <v>0</v>
      </c>
      <c r="C582" s="8">
        <f>'Orderformular Color Kids'!C610</f>
        <v>0</v>
      </c>
      <c r="D582" s="8">
        <f>'Orderformular Color Kids'!D610</f>
        <v>0</v>
      </c>
      <c r="E582" s="4">
        <f>'Orderformular Color Kids'!E610</f>
        <v>0</v>
      </c>
      <c r="F582" s="4">
        <f>'Orderformular Color Kids'!F610</f>
        <v>0</v>
      </c>
      <c r="G582" s="4">
        <f>'Orderformular Color Kids'!G610</f>
        <v>0</v>
      </c>
      <c r="H582" s="4">
        <f>'Orderformular Color Kids'!H610</f>
        <v>0</v>
      </c>
      <c r="I582" s="4">
        <f>'Orderformular Color Kids'!I610</f>
        <v>0</v>
      </c>
      <c r="J582" s="4">
        <f>'Orderformular Color Kids'!J610</f>
        <v>0</v>
      </c>
      <c r="K582" s="4">
        <f>'Orderformular Color Kids'!K610</f>
        <v>0</v>
      </c>
      <c r="L582" s="4">
        <f>'Orderformular Color Kids'!L610</f>
        <v>0</v>
      </c>
      <c r="M582" s="7">
        <f>'Orderformular Color Kids'!M610</f>
        <v>0</v>
      </c>
      <c r="N582" s="7">
        <f>'Packliste Orig'!N587</f>
        <v>0</v>
      </c>
      <c r="O582" s="7">
        <f>'Orderformular Color Kids'!O610</f>
        <v>0</v>
      </c>
      <c r="P582" s="7">
        <f>'Packliste Orig'!P587</f>
        <v>0</v>
      </c>
      <c r="Q582" s="7">
        <f>'Orderformular Color Kids'!Q610</f>
        <v>0</v>
      </c>
      <c r="R582" s="7">
        <f>'Orderformular Color Kids'!R610</f>
        <v>0</v>
      </c>
      <c r="S582" s="6">
        <f t="shared" si="8"/>
        <v>0</v>
      </c>
      <c r="T582" s="50">
        <f>'Orderformular Color Kids'!U610</f>
        <v>0</v>
      </c>
    </row>
    <row r="583" spans="1:20" x14ac:dyDescent="0.2">
      <c r="A583" s="61">
        <f>'Orderformular Color Kids'!A611</f>
        <v>0</v>
      </c>
      <c r="B583" s="62">
        <f>'Orderformular Color Kids'!B611</f>
        <v>0</v>
      </c>
      <c r="C583" s="8">
        <f>'Orderformular Color Kids'!C611</f>
        <v>0</v>
      </c>
      <c r="D583" s="8">
        <f>'Orderformular Color Kids'!D611</f>
        <v>0</v>
      </c>
      <c r="E583" s="4">
        <f>'Orderformular Color Kids'!E611</f>
        <v>0</v>
      </c>
      <c r="F583" s="4">
        <f>'Orderformular Color Kids'!F611</f>
        <v>0</v>
      </c>
      <c r="G583" s="4">
        <f>'Orderformular Color Kids'!G611</f>
        <v>0</v>
      </c>
      <c r="H583" s="4">
        <f>'Orderformular Color Kids'!H611</f>
        <v>0</v>
      </c>
      <c r="I583" s="4">
        <f>'Orderformular Color Kids'!I611</f>
        <v>0</v>
      </c>
      <c r="J583" s="4">
        <f>'Orderformular Color Kids'!J611</f>
        <v>0</v>
      </c>
      <c r="K583" s="4">
        <f>'Orderformular Color Kids'!K611</f>
        <v>0</v>
      </c>
      <c r="L583" s="4">
        <f>'Orderformular Color Kids'!L611</f>
        <v>0</v>
      </c>
      <c r="M583" s="7">
        <f>'Orderformular Color Kids'!M611</f>
        <v>0</v>
      </c>
      <c r="N583" s="7">
        <f>'Packliste Orig'!N588</f>
        <v>0</v>
      </c>
      <c r="O583" s="7">
        <f>'Orderformular Color Kids'!O611</f>
        <v>0</v>
      </c>
      <c r="P583" s="7">
        <f>'Packliste Orig'!P588</f>
        <v>0</v>
      </c>
      <c r="Q583" s="7">
        <f>'Orderformular Color Kids'!Q611</f>
        <v>0</v>
      </c>
      <c r="R583" s="7">
        <f>'Orderformular Color Kids'!R611</f>
        <v>0</v>
      </c>
      <c r="S583" s="6">
        <f t="shared" si="8"/>
        <v>0</v>
      </c>
      <c r="T583" s="50">
        <f>'Orderformular Color Kids'!U611</f>
        <v>0</v>
      </c>
    </row>
    <row r="584" spans="1:20" x14ac:dyDescent="0.2">
      <c r="A584" s="61">
        <f>'Orderformular Color Kids'!A612</f>
        <v>0</v>
      </c>
      <c r="B584" s="62">
        <f>'Orderformular Color Kids'!B612</f>
        <v>0</v>
      </c>
      <c r="C584" s="8">
        <f>'Orderformular Color Kids'!C612</f>
        <v>0</v>
      </c>
      <c r="D584" s="8">
        <f>'Orderformular Color Kids'!D612</f>
        <v>0</v>
      </c>
      <c r="E584" s="4">
        <f>'Orderformular Color Kids'!E612</f>
        <v>0</v>
      </c>
      <c r="F584" s="4">
        <f>'Orderformular Color Kids'!F612</f>
        <v>0</v>
      </c>
      <c r="G584" s="4">
        <f>'Orderformular Color Kids'!G612</f>
        <v>0</v>
      </c>
      <c r="H584" s="4">
        <f>'Orderformular Color Kids'!H612</f>
        <v>0</v>
      </c>
      <c r="I584" s="4">
        <f>'Orderformular Color Kids'!I612</f>
        <v>0</v>
      </c>
      <c r="J584" s="4">
        <f>'Orderformular Color Kids'!J612</f>
        <v>0</v>
      </c>
      <c r="K584" s="4">
        <f>'Orderformular Color Kids'!K612</f>
        <v>0</v>
      </c>
      <c r="L584" s="4">
        <f>'Orderformular Color Kids'!L612</f>
        <v>0</v>
      </c>
      <c r="M584" s="7">
        <f>'Orderformular Color Kids'!M612</f>
        <v>0</v>
      </c>
      <c r="N584" s="7">
        <f>'Packliste Orig'!N589</f>
        <v>0</v>
      </c>
      <c r="O584" s="7">
        <f>'Orderformular Color Kids'!O612</f>
        <v>0</v>
      </c>
      <c r="P584" s="7">
        <f>'Packliste Orig'!P589</f>
        <v>0</v>
      </c>
      <c r="Q584" s="7">
        <f>'Orderformular Color Kids'!Q612</f>
        <v>0</v>
      </c>
      <c r="R584" s="7">
        <f>'Orderformular Color Kids'!R612</f>
        <v>0</v>
      </c>
      <c r="S584" s="6">
        <f t="shared" si="8"/>
        <v>0</v>
      </c>
      <c r="T584" s="50">
        <f>'Orderformular Color Kids'!U612</f>
        <v>0</v>
      </c>
    </row>
    <row r="585" spans="1:20" x14ac:dyDescent="0.2">
      <c r="A585" s="61">
        <f>'Orderformular Color Kids'!A613</f>
        <v>0</v>
      </c>
      <c r="B585" s="62">
        <f>'Orderformular Color Kids'!B613</f>
        <v>0</v>
      </c>
      <c r="C585" s="8">
        <f>'Orderformular Color Kids'!C613</f>
        <v>0</v>
      </c>
      <c r="D585" s="8">
        <f>'Orderformular Color Kids'!D613</f>
        <v>0</v>
      </c>
      <c r="E585" s="4">
        <f>'Orderformular Color Kids'!E613</f>
        <v>0</v>
      </c>
      <c r="F585" s="4">
        <f>'Orderformular Color Kids'!F613</f>
        <v>0</v>
      </c>
      <c r="G585" s="4">
        <f>'Orderformular Color Kids'!G613</f>
        <v>0</v>
      </c>
      <c r="H585" s="4">
        <f>'Orderformular Color Kids'!H613</f>
        <v>0</v>
      </c>
      <c r="I585" s="4">
        <f>'Orderformular Color Kids'!I613</f>
        <v>0</v>
      </c>
      <c r="J585" s="4">
        <f>'Orderformular Color Kids'!J613</f>
        <v>0</v>
      </c>
      <c r="K585" s="4">
        <f>'Orderformular Color Kids'!K613</f>
        <v>0</v>
      </c>
      <c r="L585" s="4">
        <f>'Orderformular Color Kids'!L613</f>
        <v>0</v>
      </c>
      <c r="M585" s="7">
        <f>'Orderformular Color Kids'!M613</f>
        <v>0</v>
      </c>
      <c r="N585" s="7">
        <f>'Packliste Orig'!N590</f>
        <v>0</v>
      </c>
      <c r="O585" s="7">
        <f>'Orderformular Color Kids'!O613</f>
        <v>0</v>
      </c>
      <c r="P585" s="7">
        <f>'Packliste Orig'!P590</f>
        <v>0</v>
      </c>
      <c r="Q585" s="7">
        <f>'Orderformular Color Kids'!Q613</f>
        <v>0</v>
      </c>
      <c r="R585" s="7">
        <f>'Orderformular Color Kids'!R613</f>
        <v>0</v>
      </c>
      <c r="S585" s="6">
        <f t="shared" si="8"/>
        <v>0</v>
      </c>
      <c r="T585" s="50">
        <f>'Orderformular Color Kids'!U613</f>
        <v>0</v>
      </c>
    </row>
    <row r="586" spans="1:20" x14ac:dyDescent="0.2">
      <c r="A586" s="61">
        <f>'Orderformular Color Kids'!A614</f>
        <v>0</v>
      </c>
      <c r="B586" s="62">
        <f>'Orderformular Color Kids'!B614</f>
        <v>0</v>
      </c>
      <c r="C586" s="8">
        <f>'Orderformular Color Kids'!C614</f>
        <v>0</v>
      </c>
      <c r="D586" s="8">
        <f>'Orderformular Color Kids'!D614</f>
        <v>0</v>
      </c>
      <c r="E586" s="4">
        <f>'Orderformular Color Kids'!E614</f>
        <v>0</v>
      </c>
      <c r="F586" s="4">
        <f>'Orderformular Color Kids'!F614</f>
        <v>0</v>
      </c>
      <c r="G586" s="4">
        <f>'Orderformular Color Kids'!G614</f>
        <v>0</v>
      </c>
      <c r="H586" s="4">
        <f>'Orderformular Color Kids'!H614</f>
        <v>0</v>
      </c>
      <c r="I586" s="4">
        <f>'Orderformular Color Kids'!I614</f>
        <v>0</v>
      </c>
      <c r="J586" s="4">
        <f>'Orderformular Color Kids'!J614</f>
        <v>0</v>
      </c>
      <c r="K586" s="4">
        <f>'Orderformular Color Kids'!K614</f>
        <v>0</v>
      </c>
      <c r="L586" s="4">
        <f>'Orderformular Color Kids'!L614</f>
        <v>0</v>
      </c>
      <c r="M586" s="7">
        <f>'Orderformular Color Kids'!M614</f>
        <v>0</v>
      </c>
      <c r="N586" s="7">
        <f>'Packliste Orig'!N591</f>
        <v>0</v>
      </c>
      <c r="O586" s="7">
        <f>'Orderformular Color Kids'!O614</f>
        <v>0</v>
      </c>
      <c r="P586" s="7">
        <f>'Packliste Orig'!P591</f>
        <v>0</v>
      </c>
      <c r="Q586" s="7">
        <f>'Orderformular Color Kids'!Q614</f>
        <v>0</v>
      </c>
      <c r="R586" s="7">
        <f>'Orderformular Color Kids'!R614</f>
        <v>0</v>
      </c>
      <c r="S586" s="6">
        <f t="shared" si="8"/>
        <v>0</v>
      </c>
      <c r="T586" s="50">
        <f>'Orderformular Color Kids'!U614</f>
        <v>0</v>
      </c>
    </row>
    <row r="587" spans="1:20" x14ac:dyDescent="0.2">
      <c r="A587" s="61">
        <f>'Orderformular Color Kids'!A615</f>
        <v>0</v>
      </c>
      <c r="B587" s="62">
        <f>'Orderformular Color Kids'!B615</f>
        <v>0</v>
      </c>
      <c r="C587" s="8">
        <f>'Orderformular Color Kids'!C615</f>
        <v>0</v>
      </c>
      <c r="D587" s="8">
        <f>'Orderformular Color Kids'!D615</f>
        <v>0</v>
      </c>
      <c r="E587" s="4">
        <f>'Orderformular Color Kids'!E615</f>
        <v>0</v>
      </c>
      <c r="F587" s="4">
        <f>'Orderformular Color Kids'!F615</f>
        <v>0</v>
      </c>
      <c r="G587" s="4">
        <f>'Orderformular Color Kids'!G615</f>
        <v>0</v>
      </c>
      <c r="H587" s="4">
        <f>'Orderformular Color Kids'!H615</f>
        <v>0</v>
      </c>
      <c r="I587" s="4">
        <f>'Orderformular Color Kids'!I615</f>
        <v>0</v>
      </c>
      <c r="J587" s="4">
        <f>'Orderformular Color Kids'!J615</f>
        <v>0</v>
      </c>
      <c r="K587" s="4">
        <f>'Orderformular Color Kids'!K615</f>
        <v>0</v>
      </c>
      <c r="L587" s="4">
        <f>'Orderformular Color Kids'!L615</f>
        <v>0</v>
      </c>
      <c r="M587" s="7">
        <f>'Orderformular Color Kids'!M615</f>
        <v>0</v>
      </c>
      <c r="N587" s="7">
        <f>'Packliste Orig'!N592</f>
        <v>0</v>
      </c>
      <c r="O587" s="7">
        <f>'Orderformular Color Kids'!O615</f>
        <v>0</v>
      </c>
      <c r="P587" s="7">
        <f>'Packliste Orig'!P592</f>
        <v>0</v>
      </c>
      <c r="Q587" s="7">
        <f>'Orderformular Color Kids'!Q615</f>
        <v>0</v>
      </c>
      <c r="R587" s="7">
        <f>'Orderformular Color Kids'!R615</f>
        <v>0</v>
      </c>
      <c r="S587" s="6">
        <f t="shared" si="8"/>
        <v>0</v>
      </c>
      <c r="T587" s="50">
        <f>'Orderformular Color Kids'!U615</f>
        <v>0</v>
      </c>
    </row>
    <row r="588" spans="1:20" x14ac:dyDescent="0.2">
      <c r="A588" s="61">
        <f>'Orderformular Color Kids'!A616</f>
        <v>0</v>
      </c>
      <c r="B588" s="62">
        <f>'Orderformular Color Kids'!B616</f>
        <v>0</v>
      </c>
      <c r="C588" s="8">
        <f>'Orderformular Color Kids'!C616</f>
        <v>0</v>
      </c>
      <c r="D588" s="8">
        <f>'Orderformular Color Kids'!D616</f>
        <v>0</v>
      </c>
      <c r="E588" s="4">
        <f>'Orderformular Color Kids'!E616</f>
        <v>0</v>
      </c>
      <c r="F588" s="4">
        <f>'Orderformular Color Kids'!F616</f>
        <v>0</v>
      </c>
      <c r="G588" s="4">
        <f>'Orderformular Color Kids'!G616</f>
        <v>0</v>
      </c>
      <c r="H588" s="4">
        <f>'Orderformular Color Kids'!H616</f>
        <v>0</v>
      </c>
      <c r="I588" s="4">
        <f>'Orderformular Color Kids'!I616</f>
        <v>0</v>
      </c>
      <c r="J588" s="4">
        <f>'Orderformular Color Kids'!J616</f>
        <v>0</v>
      </c>
      <c r="K588" s="4">
        <f>'Orderformular Color Kids'!K616</f>
        <v>0</v>
      </c>
      <c r="L588" s="4">
        <f>'Orderformular Color Kids'!L616</f>
        <v>0</v>
      </c>
      <c r="M588" s="7">
        <f>'Orderformular Color Kids'!M616</f>
        <v>0</v>
      </c>
      <c r="N588" s="7">
        <f>'Packliste Orig'!N593</f>
        <v>0</v>
      </c>
      <c r="O588" s="7">
        <f>'Orderformular Color Kids'!O616</f>
        <v>0</v>
      </c>
      <c r="P588" s="7">
        <f>'Packliste Orig'!P593</f>
        <v>0</v>
      </c>
      <c r="Q588" s="7">
        <f>'Orderformular Color Kids'!Q616</f>
        <v>0</v>
      </c>
      <c r="R588" s="7">
        <f>'Orderformular Color Kids'!R616</f>
        <v>0</v>
      </c>
      <c r="S588" s="6">
        <f t="shared" ref="S588:S651" si="9">SUM(E588:R588)</f>
        <v>0</v>
      </c>
      <c r="T588" s="50">
        <f>'Orderformular Color Kids'!U616</f>
        <v>0</v>
      </c>
    </row>
    <row r="589" spans="1:20" x14ac:dyDescent="0.2">
      <c r="A589" s="61">
        <f>'Orderformular Color Kids'!A617</f>
        <v>0</v>
      </c>
      <c r="B589" s="62">
        <f>'Orderformular Color Kids'!B617</f>
        <v>0</v>
      </c>
      <c r="C589" s="8">
        <f>'Orderformular Color Kids'!C617</f>
        <v>0</v>
      </c>
      <c r="D589" s="8">
        <f>'Orderformular Color Kids'!D617</f>
        <v>0</v>
      </c>
      <c r="E589" s="4">
        <f>'Orderformular Color Kids'!E617</f>
        <v>0</v>
      </c>
      <c r="F589" s="4">
        <f>'Orderformular Color Kids'!F617</f>
        <v>0</v>
      </c>
      <c r="G589" s="4">
        <f>'Orderformular Color Kids'!G617</f>
        <v>0</v>
      </c>
      <c r="H589" s="4">
        <f>'Orderformular Color Kids'!H617</f>
        <v>0</v>
      </c>
      <c r="I589" s="4">
        <f>'Orderformular Color Kids'!I617</f>
        <v>0</v>
      </c>
      <c r="J589" s="4">
        <f>'Orderformular Color Kids'!J617</f>
        <v>0</v>
      </c>
      <c r="K589" s="4">
        <f>'Orderformular Color Kids'!K617</f>
        <v>0</v>
      </c>
      <c r="L589" s="4">
        <f>'Orderformular Color Kids'!L617</f>
        <v>0</v>
      </c>
      <c r="M589" s="7">
        <f>'Orderformular Color Kids'!M617</f>
        <v>0</v>
      </c>
      <c r="N589" s="7">
        <f>'Packliste Orig'!N594</f>
        <v>0</v>
      </c>
      <c r="O589" s="7">
        <f>'Orderformular Color Kids'!O617</f>
        <v>0</v>
      </c>
      <c r="P589" s="7">
        <f>'Packliste Orig'!P594</f>
        <v>0</v>
      </c>
      <c r="Q589" s="7">
        <f>'Orderformular Color Kids'!Q617</f>
        <v>0</v>
      </c>
      <c r="R589" s="7">
        <f>'Orderformular Color Kids'!R617</f>
        <v>0</v>
      </c>
      <c r="S589" s="6">
        <f t="shared" si="9"/>
        <v>0</v>
      </c>
      <c r="T589" s="50">
        <f>'Orderformular Color Kids'!U617</f>
        <v>0</v>
      </c>
    </row>
    <row r="590" spans="1:20" x14ac:dyDescent="0.2">
      <c r="A590" s="61">
        <f>'Orderformular Color Kids'!A618</f>
        <v>0</v>
      </c>
      <c r="B590" s="62">
        <f>'Orderformular Color Kids'!B618</f>
        <v>0</v>
      </c>
      <c r="C590" s="8">
        <f>'Orderformular Color Kids'!C618</f>
        <v>0</v>
      </c>
      <c r="D590" s="8">
        <f>'Orderformular Color Kids'!D618</f>
        <v>0</v>
      </c>
      <c r="E590" s="4">
        <f>'Orderformular Color Kids'!E618</f>
        <v>0</v>
      </c>
      <c r="F590" s="4">
        <f>'Orderformular Color Kids'!F618</f>
        <v>0</v>
      </c>
      <c r="G590" s="4">
        <f>'Orderformular Color Kids'!G618</f>
        <v>0</v>
      </c>
      <c r="H590" s="4">
        <f>'Orderformular Color Kids'!H618</f>
        <v>0</v>
      </c>
      <c r="I590" s="4">
        <f>'Orderformular Color Kids'!I618</f>
        <v>0</v>
      </c>
      <c r="J590" s="4">
        <f>'Orderformular Color Kids'!J618</f>
        <v>0</v>
      </c>
      <c r="K590" s="4">
        <f>'Orderformular Color Kids'!K618</f>
        <v>0</v>
      </c>
      <c r="L590" s="4">
        <f>'Orderformular Color Kids'!L618</f>
        <v>0</v>
      </c>
      <c r="M590" s="7">
        <f>'Orderformular Color Kids'!M618</f>
        <v>0</v>
      </c>
      <c r="N590" s="7">
        <f>'Packliste Orig'!N595</f>
        <v>0</v>
      </c>
      <c r="O590" s="7">
        <f>'Orderformular Color Kids'!O618</f>
        <v>0</v>
      </c>
      <c r="P590" s="7">
        <f>'Packliste Orig'!P595</f>
        <v>0</v>
      </c>
      <c r="Q590" s="7">
        <f>'Orderformular Color Kids'!Q618</f>
        <v>0</v>
      </c>
      <c r="R590" s="7">
        <f>'Orderformular Color Kids'!R618</f>
        <v>0</v>
      </c>
      <c r="S590" s="6">
        <f t="shared" si="9"/>
        <v>0</v>
      </c>
      <c r="T590" s="50">
        <f>'Orderformular Color Kids'!U618</f>
        <v>0</v>
      </c>
    </row>
    <row r="591" spans="1:20" x14ac:dyDescent="0.2">
      <c r="A591" s="61">
        <f>'Orderformular Color Kids'!A619</f>
        <v>0</v>
      </c>
      <c r="B591" s="62">
        <f>'Orderformular Color Kids'!B619</f>
        <v>0</v>
      </c>
      <c r="C591" s="8">
        <f>'Orderformular Color Kids'!C619</f>
        <v>0</v>
      </c>
      <c r="D591" s="8">
        <f>'Orderformular Color Kids'!D619</f>
        <v>0</v>
      </c>
      <c r="E591" s="4">
        <f>'Orderformular Color Kids'!E619</f>
        <v>0</v>
      </c>
      <c r="F591" s="4">
        <f>'Orderformular Color Kids'!F619</f>
        <v>0</v>
      </c>
      <c r="G591" s="4">
        <f>'Orderformular Color Kids'!G619</f>
        <v>0</v>
      </c>
      <c r="H591" s="4">
        <f>'Orderformular Color Kids'!H619</f>
        <v>0</v>
      </c>
      <c r="I591" s="4">
        <f>'Orderformular Color Kids'!I619</f>
        <v>0</v>
      </c>
      <c r="J591" s="4">
        <f>'Orderformular Color Kids'!J619</f>
        <v>0</v>
      </c>
      <c r="K591" s="4">
        <f>'Orderformular Color Kids'!K619</f>
        <v>0</v>
      </c>
      <c r="L591" s="4">
        <f>'Orderformular Color Kids'!L619</f>
        <v>0</v>
      </c>
      <c r="M591" s="7">
        <f>'Orderformular Color Kids'!M619</f>
        <v>0</v>
      </c>
      <c r="N591" s="7">
        <f>'Packliste Orig'!N596</f>
        <v>0</v>
      </c>
      <c r="O591" s="7">
        <f>'Orderformular Color Kids'!O619</f>
        <v>0</v>
      </c>
      <c r="P591" s="7">
        <f>'Packliste Orig'!P596</f>
        <v>0</v>
      </c>
      <c r="Q591" s="7">
        <f>'Orderformular Color Kids'!Q619</f>
        <v>0</v>
      </c>
      <c r="R591" s="7">
        <f>'Orderformular Color Kids'!R619</f>
        <v>0</v>
      </c>
      <c r="S591" s="6">
        <f t="shared" si="9"/>
        <v>0</v>
      </c>
      <c r="T591" s="50">
        <f>'Orderformular Color Kids'!U619</f>
        <v>0</v>
      </c>
    </row>
    <row r="592" spans="1:20" x14ac:dyDescent="0.2">
      <c r="A592" s="61">
        <f>'Orderformular Color Kids'!A620</f>
        <v>0</v>
      </c>
      <c r="B592" s="62">
        <f>'Orderformular Color Kids'!B620</f>
        <v>0</v>
      </c>
      <c r="C592" s="8">
        <f>'Orderformular Color Kids'!C620</f>
        <v>0</v>
      </c>
      <c r="D592" s="8">
        <f>'Orderformular Color Kids'!D620</f>
        <v>0</v>
      </c>
      <c r="E592" s="4">
        <f>'Orderformular Color Kids'!E620</f>
        <v>0</v>
      </c>
      <c r="F592" s="4">
        <f>'Orderformular Color Kids'!F620</f>
        <v>0</v>
      </c>
      <c r="G592" s="4">
        <f>'Orderformular Color Kids'!G620</f>
        <v>0</v>
      </c>
      <c r="H592" s="4">
        <f>'Orderformular Color Kids'!H620</f>
        <v>0</v>
      </c>
      <c r="I592" s="4">
        <f>'Orderformular Color Kids'!I620</f>
        <v>0</v>
      </c>
      <c r="J592" s="4">
        <f>'Orderformular Color Kids'!J620</f>
        <v>0</v>
      </c>
      <c r="K592" s="4">
        <f>'Orderformular Color Kids'!K620</f>
        <v>0</v>
      </c>
      <c r="L592" s="4">
        <f>'Orderformular Color Kids'!L620</f>
        <v>0</v>
      </c>
      <c r="M592" s="7">
        <f>'Orderformular Color Kids'!M620</f>
        <v>0</v>
      </c>
      <c r="N592" s="7">
        <f>'Packliste Orig'!N597</f>
        <v>0</v>
      </c>
      <c r="O592" s="7">
        <f>'Orderformular Color Kids'!O620</f>
        <v>0</v>
      </c>
      <c r="P592" s="7">
        <f>'Packliste Orig'!P597</f>
        <v>0</v>
      </c>
      <c r="Q592" s="7">
        <f>'Orderformular Color Kids'!Q620</f>
        <v>0</v>
      </c>
      <c r="R592" s="7">
        <f>'Orderformular Color Kids'!R620</f>
        <v>0</v>
      </c>
      <c r="S592" s="6">
        <f t="shared" si="9"/>
        <v>0</v>
      </c>
      <c r="T592" s="50">
        <f>'Orderformular Color Kids'!U620</f>
        <v>0</v>
      </c>
    </row>
    <row r="593" spans="1:20" x14ac:dyDescent="0.2">
      <c r="A593" s="61">
        <f>'Orderformular Color Kids'!A621</f>
        <v>0</v>
      </c>
      <c r="B593" s="62">
        <f>'Orderformular Color Kids'!B621</f>
        <v>0</v>
      </c>
      <c r="C593" s="8">
        <f>'Orderformular Color Kids'!C621</f>
        <v>0</v>
      </c>
      <c r="D593" s="8">
        <f>'Orderformular Color Kids'!D621</f>
        <v>0</v>
      </c>
      <c r="E593" s="4">
        <f>'Orderformular Color Kids'!E621</f>
        <v>0</v>
      </c>
      <c r="F593" s="4">
        <f>'Orderformular Color Kids'!F621</f>
        <v>0</v>
      </c>
      <c r="G593" s="4">
        <f>'Orderformular Color Kids'!G621</f>
        <v>0</v>
      </c>
      <c r="H593" s="4">
        <f>'Orderformular Color Kids'!H621</f>
        <v>0</v>
      </c>
      <c r="I593" s="4">
        <f>'Orderformular Color Kids'!I621</f>
        <v>0</v>
      </c>
      <c r="J593" s="4">
        <f>'Orderformular Color Kids'!J621</f>
        <v>0</v>
      </c>
      <c r="K593" s="4">
        <f>'Orderformular Color Kids'!K621</f>
        <v>0</v>
      </c>
      <c r="L593" s="4">
        <f>'Orderformular Color Kids'!L621</f>
        <v>0</v>
      </c>
      <c r="M593" s="7">
        <f>'Orderformular Color Kids'!M621</f>
        <v>0</v>
      </c>
      <c r="N593" s="7">
        <f>'Packliste Orig'!N598</f>
        <v>0</v>
      </c>
      <c r="O593" s="7">
        <f>'Orderformular Color Kids'!O621</f>
        <v>0</v>
      </c>
      <c r="P593" s="7">
        <f>'Packliste Orig'!P598</f>
        <v>0</v>
      </c>
      <c r="Q593" s="7">
        <f>'Orderformular Color Kids'!Q621</f>
        <v>0</v>
      </c>
      <c r="R593" s="7">
        <f>'Orderformular Color Kids'!R621</f>
        <v>0</v>
      </c>
      <c r="S593" s="6">
        <f t="shared" si="9"/>
        <v>0</v>
      </c>
      <c r="T593" s="50">
        <f>'Orderformular Color Kids'!U621</f>
        <v>0</v>
      </c>
    </row>
    <row r="594" spans="1:20" x14ac:dyDescent="0.2">
      <c r="A594" s="61">
        <f>'Orderformular Color Kids'!A622</f>
        <v>0</v>
      </c>
      <c r="B594" s="62">
        <f>'Orderformular Color Kids'!B622</f>
        <v>0</v>
      </c>
      <c r="C594" s="8">
        <f>'Orderformular Color Kids'!C622</f>
        <v>0</v>
      </c>
      <c r="D594" s="8">
        <f>'Orderformular Color Kids'!D622</f>
        <v>0</v>
      </c>
      <c r="E594" s="4">
        <f>'Orderformular Color Kids'!E622</f>
        <v>0</v>
      </c>
      <c r="F594" s="4">
        <f>'Orderformular Color Kids'!F622</f>
        <v>0</v>
      </c>
      <c r="G594" s="4">
        <f>'Orderformular Color Kids'!G622</f>
        <v>0</v>
      </c>
      <c r="H594" s="4">
        <f>'Orderformular Color Kids'!H622</f>
        <v>0</v>
      </c>
      <c r="I594" s="4">
        <f>'Orderformular Color Kids'!I622</f>
        <v>0</v>
      </c>
      <c r="J594" s="4">
        <f>'Orderformular Color Kids'!J622</f>
        <v>0</v>
      </c>
      <c r="K594" s="4">
        <f>'Orderformular Color Kids'!K622</f>
        <v>0</v>
      </c>
      <c r="L594" s="4">
        <f>'Orderformular Color Kids'!L622</f>
        <v>0</v>
      </c>
      <c r="M594" s="7">
        <f>'Orderformular Color Kids'!M622</f>
        <v>0</v>
      </c>
      <c r="N594" s="7">
        <f>'Packliste Orig'!N599</f>
        <v>0</v>
      </c>
      <c r="O594" s="7">
        <f>'Orderformular Color Kids'!O622</f>
        <v>0</v>
      </c>
      <c r="P594" s="7">
        <f>'Packliste Orig'!P599</f>
        <v>0</v>
      </c>
      <c r="Q594" s="7">
        <f>'Orderformular Color Kids'!Q622</f>
        <v>0</v>
      </c>
      <c r="R594" s="7">
        <f>'Orderformular Color Kids'!R622</f>
        <v>0</v>
      </c>
      <c r="S594" s="6">
        <f t="shared" si="9"/>
        <v>0</v>
      </c>
      <c r="T594" s="50">
        <f>'Orderformular Color Kids'!U622</f>
        <v>0</v>
      </c>
    </row>
    <row r="595" spans="1:20" x14ac:dyDescent="0.2">
      <c r="A595" s="61">
        <f>'Orderformular Color Kids'!A623</f>
        <v>0</v>
      </c>
      <c r="B595" s="62">
        <f>'Orderformular Color Kids'!B623</f>
        <v>0</v>
      </c>
      <c r="C595" s="8">
        <f>'Orderformular Color Kids'!C623</f>
        <v>0</v>
      </c>
      <c r="D595" s="8">
        <f>'Orderformular Color Kids'!D623</f>
        <v>0</v>
      </c>
      <c r="E595" s="4">
        <f>'Orderformular Color Kids'!E623</f>
        <v>0</v>
      </c>
      <c r="F595" s="4">
        <f>'Orderformular Color Kids'!F623</f>
        <v>0</v>
      </c>
      <c r="G595" s="4">
        <f>'Orderformular Color Kids'!G623</f>
        <v>0</v>
      </c>
      <c r="H595" s="4">
        <f>'Orderformular Color Kids'!H623</f>
        <v>0</v>
      </c>
      <c r="I595" s="4">
        <f>'Orderformular Color Kids'!I623</f>
        <v>0</v>
      </c>
      <c r="J595" s="4">
        <f>'Orderformular Color Kids'!J623</f>
        <v>0</v>
      </c>
      <c r="K595" s="4">
        <f>'Orderformular Color Kids'!K623</f>
        <v>0</v>
      </c>
      <c r="L595" s="4">
        <f>'Orderformular Color Kids'!L623</f>
        <v>0</v>
      </c>
      <c r="M595" s="7">
        <f>'Orderformular Color Kids'!M623</f>
        <v>0</v>
      </c>
      <c r="N595" s="7">
        <f>'Packliste Orig'!N600</f>
        <v>0</v>
      </c>
      <c r="O595" s="7">
        <f>'Orderformular Color Kids'!O623</f>
        <v>0</v>
      </c>
      <c r="P595" s="7">
        <f>'Packliste Orig'!P600</f>
        <v>0</v>
      </c>
      <c r="Q595" s="7">
        <f>'Orderformular Color Kids'!Q623</f>
        <v>0</v>
      </c>
      <c r="R595" s="7">
        <f>'Orderformular Color Kids'!R623</f>
        <v>0</v>
      </c>
      <c r="S595" s="6">
        <f t="shared" si="9"/>
        <v>0</v>
      </c>
      <c r="T595" s="50">
        <f>'Orderformular Color Kids'!U623</f>
        <v>0</v>
      </c>
    </row>
    <row r="596" spans="1:20" x14ac:dyDescent="0.2">
      <c r="A596" s="61">
        <f>'Orderformular Color Kids'!A624</f>
        <v>0</v>
      </c>
      <c r="B596" s="62">
        <f>'Orderformular Color Kids'!B624</f>
        <v>0</v>
      </c>
      <c r="C596" s="8">
        <f>'Orderformular Color Kids'!C624</f>
        <v>0</v>
      </c>
      <c r="D596" s="8">
        <f>'Orderformular Color Kids'!D624</f>
        <v>0</v>
      </c>
      <c r="E596" s="4">
        <f>'Orderformular Color Kids'!E624</f>
        <v>0</v>
      </c>
      <c r="F596" s="4">
        <f>'Orderformular Color Kids'!F624</f>
        <v>0</v>
      </c>
      <c r="G596" s="4">
        <f>'Orderformular Color Kids'!G624</f>
        <v>0</v>
      </c>
      <c r="H596" s="4">
        <f>'Orderformular Color Kids'!H624</f>
        <v>0</v>
      </c>
      <c r="I596" s="4">
        <f>'Orderformular Color Kids'!I624</f>
        <v>0</v>
      </c>
      <c r="J596" s="4">
        <f>'Orderformular Color Kids'!J624</f>
        <v>0</v>
      </c>
      <c r="K596" s="4">
        <f>'Orderformular Color Kids'!K624</f>
        <v>0</v>
      </c>
      <c r="L596" s="4">
        <f>'Orderformular Color Kids'!L624</f>
        <v>0</v>
      </c>
      <c r="M596" s="7">
        <f>'Orderformular Color Kids'!M624</f>
        <v>0</v>
      </c>
      <c r="N596" s="7">
        <f>'Packliste Orig'!N601</f>
        <v>0</v>
      </c>
      <c r="O596" s="7">
        <f>'Orderformular Color Kids'!O624</f>
        <v>0</v>
      </c>
      <c r="P596" s="7">
        <f>'Packliste Orig'!P601</f>
        <v>0</v>
      </c>
      <c r="Q596" s="7">
        <f>'Orderformular Color Kids'!Q624</f>
        <v>0</v>
      </c>
      <c r="R596" s="7">
        <f>'Orderformular Color Kids'!R624</f>
        <v>0</v>
      </c>
      <c r="S596" s="6">
        <f t="shared" si="9"/>
        <v>0</v>
      </c>
      <c r="T596" s="50">
        <f>'Orderformular Color Kids'!U624</f>
        <v>0</v>
      </c>
    </row>
    <row r="597" spans="1:20" x14ac:dyDescent="0.2">
      <c r="A597" s="61">
        <f>'Orderformular Color Kids'!A625</f>
        <v>0</v>
      </c>
      <c r="B597" s="62">
        <f>'Orderformular Color Kids'!B625</f>
        <v>0</v>
      </c>
      <c r="C597" s="8">
        <f>'Orderformular Color Kids'!C625</f>
        <v>0</v>
      </c>
      <c r="D597" s="8">
        <f>'Orderformular Color Kids'!D625</f>
        <v>0</v>
      </c>
      <c r="E597" s="4">
        <f>'Orderformular Color Kids'!E625</f>
        <v>0</v>
      </c>
      <c r="F597" s="4">
        <f>'Orderformular Color Kids'!F625</f>
        <v>0</v>
      </c>
      <c r="G597" s="4">
        <f>'Orderformular Color Kids'!G625</f>
        <v>0</v>
      </c>
      <c r="H597" s="4">
        <f>'Orderformular Color Kids'!H625</f>
        <v>0</v>
      </c>
      <c r="I597" s="4">
        <f>'Orderformular Color Kids'!I625</f>
        <v>0</v>
      </c>
      <c r="J597" s="4">
        <f>'Orderformular Color Kids'!J625</f>
        <v>0</v>
      </c>
      <c r="K597" s="4">
        <f>'Orderformular Color Kids'!K625</f>
        <v>0</v>
      </c>
      <c r="L597" s="4">
        <f>'Orderformular Color Kids'!L625</f>
        <v>0</v>
      </c>
      <c r="M597" s="7">
        <f>'Orderformular Color Kids'!M625</f>
        <v>0</v>
      </c>
      <c r="N597" s="7">
        <f>'Packliste Orig'!N602</f>
        <v>0</v>
      </c>
      <c r="O597" s="7">
        <f>'Orderformular Color Kids'!O625</f>
        <v>0</v>
      </c>
      <c r="P597" s="7">
        <f>'Packliste Orig'!P602</f>
        <v>0</v>
      </c>
      <c r="Q597" s="7">
        <f>'Orderformular Color Kids'!Q625</f>
        <v>0</v>
      </c>
      <c r="R597" s="7">
        <f>'Orderformular Color Kids'!R625</f>
        <v>0</v>
      </c>
      <c r="S597" s="6">
        <f t="shared" si="9"/>
        <v>0</v>
      </c>
      <c r="T597" s="50">
        <f>'Orderformular Color Kids'!U625</f>
        <v>0</v>
      </c>
    </row>
    <row r="598" spans="1:20" x14ac:dyDescent="0.2">
      <c r="A598" s="61">
        <f>'Orderformular Color Kids'!A626</f>
        <v>0</v>
      </c>
      <c r="B598" s="62">
        <f>'Orderformular Color Kids'!B626</f>
        <v>0</v>
      </c>
      <c r="C598" s="8">
        <f>'Orderformular Color Kids'!C626</f>
        <v>0</v>
      </c>
      <c r="D598" s="8">
        <f>'Orderformular Color Kids'!D626</f>
        <v>0</v>
      </c>
      <c r="E598" s="4">
        <f>'Orderformular Color Kids'!E626</f>
        <v>0</v>
      </c>
      <c r="F598" s="4">
        <f>'Orderformular Color Kids'!F626</f>
        <v>0</v>
      </c>
      <c r="G598" s="4">
        <f>'Orderformular Color Kids'!G626</f>
        <v>0</v>
      </c>
      <c r="H598" s="4">
        <f>'Orderformular Color Kids'!H626</f>
        <v>0</v>
      </c>
      <c r="I598" s="4">
        <f>'Orderformular Color Kids'!I626</f>
        <v>0</v>
      </c>
      <c r="J598" s="4">
        <f>'Orderformular Color Kids'!J626</f>
        <v>0</v>
      </c>
      <c r="K598" s="4">
        <f>'Orderformular Color Kids'!K626</f>
        <v>0</v>
      </c>
      <c r="L598" s="4">
        <f>'Orderformular Color Kids'!L626</f>
        <v>0</v>
      </c>
      <c r="M598" s="7">
        <f>'Orderformular Color Kids'!M626</f>
        <v>0</v>
      </c>
      <c r="N598" s="7">
        <f>'Packliste Orig'!N603</f>
        <v>0</v>
      </c>
      <c r="O598" s="7">
        <f>'Orderformular Color Kids'!O626</f>
        <v>0</v>
      </c>
      <c r="P598" s="7">
        <f>'Packliste Orig'!P603</f>
        <v>0</v>
      </c>
      <c r="Q598" s="7">
        <f>'Orderformular Color Kids'!Q626</f>
        <v>0</v>
      </c>
      <c r="R598" s="7">
        <f>'Orderformular Color Kids'!R626</f>
        <v>0</v>
      </c>
      <c r="S598" s="6">
        <f t="shared" si="9"/>
        <v>0</v>
      </c>
      <c r="T598" s="50">
        <f>'Orderformular Color Kids'!U626</f>
        <v>0</v>
      </c>
    </row>
    <row r="599" spans="1:20" x14ac:dyDescent="0.2">
      <c r="A599" s="61">
        <f>'Orderformular Color Kids'!A627</f>
        <v>0</v>
      </c>
      <c r="B599" s="62">
        <f>'Orderformular Color Kids'!B627</f>
        <v>0</v>
      </c>
      <c r="C599" s="8">
        <f>'Orderformular Color Kids'!C627</f>
        <v>0</v>
      </c>
      <c r="D599" s="8">
        <f>'Orderformular Color Kids'!D627</f>
        <v>0</v>
      </c>
      <c r="E599" s="4">
        <f>'Orderformular Color Kids'!E627</f>
        <v>0</v>
      </c>
      <c r="F599" s="4">
        <f>'Orderformular Color Kids'!F627</f>
        <v>0</v>
      </c>
      <c r="G599" s="4">
        <f>'Orderformular Color Kids'!G627</f>
        <v>0</v>
      </c>
      <c r="H599" s="4">
        <f>'Orderformular Color Kids'!H627</f>
        <v>0</v>
      </c>
      <c r="I599" s="4">
        <f>'Orderformular Color Kids'!I627</f>
        <v>0</v>
      </c>
      <c r="J599" s="4">
        <f>'Orderformular Color Kids'!J627</f>
        <v>0</v>
      </c>
      <c r="K599" s="4">
        <f>'Orderformular Color Kids'!K627</f>
        <v>0</v>
      </c>
      <c r="L599" s="4">
        <f>'Orderformular Color Kids'!L627</f>
        <v>0</v>
      </c>
      <c r="M599" s="7">
        <f>'Orderformular Color Kids'!M627</f>
        <v>0</v>
      </c>
      <c r="N599" s="7">
        <f>'Packliste Orig'!N604</f>
        <v>0</v>
      </c>
      <c r="O599" s="7">
        <f>'Orderformular Color Kids'!O627</f>
        <v>0</v>
      </c>
      <c r="P599" s="7">
        <f>'Packliste Orig'!P604</f>
        <v>0</v>
      </c>
      <c r="Q599" s="7">
        <f>'Orderformular Color Kids'!Q627</f>
        <v>0</v>
      </c>
      <c r="R599" s="7">
        <f>'Orderformular Color Kids'!R627</f>
        <v>0</v>
      </c>
      <c r="S599" s="6">
        <f t="shared" si="9"/>
        <v>0</v>
      </c>
      <c r="T599" s="50">
        <f>'Orderformular Color Kids'!U627</f>
        <v>0</v>
      </c>
    </row>
    <row r="600" spans="1:20" x14ac:dyDescent="0.2">
      <c r="A600" s="61">
        <f>'Orderformular Color Kids'!A628</f>
        <v>0</v>
      </c>
      <c r="B600" s="62">
        <f>'Orderformular Color Kids'!B628</f>
        <v>0</v>
      </c>
      <c r="C600" s="8">
        <f>'Orderformular Color Kids'!C628</f>
        <v>0</v>
      </c>
      <c r="D600" s="8">
        <f>'Orderformular Color Kids'!D628</f>
        <v>0</v>
      </c>
      <c r="E600" s="4">
        <f>'Orderformular Color Kids'!E628</f>
        <v>0</v>
      </c>
      <c r="F600" s="4">
        <f>'Orderformular Color Kids'!F628</f>
        <v>0</v>
      </c>
      <c r="G600" s="4">
        <f>'Orderformular Color Kids'!G628</f>
        <v>0</v>
      </c>
      <c r="H600" s="4">
        <f>'Orderformular Color Kids'!H628</f>
        <v>0</v>
      </c>
      <c r="I600" s="4">
        <f>'Orderformular Color Kids'!I628</f>
        <v>0</v>
      </c>
      <c r="J600" s="4">
        <f>'Orderformular Color Kids'!J628</f>
        <v>0</v>
      </c>
      <c r="K600" s="4">
        <f>'Orderformular Color Kids'!K628</f>
        <v>0</v>
      </c>
      <c r="L600" s="4">
        <f>'Orderformular Color Kids'!L628</f>
        <v>0</v>
      </c>
      <c r="M600" s="7">
        <f>'Orderformular Color Kids'!M628</f>
        <v>0</v>
      </c>
      <c r="N600" s="7">
        <f>'Packliste Orig'!N605</f>
        <v>0</v>
      </c>
      <c r="O600" s="7">
        <f>'Orderformular Color Kids'!O628</f>
        <v>0</v>
      </c>
      <c r="P600" s="7">
        <f>'Packliste Orig'!P605</f>
        <v>0</v>
      </c>
      <c r="Q600" s="7">
        <f>'Orderformular Color Kids'!Q628</f>
        <v>0</v>
      </c>
      <c r="R600" s="7">
        <f>'Orderformular Color Kids'!R628</f>
        <v>0</v>
      </c>
      <c r="S600" s="6">
        <f t="shared" si="9"/>
        <v>0</v>
      </c>
      <c r="T600" s="50">
        <f>'Orderformular Color Kids'!U628</f>
        <v>0</v>
      </c>
    </row>
    <row r="601" spans="1:20" x14ac:dyDescent="0.2">
      <c r="A601" s="61">
        <f>'Orderformular Color Kids'!A629</f>
        <v>0</v>
      </c>
      <c r="B601" s="62">
        <f>'Orderformular Color Kids'!B629</f>
        <v>0</v>
      </c>
      <c r="C601" s="8">
        <f>'Orderformular Color Kids'!C629</f>
        <v>0</v>
      </c>
      <c r="D601" s="8">
        <f>'Orderformular Color Kids'!D629</f>
        <v>0</v>
      </c>
      <c r="E601" s="4">
        <f>'Orderformular Color Kids'!E629</f>
        <v>0</v>
      </c>
      <c r="F601" s="4">
        <f>'Orderformular Color Kids'!F629</f>
        <v>0</v>
      </c>
      <c r="G601" s="4">
        <f>'Orderformular Color Kids'!G629</f>
        <v>0</v>
      </c>
      <c r="H601" s="4">
        <f>'Orderformular Color Kids'!H629</f>
        <v>0</v>
      </c>
      <c r="I601" s="4">
        <f>'Orderformular Color Kids'!I629</f>
        <v>0</v>
      </c>
      <c r="J601" s="4">
        <f>'Orderformular Color Kids'!J629</f>
        <v>0</v>
      </c>
      <c r="K601" s="4">
        <f>'Orderformular Color Kids'!K629</f>
        <v>0</v>
      </c>
      <c r="L601" s="4">
        <f>'Orderformular Color Kids'!L629</f>
        <v>0</v>
      </c>
      <c r="M601" s="7">
        <f>'Orderformular Color Kids'!M629</f>
        <v>0</v>
      </c>
      <c r="N601" s="7">
        <f>'Packliste Orig'!N606</f>
        <v>0</v>
      </c>
      <c r="O601" s="7">
        <f>'Orderformular Color Kids'!O629</f>
        <v>0</v>
      </c>
      <c r="P601" s="7">
        <f>'Packliste Orig'!P606</f>
        <v>0</v>
      </c>
      <c r="Q601" s="7">
        <f>'Orderformular Color Kids'!Q629</f>
        <v>0</v>
      </c>
      <c r="R601" s="7">
        <f>'Orderformular Color Kids'!R629</f>
        <v>0</v>
      </c>
      <c r="S601" s="6">
        <f t="shared" si="9"/>
        <v>0</v>
      </c>
      <c r="T601" s="50">
        <f>'Orderformular Color Kids'!U629</f>
        <v>0</v>
      </c>
    </row>
    <row r="602" spans="1:20" x14ac:dyDescent="0.2">
      <c r="A602" s="61">
        <f>'Orderformular Color Kids'!A630</f>
        <v>0</v>
      </c>
      <c r="B602" s="62">
        <f>'Orderformular Color Kids'!B630</f>
        <v>0</v>
      </c>
      <c r="C602" s="8">
        <f>'Orderformular Color Kids'!C630</f>
        <v>0</v>
      </c>
      <c r="D602" s="8">
        <f>'Orderformular Color Kids'!D630</f>
        <v>0</v>
      </c>
      <c r="E602" s="4">
        <f>'Orderformular Color Kids'!E630</f>
        <v>0</v>
      </c>
      <c r="F602" s="4">
        <f>'Orderformular Color Kids'!F630</f>
        <v>0</v>
      </c>
      <c r="G602" s="4">
        <f>'Orderformular Color Kids'!G630</f>
        <v>0</v>
      </c>
      <c r="H602" s="4">
        <f>'Orderformular Color Kids'!H630</f>
        <v>0</v>
      </c>
      <c r="I602" s="4">
        <f>'Orderformular Color Kids'!I630</f>
        <v>0</v>
      </c>
      <c r="J602" s="4">
        <f>'Orderformular Color Kids'!J630</f>
        <v>0</v>
      </c>
      <c r="K602" s="4">
        <f>'Orderformular Color Kids'!K630</f>
        <v>0</v>
      </c>
      <c r="L602" s="4">
        <f>'Orderformular Color Kids'!L630</f>
        <v>0</v>
      </c>
      <c r="M602" s="7">
        <f>'Orderformular Color Kids'!M630</f>
        <v>0</v>
      </c>
      <c r="N602" s="7">
        <f>'Packliste Orig'!N607</f>
        <v>0</v>
      </c>
      <c r="O602" s="7">
        <f>'Orderformular Color Kids'!O630</f>
        <v>0</v>
      </c>
      <c r="P602" s="7">
        <f>'Packliste Orig'!P607</f>
        <v>0</v>
      </c>
      <c r="Q602" s="7">
        <f>'Orderformular Color Kids'!Q630</f>
        <v>0</v>
      </c>
      <c r="R602" s="7">
        <f>'Orderformular Color Kids'!R630</f>
        <v>0</v>
      </c>
      <c r="S602" s="6">
        <f t="shared" si="9"/>
        <v>0</v>
      </c>
      <c r="T602" s="50">
        <f>'Orderformular Color Kids'!U630</f>
        <v>0</v>
      </c>
    </row>
    <row r="603" spans="1:20" x14ac:dyDescent="0.2">
      <c r="A603" s="61">
        <f>'Orderformular Color Kids'!A631</f>
        <v>0</v>
      </c>
      <c r="B603" s="62">
        <f>'Orderformular Color Kids'!B631</f>
        <v>0</v>
      </c>
      <c r="C603" s="8">
        <f>'Orderformular Color Kids'!C631</f>
        <v>0</v>
      </c>
      <c r="D603" s="8">
        <f>'Orderformular Color Kids'!D631</f>
        <v>0</v>
      </c>
      <c r="E603" s="4">
        <f>'Orderformular Color Kids'!E631</f>
        <v>0</v>
      </c>
      <c r="F603" s="4">
        <f>'Orderformular Color Kids'!F631</f>
        <v>0</v>
      </c>
      <c r="G603" s="4">
        <f>'Orderformular Color Kids'!G631</f>
        <v>0</v>
      </c>
      <c r="H603" s="4">
        <f>'Orderformular Color Kids'!H631</f>
        <v>0</v>
      </c>
      <c r="I603" s="4">
        <f>'Orderformular Color Kids'!I631</f>
        <v>0</v>
      </c>
      <c r="J603" s="4">
        <f>'Orderformular Color Kids'!J631</f>
        <v>0</v>
      </c>
      <c r="K603" s="4">
        <f>'Orderformular Color Kids'!K631</f>
        <v>0</v>
      </c>
      <c r="L603" s="4">
        <f>'Orderformular Color Kids'!L631</f>
        <v>0</v>
      </c>
      <c r="M603" s="7">
        <f>'Orderformular Color Kids'!M631</f>
        <v>0</v>
      </c>
      <c r="N603" s="7">
        <f>'Packliste Orig'!N608</f>
        <v>0</v>
      </c>
      <c r="O603" s="7">
        <f>'Orderformular Color Kids'!O631</f>
        <v>0</v>
      </c>
      <c r="P603" s="7">
        <f>'Packliste Orig'!P608</f>
        <v>0</v>
      </c>
      <c r="Q603" s="7">
        <f>'Orderformular Color Kids'!Q631</f>
        <v>0</v>
      </c>
      <c r="R603" s="7">
        <f>'Orderformular Color Kids'!R631</f>
        <v>0</v>
      </c>
      <c r="S603" s="6">
        <f t="shared" si="9"/>
        <v>0</v>
      </c>
      <c r="T603" s="50">
        <f>'Orderformular Color Kids'!U631</f>
        <v>0</v>
      </c>
    </row>
    <row r="604" spans="1:20" x14ac:dyDescent="0.2">
      <c r="A604" s="61">
        <f>'Orderformular Color Kids'!A632</f>
        <v>0</v>
      </c>
      <c r="B604" s="62">
        <f>'Orderformular Color Kids'!B632</f>
        <v>0</v>
      </c>
      <c r="C604" s="8">
        <f>'Orderformular Color Kids'!C632</f>
        <v>0</v>
      </c>
      <c r="D604" s="8">
        <f>'Orderformular Color Kids'!D632</f>
        <v>0</v>
      </c>
      <c r="E604" s="4">
        <f>'Orderformular Color Kids'!E632</f>
        <v>0</v>
      </c>
      <c r="F604" s="4">
        <f>'Orderformular Color Kids'!F632</f>
        <v>0</v>
      </c>
      <c r="G604" s="4">
        <f>'Orderformular Color Kids'!G632</f>
        <v>0</v>
      </c>
      <c r="H604" s="4">
        <f>'Orderformular Color Kids'!H632</f>
        <v>0</v>
      </c>
      <c r="I604" s="4">
        <f>'Orderformular Color Kids'!I632</f>
        <v>0</v>
      </c>
      <c r="J604" s="4">
        <f>'Orderformular Color Kids'!J632</f>
        <v>0</v>
      </c>
      <c r="K604" s="4">
        <f>'Orderformular Color Kids'!K632</f>
        <v>0</v>
      </c>
      <c r="L604" s="4">
        <f>'Orderformular Color Kids'!L632</f>
        <v>0</v>
      </c>
      <c r="M604" s="7">
        <f>'Orderformular Color Kids'!M632</f>
        <v>0</v>
      </c>
      <c r="N604" s="7">
        <f>'Packliste Orig'!N609</f>
        <v>0</v>
      </c>
      <c r="O604" s="7">
        <f>'Orderformular Color Kids'!O632</f>
        <v>0</v>
      </c>
      <c r="P604" s="7">
        <f>'Packliste Orig'!P609</f>
        <v>0</v>
      </c>
      <c r="Q604" s="7">
        <f>'Orderformular Color Kids'!Q632</f>
        <v>0</v>
      </c>
      <c r="R604" s="7">
        <f>'Orderformular Color Kids'!R632</f>
        <v>0</v>
      </c>
      <c r="S604" s="6">
        <f t="shared" si="9"/>
        <v>0</v>
      </c>
      <c r="T604" s="50">
        <f>'Orderformular Color Kids'!U632</f>
        <v>0</v>
      </c>
    </row>
    <row r="605" spans="1:20" x14ac:dyDescent="0.2">
      <c r="A605" s="61">
        <f>'Orderformular Color Kids'!A633</f>
        <v>0</v>
      </c>
      <c r="B605" s="62">
        <f>'Orderformular Color Kids'!B633</f>
        <v>0</v>
      </c>
      <c r="C605" s="8">
        <f>'Orderformular Color Kids'!C633</f>
        <v>0</v>
      </c>
      <c r="D605" s="8">
        <f>'Orderformular Color Kids'!D633</f>
        <v>0</v>
      </c>
      <c r="E605" s="4">
        <f>'Orderformular Color Kids'!E633</f>
        <v>0</v>
      </c>
      <c r="F605" s="4">
        <f>'Orderformular Color Kids'!F633</f>
        <v>0</v>
      </c>
      <c r="G605" s="4">
        <f>'Orderformular Color Kids'!G633</f>
        <v>0</v>
      </c>
      <c r="H605" s="4">
        <f>'Orderformular Color Kids'!H633</f>
        <v>0</v>
      </c>
      <c r="I605" s="4">
        <f>'Orderformular Color Kids'!I633</f>
        <v>0</v>
      </c>
      <c r="J605" s="4">
        <f>'Orderformular Color Kids'!J633</f>
        <v>0</v>
      </c>
      <c r="K605" s="4">
        <f>'Orderformular Color Kids'!K633</f>
        <v>0</v>
      </c>
      <c r="L605" s="4">
        <f>'Orderformular Color Kids'!L633</f>
        <v>0</v>
      </c>
      <c r="M605" s="7">
        <f>'Orderformular Color Kids'!M633</f>
        <v>0</v>
      </c>
      <c r="N605" s="7">
        <f>'Packliste Orig'!N610</f>
        <v>0</v>
      </c>
      <c r="O605" s="7">
        <f>'Orderformular Color Kids'!O633</f>
        <v>0</v>
      </c>
      <c r="P605" s="7">
        <f>'Packliste Orig'!P610</f>
        <v>0</v>
      </c>
      <c r="Q605" s="7">
        <f>'Orderformular Color Kids'!Q633</f>
        <v>0</v>
      </c>
      <c r="R605" s="7">
        <f>'Orderformular Color Kids'!R633</f>
        <v>0</v>
      </c>
      <c r="S605" s="6">
        <f t="shared" si="9"/>
        <v>0</v>
      </c>
      <c r="T605" s="50">
        <f>'Orderformular Color Kids'!U633</f>
        <v>0</v>
      </c>
    </row>
    <row r="606" spans="1:20" x14ac:dyDescent="0.2">
      <c r="A606" s="61">
        <f>'Orderformular Color Kids'!A634</f>
        <v>0</v>
      </c>
      <c r="B606" s="62">
        <f>'Orderformular Color Kids'!B634</f>
        <v>0</v>
      </c>
      <c r="C606" s="8">
        <f>'Orderformular Color Kids'!C634</f>
        <v>0</v>
      </c>
      <c r="D606" s="8">
        <f>'Orderformular Color Kids'!D634</f>
        <v>0</v>
      </c>
      <c r="E606" s="4">
        <f>'Orderformular Color Kids'!E634</f>
        <v>0</v>
      </c>
      <c r="F606" s="4">
        <f>'Orderformular Color Kids'!F634</f>
        <v>0</v>
      </c>
      <c r="G606" s="4">
        <f>'Orderformular Color Kids'!G634</f>
        <v>0</v>
      </c>
      <c r="H606" s="4">
        <f>'Orderformular Color Kids'!H634</f>
        <v>0</v>
      </c>
      <c r="I606" s="4">
        <f>'Orderformular Color Kids'!I634</f>
        <v>0</v>
      </c>
      <c r="J606" s="4">
        <f>'Orderformular Color Kids'!J634</f>
        <v>0</v>
      </c>
      <c r="K606" s="4">
        <f>'Orderformular Color Kids'!K634</f>
        <v>0</v>
      </c>
      <c r="L606" s="4">
        <f>'Orderformular Color Kids'!L634</f>
        <v>0</v>
      </c>
      <c r="M606" s="7">
        <f>'Orderformular Color Kids'!M634</f>
        <v>0</v>
      </c>
      <c r="N606" s="7">
        <f>'Packliste Orig'!N611</f>
        <v>0</v>
      </c>
      <c r="O606" s="7">
        <f>'Orderformular Color Kids'!O634</f>
        <v>0</v>
      </c>
      <c r="P606" s="7">
        <f>'Packliste Orig'!P611</f>
        <v>0</v>
      </c>
      <c r="Q606" s="7">
        <f>'Orderformular Color Kids'!Q634</f>
        <v>0</v>
      </c>
      <c r="R606" s="7">
        <f>'Orderformular Color Kids'!R634</f>
        <v>0</v>
      </c>
      <c r="S606" s="6">
        <f t="shared" si="9"/>
        <v>0</v>
      </c>
      <c r="T606" s="50">
        <f>'Orderformular Color Kids'!U634</f>
        <v>0</v>
      </c>
    </row>
    <row r="607" spans="1:20" x14ac:dyDescent="0.2">
      <c r="A607" s="61">
        <f>'Orderformular Color Kids'!A635</f>
        <v>0</v>
      </c>
      <c r="B607" s="62">
        <f>'Orderformular Color Kids'!B635</f>
        <v>0</v>
      </c>
      <c r="C607" s="8">
        <f>'Orderformular Color Kids'!C635</f>
        <v>0</v>
      </c>
      <c r="D607" s="8">
        <f>'Orderformular Color Kids'!D635</f>
        <v>0</v>
      </c>
      <c r="E607" s="4">
        <f>'Orderformular Color Kids'!E635</f>
        <v>0</v>
      </c>
      <c r="F607" s="4">
        <f>'Orderformular Color Kids'!F635</f>
        <v>0</v>
      </c>
      <c r="G607" s="4">
        <f>'Orderformular Color Kids'!G635</f>
        <v>0</v>
      </c>
      <c r="H607" s="4">
        <f>'Orderformular Color Kids'!H635</f>
        <v>0</v>
      </c>
      <c r="I607" s="4">
        <f>'Orderformular Color Kids'!I635</f>
        <v>0</v>
      </c>
      <c r="J607" s="4">
        <f>'Orderformular Color Kids'!J635</f>
        <v>0</v>
      </c>
      <c r="K607" s="4">
        <f>'Orderformular Color Kids'!K635</f>
        <v>0</v>
      </c>
      <c r="L607" s="4">
        <f>'Orderformular Color Kids'!L635</f>
        <v>0</v>
      </c>
      <c r="M607" s="7">
        <f>'Orderformular Color Kids'!M635</f>
        <v>0</v>
      </c>
      <c r="N607" s="7">
        <f>'Packliste Orig'!N612</f>
        <v>0</v>
      </c>
      <c r="O607" s="7">
        <f>'Orderformular Color Kids'!O635</f>
        <v>0</v>
      </c>
      <c r="P607" s="7">
        <f>'Packliste Orig'!P612</f>
        <v>0</v>
      </c>
      <c r="Q607" s="7">
        <f>'Orderformular Color Kids'!Q635</f>
        <v>0</v>
      </c>
      <c r="R607" s="7">
        <f>'Orderformular Color Kids'!R635</f>
        <v>0</v>
      </c>
      <c r="S607" s="6">
        <f t="shared" si="9"/>
        <v>0</v>
      </c>
      <c r="T607" s="50">
        <f>'Orderformular Color Kids'!U635</f>
        <v>0</v>
      </c>
    </row>
    <row r="608" spans="1:20" x14ac:dyDescent="0.2">
      <c r="A608" s="61">
        <f>'Orderformular Color Kids'!A636</f>
        <v>0</v>
      </c>
      <c r="B608" s="62">
        <f>'Orderformular Color Kids'!B636</f>
        <v>0</v>
      </c>
      <c r="C608" s="8">
        <f>'Orderformular Color Kids'!C636</f>
        <v>0</v>
      </c>
      <c r="D608" s="8">
        <f>'Orderformular Color Kids'!D636</f>
        <v>0</v>
      </c>
      <c r="E608" s="4">
        <f>'Orderformular Color Kids'!E636</f>
        <v>0</v>
      </c>
      <c r="F608" s="4">
        <f>'Orderformular Color Kids'!F636</f>
        <v>0</v>
      </c>
      <c r="G608" s="4">
        <f>'Orderformular Color Kids'!G636</f>
        <v>0</v>
      </c>
      <c r="H608" s="4">
        <f>'Orderformular Color Kids'!H636</f>
        <v>0</v>
      </c>
      <c r="I608" s="4">
        <f>'Orderformular Color Kids'!I636</f>
        <v>0</v>
      </c>
      <c r="J608" s="4">
        <f>'Orderformular Color Kids'!J636</f>
        <v>0</v>
      </c>
      <c r="K608" s="4">
        <f>'Orderformular Color Kids'!K636</f>
        <v>0</v>
      </c>
      <c r="L608" s="4">
        <f>'Orderformular Color Kids'!L636</f>
        <v>0</v>
      </c>
      <c r="M608" s="7">
        <f>'Orderformular Color Kids'!M636</f>
        <v>0</v>
      </c>
      <c r="N608" s="7">
        <f>'Packliste Orig'!N613</f>
        <v>0</v>
      </c>
      <c r="O608" s="7">
        <f>'Orderformular Color Kids'!O636</f>
        <v>0</v>
      </c>
      <c r="P608" s="7">
        <f>'Packliste Orig'!P613</f>
        <v>0</v>
      </c>
      <c r="Q608" s="7">
        <f>'Orderformular Color Kids'!Q636</f>
        <v>0</v>
      </c>
      <c r="R608" s="7">
        <f>'Orderformular Color Kids'!R636</f>
        <v>0</v>
      </c>
      <c r="S608" s="6">
        <f t="shared" si="9"/>
        <v>0</v>
      </c>
      <c r="T608" s="50">
        <f>'Orderformular Color Kids'!U636</f>
        <v>0</v>
      </c>
    </row>
    <row r="609" spans="1:20" x14ac:dyDescent="0.2">
      <c r="A609" s="61">
        <f>'Orderformular Color Kids'!A637</f>
        <v>0</v>
      </c>
      <c r="B609" s="62">
        <f>'Orderformular Color Kids'!B637</f>
        <v>0</v>
      </c>
      <c r="C609" s="8">
        <f>'Orderformular Color Kids'!C637</f>
        <v>0</v>
      </c>
      <c r="D609" s="8">
        <f>'Orderformular Color Kids'!D637</f>
        <v>0</v>
      </c>
      <c r="E609" s="4">
        <f>'Orderformular Color Kids'!E637</f>
        <v>0</v>
      </c>
      <c r="F609" s="4">
        <f>'Orderformular Color Kids'!F637</f>
        <v>0</v>
      </c>
      <c r="G609" s="4">
        <f>'Orderformular Color Kids'!G637</f>
        <v>0</v>
      </c>
      <c r="H609" s="4">
        <f>'Orderformular Color Kids'!H637</f>
        <v>0</v>
      </c>
      <c r="I609" s="4">
        <f>'Orderformular Color Kids'!I637</f>
        <v>0</v>
      </c>
      <c r="J609" s="4">
        <f>'Orderformular Color Kids'!J637</f>
        <v>0</v>
      </c>
      <c r="K609" s="4">
        <f>'Orderformular Color Kids'!K637</f>
        <v>0</v>
      </c>
      <c r="L609" s="4">
        <f>'Orderformular Color Kids'!L637</f>
        <v>0</v>
      </c>
      <c r="M609" s="7">
        <f>'Orderformular Color Kids'!M637</f>
        <v>0</v>
      </c>
      <c r="N609" s="7">
        <f>'Packliste Orig'!N614</f>
        <v>0</v>
      </c>
      <c r="O609" s="7">
        <f>'Orderformular Color Kids'!O637</f>
        <v>0</v>
      </c>
      <c r="P609" s="7">
        <f>'Packliste Orig'!P614</f>
        <v>0</v>
      </c>
      <c r="Q609" s="7">
        <f>'Orderformular Color Kids'!Q637</f>
        <v>0</v>
      </c>
      <c r="R609" s="7">
        <f>'Orderformular Color Kids'!R637</f>
        <v>0</v>
      </c>
      <c r="S609" s="6">
        <f t="shared" si="9"/>
        <v>0</v>
      </c>
      <c r="T609" s="50">
        <f>'Orderformular Color Kids'!U637</f>
        <v>0</v>
      </c>
    </row>
    <row r="610" spans="1:20" x14ac:dyDescent="0.2">
      <c r="A610" s="61">
        <f>'Orderformular Color Kids'!A638</f>
        <v>0</v>
      </c>
      <c r="B610" s="62">
        <f>'Orderformular Color Kids'!B638</f>
        <v>0</v>
      </c>
      <c r="C610" s="8">
        <f>'Orderformular Color Kids'!C638</f>
        <v>0</v>
      </c>
      <c r="D610" s="8">
        <f>'Orderformular Color Kids'!D638</f>
        <v>0</v>
      </c>
      <c r="E610" s="4">
        <f>'Orderformular Color Kids'!E638</f>
        <v>0</v>
      </c>
      <c r="F610" s="4">
        <f>'Orderformular Color Kids'!F638</f>
        <v>0</v>
      </c>
      <c r="G610" s="4">
        <f>'Orderformular Color Kids'!G638</f>
        <v>0</v>
      </c>
      <c r="H610" s="4">
        <f>'Orderformular Color Kids'!H638</f>
        <v>0</v>
      </c>
      <c r="I610" s="4">
        <f>'Orderformular Color Kids'!I638</f>
        <v>0</v>
      </c>
      <c r="J610" s="4">
        <f>'Orderformular Color Kids'!J638</f>
        <v>0</v>
      </c>
      <c r="K610" s="4">
        <f>'Orderformular Color Kids'!K638</f>
        <v>0</v>
      </c>
      <c r="L610" s="4">
        <f>'Orderformular Color Kids'!L638</f>
        <v>0</v>
      </c>
      <c r="M610" s="7">
        <f>'Orderformular Color Kids'!M638</f>
        <v>0</v>
      </c>
      <c r="N610" s="7">
        <f>'Packliste Orig'!N615</f>
        <v>0</v>
      </c>
      <c r="O610" s="7">
        <f>'Orderformular Color Kids'!O638</f>
        <v>0</v>
      </c>
      <c r="P610" s="7">
        <f>'Packliste Orig'!P615</f>
        <v>0</v>
      </c>
      <c r="Q610" s="7">
        <f>'Orderformular Color Kids'!Q638</f>
        <v>0</v>
      </c>
      <c r="R610" s="7">
        <f>'Orderformular Color Kids'!R638</f>
        <v>0</v>
      </c>
      <c r="S610" s="6">
        <f t="shared" si="9"/>
        <v>0</v>
      </c>
      <c r="T610" s="50">
        <f>'Orderformular Color Kids'!U638</f>
        <v>0</v>
      </c>
    </row>
    <row r="611" spans="1:20" x14ac:dyDescent="0.2">
      <c r="A611" s="61">
        <f>'Orderformular Color Kids'!A639</f>
        <v>0</v>
      </c>
      <c r="B611" s="62">
        <f>'Orderformular Color Kids'!B639</f>
        <v>0</v>
      </c>
      <c r="C611" s="8">
        <f>'Orderformular Color Kids'!C639</f>
        <v>0</v>
      </c>
      <c r="D611" s="8">
        <f>'Orderformular Color Kids'!D639</f>
        <v>0</v>
      </c>
      <c r="E611" s="4">
        <f>'Orderformular Color Kids'!E639</f>
        <v>0</v>
      </c>
      <c r="F611" s="4">
        <f>'Orderformular Color Kids'!F639</f>
        <v>0</v>
      </c>
      <c r="G611" s="4">
        <f>'Orderformular Color Kids'!G639</f>
        <v>0</v>
      </c>
      <c r="H611" s="4">
        <f>'Orderformular Color Kids'!H639</f>
        <v>0</v>
      </c>
      <c r="I611" s="4">
        <f>'Orderformular Color Kids'!I639</f>
        <v>0</v>
      </c>
      <c r="J611" s="4">
        <f>'Orderformular Color Kids'!J639</f>
        <v>0</v>
      </c>
      <c r="K611" s="4">
        <f>'Orderformular Color Kids'!K639</f>
        <v>0</v>
      </c>
      <c r="L611" s="4">
        <f>'Orderformular Color Kids'!L639</f>
        <v>0</v>
      </c>
      <c r="M611" s="7">
        <f>'Orderformular Color Kids'!M639</f>
        <v>0</v>
      </c>
      <c r="N611" s="7">
        <f>'Packliste Orig'!N616</f>
        <v>0</v>
      </c>
      <c r="O611" s="7">
        <f>'Orderformular Color Kids'!O639</f>
        <v>0</v>
      </c>
      <c r="P611" s="7">
        <f>'Packliste Orig'!P616</f>
        <v>0</v>
      </c>
      <c r="Q611" s="7">
        <f>'Orderformular Color Kids'!Q639</f>
        <v>0</v>
      </c>
      <c r="R611" s="7">
        <f>'Orderformular Color Kids'!R639</f>
        <v>0</v>
      </c>
      <c r="S611" s="6">
        <f t="shared" si="9"/>
        <v>0</v>
      </c>
      <c r="T611" s="50">
        <f>'Orderformular Color Kids'!U639</f>
        <v>0</v>
      </c>
    </row>
    <row r="612" spans="1:20" x14ac:dyDescent="0.2">
      <c r="A612" s="61">
        <f>'Orderformular Color Kids'!A640</f>
        <v>0</v>
      </c>
      <c r="B612" s="62">
        <f>'Orderformular Color Kids'!B640</f>
        <v>0</v>
      </c>
      <c r="C612" s="8">
        <f>'Orderformular Color Kids'!C640</f>
        <v>0</v>
      </c>
      <c r="D612" s="8">
        <f>'Orderformular Color Kids'!D640</f>
        <v>0</v>
      </c>
      <c r="E612" s="4">
        <f>'Orderformular Color Kids'!E640</f>
        <v>0</v>
      </c>
      <c r="F612" s="4">
        <f>'Orderformular Color Kids'!F640</f>
        <v>0</v>
      </c>
      <c r="G612" s="4">
        <f>'Orderformular Color Kids'!G640</f>
        <v>0</v>
      </c>
      <c r="H612" s="4">
        <f>'Orderformular Color Kids'!H640</f>
        <v>0</v>
      </c>
      <c r="I612" s="4">
        <f>'Orderformular Color Kids'!I640</f>
        <v>0</v>
      </c>
      <c r="J612" s="4">
        <f>'Orderformular Color Kids'!J640</f>
        <v>0</v>
      </c>
      <c r="K612" s="4">
        <f>'Orderformular Color Kids'!K640</f>
        <v>0</v>
      </c>
      <c r="L612" s="4">
        <f>'Orderformular Color Kids'!L640</f>
        <v>0</v>
      </c>
      <c r="M612" s="7">
        <f>'Orderformular Color Kids'!M640</f>
        <v>0</v>
      </c>
      <c r="N612" s="7">
        <f>'Packliste Orig'!N617</f>
        <v>0</v>
      </c>
      <c r="O612" s="7">
        <f>'Orderformular Color Kids'!O640</f>
        <v>0</v>
      </c>
      <c r="P612" s="7">
        <f>'Packliste Orig'!P617</f>
        <v>0</v>
      </c>
      <c r="Q612" s="7">
        <f>'Orderformular Color Kids'!Q640</f>
        <v>0</v>
      </c>
      <c r="R612" s="7">
        <f>'Orderformular Color Kids'!R640</f>
        <v>0</v>
      </c>
      <c r="S612" s="6">
        <f t="shared" si="9"/>
        <v>0</v>
      </c>
      <c r="T612" s="50">
        <f>'Orderformular Color Kids'!U640</f>
        <v>0</v>
      </c>
    </row>
    <row r="613" spans="1:20" x14ac:dyDescent="0.2">
      <c r="A613" s="61">
        <f>'Orderformular Color Kids'!A641</f>
        <v>0</v>
      </c>
      <c r="B613" s="62">
        <f>'Orderformular Color Kids'!B641</f>
        <v>0</v>
      </c>
      <c r="C613" s="8">
        <f>'Orderformular Color Kids'!C641</f>
        <v>0</v>
      </c>
      <c r="D613" s="8">
        <f>'Orderformular Color Kids'!D641</f>
        <v>0</v>
      </c>
      <c r="E613" s="4">
        <f>'Orderformular Color Kids'!E641</f>
        <v>0</v>
      </c>
      <c r="F613" s="4">
        <f>'Orderformular Color Kids'!F641</f>
        <v>0</v>
      </c>
      <c r="G613" s="4">
        <f>'Orderformular Color Kids'!G641</f>
        <v>0</v>
      </c>
      <c r="H613" s="4">
        <f>'Orderformular Color Kids'!H641</f>
        <v>0</v>
      </c>
      <c r="I613" s="4">
        <f>'Orderformular Color Kids'!I641</f>
        <v>0</v>
      </c>
      <c r="J613" s="4">
        <f>'Orderformular Color Kids'!J641</f>
        <v>0</v>
      </c>
      <c r="K613" s="4">
        <f>'Orderformular Color Kids'!K641</f>
        <v>0</v>
      </c>
      <c r="L613" s="4">
        <f>'Orderformular Color Kids'!L641</f>
        <v>0</v>
      </c>
      <c r="M613" s="7">
        <f>'Orderformular Color Kids'!M641</f>
        <v>0</v>
      </c>
      <c r="N613" s="7">
        <f>'Packliste Orig'!N618</f>
        <v>0</v>
      </c>
      <c r="O613" s="7">
        <f>'Orderformular Color Kids'!O641</f>
        <v>0</v>
      </c>
      <c r="P613" s="7">
        <f>'Packliste Orig'!P618</f>
        <v>0</v>
      </c>
      <c r="Q613" s="7">
        <f>'Orderformular Color Kids'!Q641</f>
        <v>0</v>
      </c>
      <c r="R613" s="7">
        <f>'Orderformular Color Kids'!R641</f>
        <v>0</v>
      </c>
      <c r="S613" s="6">
        <f t="shared" si="9"/>
        <v>0</v>
      </c>
      <c r="T613" s="50">
        <f>'Orderformular Color Kids'!U641</f>
        <v>0</v>
      </c>
    </row>
    <row r="614" spans="1:20" x14ac:dyDescent="0.2">
      <c r="A614" s="61">
        <f>'Orderformular Color Kids'!A642</f>
        <v>0</v>
      </c>
      <c r="B614" s="62">
        <f>'Orderformular Color Kids'!B642</f>
        <v>0</v>
      </c>
      <c r="C614" s="8">
        <f>'Orderformular Color Kids'!C642</f>
        <v>0</v>
      </c>
      <c r="D614" s="8">
        <f>'Orderformular Color Kids'!D642</f>
        <v>0</v>
      </c>
      <c r="E614" s="4">
        <f>'Orderformular Color Kids'!E642</f>
        <v>0</v>
      </c>
      <c r="F614" s="4">
        <f>'Orderformular Color Kids'!F642</f>
        <v>0</v>
      </c>
      <c r="G614" s="4">
        <f>'Orderformular Color Kids'!G642</f>
        <v>0</v>
      </c>
      <c r="H614" s="4">
        <f>'Orderformular Color Kids'!H642</f>
        <v>0</v>
      </c>
      <c r="I614" s="4">
        <f>'Orderformular Color Kids'!I642</f>
        <v>0</v>
      </c>
      <c r="J614" s="4">
        <f>'Orderformular Color Kids'!J642</f>
        <v>0</v>
      </c>
      <c r="K614" s="4">
        <f>'Orderformular Color Kids'!K642</f>
        <v>0</v>
      </c>
      <c r="L614" s="4">
        <f>'Orderformular Color Kids'!L642</f>
        <v>0</v>
      </c>
      <c r="M614" s="7">
        <f>'Orderformular Color Kids'!M642</f>
        <v>0</v>
      </c>
      <c r="N614" s="7">
        <f>'Packliste Orig'!N619</f>
        <v>0</v>
      </c>
      <c r="O614" s="7">
        <f>'Orderformular Color Kids'!O642</f>
        <v>0</v>
      </c>
      <c r="P614" s="7">
        <f>'Packliste Orig'!P619</f>
        <v>0</v>
      </c>
      <c r="Q614" s="7">
        <f>'Orderformular Color Kids'!Q642</f>
        <v>0</v>
      </c>
      <c r="R614" s="7">
        <f>'Orderformular Color Kids'!R642</f>
        <v>0</v>
      </c>
      <c r="S614" s="6">
        <f t="shared" si="9"/>
        <v>0</v>
      </c>
      <c r="T614" s="50">
        <f>'Orderformular Color Kids'!U642</f>
        <v>0</v>
      </c>
    </row>
    <row r="615" spans="1:20" x14ac:dyDescent="0.2">
      <c r="A615" s="61">
        <f>'Orderformular Color Kids'!A643</f>
        <v>0</v>
      </c>
      <c r="B615" s="62">
        <f>'Orderformular Color Kids'!B643</f>
        <v>0</v>
      </c>
      <c r="C615" s="8">
        <f>'Orderformular Color Kids'!C643</f>
        <v>0</v>
      </c>
      <c r="D615" s="8">
        <f>'Orderformular Color Kids'!D643</f>
        <v>0</v>
      </c>
      <c r="E615" s="4">
        <f>'Orderformular Color Kids'!E643</f>
        <v>0</v>
      </c>
      <c r="F615" s="4">
        <f>'Orderformular Color Kids'!F643</f>
        <v>0</v>
      </c>
      <c r="G615" s="4">
        <f>'Orderformular Color Kids'!G643</f>
        <v>0</v>
      </c>
      <c r="H615" s="4">
        <f>'Orderformular Color Kids'!H643</f>
        <v>0</v>
      </c>
      <c r="I615" s="4">
        <f>'Orderformular Color Kids'!I643</f>
        <v>0</v>
      </c>
      <c r="J615" s="4">
        <f>'Orderformular Color Kids'!J643</f>
        <v>0</v>
      </c>
      <c r="K615" s="4">
        <f>'Orderformular Color Kids'!K643</f>
        <v>0</v>
      </c>
      <c r="L615" s="4">
        <f>'Orderformular Color Kids'!L643</f>
        <v>0</v>
      </c>
      <c r="M615" s="7">
        <f>'Orderformular Color Kids'!M643</f>
        <v>0</v>
      </c>
      <c r="N615" s="7">
        <f>'Packliste Orig'!N620</f>
        <v>0</v>
      </c>
      <c r="O615" s="7">
        <f>'Orderformular Color Kids'!O643</f>
        <v>0</v>
      </c>
      <c r="P615" s="7">
        <f>'Packliste Orig'!P620</f>
        <v>0</v>
      </c>
      <c r="Q615" s="7">
        <f>'Orderformular Color Kids'!Q643</f>
        <v>0</v>
      </c>
      <c r="R615" s="7">
        <f>'Orderformular Color Kids'!R643</f>
        <v>0</v>
      </c>
      <c r="S615" s="6">
        <f t="shared" si="9"/>
        <v>0</v>
      </c>
      <c r="T615" s="50">
        <f>'Orderformular Color Kids'!U643</f>
        <v>0</v>
      </c>
    </row>
    <row r="616" spans="1:20" x14ac:dyDescent="0.2">
      <c r="A616" s="61">
        <f>'Orderformular Color Kids'!A644</f>
        <v>0</v>
      </c>
      <c r="B616" s="62">
        <f>'Orderformular Color Kids'!B644</f>
        <v>0</v>
      </c>
      <c r="C616" s="8">
        <f>'Orderformular Color Kids'!C644</f>
        <v>0</v>
      </c>
      <c r="D616" s="8">
        <f>'Orderformular Color Kids'!D644</f>
        <v>0</v>
      </c>
      <c r="E616" s="4">
        <f>'Orderformular Color Kids'!E644</f>
        <v>0</v>
      </c>
      <c r="F616" s="4">
        <f>'Orderformular Color Kids'!F644</f>
        <v>0</v>
      </c>
      <c r="G616" s="4">
        <f>'Orderformular Color Kids'!G644</f>
        <v>0</v>
      </c>
      <c r="H616" s="4">
        <f>'Orderformular Color Kids'!H644</f>
        <v>0</v>
      </c>
      <c r="I616" s="4">
        <f>'Orderformular Color Kids'!I644</f>
        <v>0</v>
      </c>
      <c r="J616" s="4">
        <f>'Orderformular Color Kids'!J644</f>
        <v>0</v>
      </c>
      <c r="K616" s="4">
        <f>'Orderformular Color Kids'!K644</f>
        <v>0</v>
      </c>
      <c r="L616" s="4">
        <f>'Orderformular Color Kids'!L644</f>
        <v>0</v>
      </c>
      <c r="M616" s="7">
        <f>'Orderformular Color Kids'!M644</f>
        <v>0</v>
      </c>
      <c r="N616" s="7">
        <f>'Packliste Orig'!N621</f>
        <v>0</v>
      </c>
      <c r="O616" s="7">
        <f>'Orderformular Color Kids'!O644</f>
        <v>0</v>
      </c>
      <c r="P616" s="7">
        <f>'Packliste Orig'!P621</f>
        <v>0</v>
      </c>
      <c r="Q616" s="7">
        <f>'Orderformular Color Kids'!Q644</f>
        <v>0</v>
      </c>
      <c r="R616" s="7">
        <f>'Orderformular Color Kids'!R644</f>
        <v>0</v>
      </c>
      <c r="S616" s="6">
        <f t="shared" si="9"/>
        <v>0</v>
      </c>
      <c r="T616" s="50">
        <f>'Orderformular Color Kids'!U644</f>
        <v>0</v>
      </c>
    </row>
    <row r="617" spans="1:20" x14ac:dyDescent="0.2">
      <c r="A617" s="61">
        <f>'Orderformular Color Kids'!A645</f>
        <v>0</v>
      </c>
      <c r="B617" s="62">
        <f>'Orderformular Color Kids'!B645</f>
        <v>0</v>
      </c>
      <c r="C617" s="8">
        <f>'Orderformular Color Kids'!C645</f>
        <v>0</v>
      </c>
      <c r="D617" s="8">
        <f>'Orderformular Color Kids'!D645</f>
        <v>0</v>
      </c>
      <c r="E617" s="4">
        <f>'Orderformular Color Kids'!E645</f>
        <v>0</v>
      </c>
      <c r="F617" s="4">
        <f>'Orderformular Color Kids'!F645</f>
        <v>0</v>
      </c>
      <c r="G617" s="4">
        <f>'Orderformular Color Kids'!G645</f>
        <v>0</v>
      </c>
      <c r="H617" s="4">
        <f>'Orderformular Color Kids'!H645</f>
        <v>0</v>
      </c>
      <c r="I617" s="4">
        <f>'Orderformular Color Kids'!I645</f>
        <v>0</v>
      </c>
      <c r="J617" s="4">
        <f>'Orderformular Color Kids'!J645</f>
        <v>0</v>
      </c>
      <c r="K617" s="4">
        <f>'Orderformular Color Kids'!K645</f>
        <v>0</v>
      </c>
      <c r="L617" s="4">
        <f>'Orderformular Color Kids'!L645</f>
        <v>0</v>
      </c>
      <c r="M617" s="7">
        <f>'Orderformular Color Kids'!M645</f>
        <v>0</v>
      </c>
      <c r="N617" s="7">
        <f>'Packliste Orig'!N622</f>
        <v>0</v>
      </c>
      <c r="O617" s="7">
        <f>'Orderformular Color Kids'!O645</f>
        <v>0</v>
      </c>
      <c r="P617" s="7">
        <f>'Packliste Orig'!P622</f>
        <v>0</v>
      </c>
      <c r="Q617" s="7">
        <f>'Orderformular Color Kids'!Q645</f>
        <v>0</v>
      </c>
      <c r="R617" s="7">
        <f>'Orderformular Color Kids'!R645</f>
        <v>0</v>
      </c>
      <c r="S617" s="6">
        <f t="shared" si="9"/>
        <v>0</v>
      </c>
      <c r="T617" s="50">
        <f>'Orderformular Color Kids'!U645</f>
        <v>0</v>
      </c>
    </row>
    <row r="618" spans="1:20" x14ac:dyDescent="0.2">
      <c r="A618" s="61">
        <f>'Orderformular Color Kids'!A646</f>
        <v>0</v>
      </c>
      <c r="B618" s="62">
        <f>'Orderformular Color Kids'!B646</f>
        <v>0</v>
      </c>
      <c r="C618" s="8">
        <f>'Orderformular Color Kids'!C646</f>
        <v>0</v>
      </c>
      <c r="D618" s="8">
        <f>'Orderformular Color Kids'!D646</f>
        <v>0</v>
      </c>
      <c r="E618" s="4">
        <f>'Orderformular Color Kids'!E646</f>
        <v>0</v>
      </c>
      <c r="F618" s="4">
        <f>'Orderformular Color Kids'!F646</f>
        <v>0</v>
      </c>
      <c r="G618" s="4">
        <f>'Orderformular Color Kids'!G646</f>
        <v>0</v>
      </c>
      <c r="H618" s="4">
        <f>'Orderformular Color Kids'!H646</f>
        <v>0</v>
      </c>
      <c r="I618" s="4">
        <f>'Orderformular Color Kids'!I646</f>
        <v>0</v>
      </c>
      <c r="J618" s="4">
        <f>'Orderformular Color Kids'!J646</f>
        <v>0</v>
      </c>
      <c r="K618" s="4">
        <f>'Orderformular Color Kids'!K646</f>
        <v>0</v>
      </c>
      <c r="L618" s="4">
        <f>'Orderformular Color Kids'!L646</f>
        <v>0</v>
      </c>
      <c r="M618" s="7">
        <f>'Orderformular Color Kids'!M646</f>
        <v>0</v>
      </c>
      <c r="N618" s="7">
        <f>'Packliste Orig'!N623</f>
        <v>0</v>
      </c>
      <c r="O618" s="7">
        <f>'Orderformular Color Kids'!O646</f>
        <v>0</v>
      </c>
      <c r="P618" s="7">
        <f>'Packliste Orig'!P623</f>
        <v>0</v>
      </c>
      <c r="Q618" s="7">
        <f>'Orderformular Color Kids'!Q646</f>
        <v>0</v>
      </c>
      <c r="R618" s="7">
        <f>'Orderformular Color Kids'!R646</f>
        <v>0</v>
      </c>
      <c r="S618" s="6">
        <f t="shared" si="9"/>
        <v>0</v>
      </c>
      <c r="T618" s="50">
        <f>'Orderformular Color Kids'!U646</f>
        <v>0</v>
      </c>
    </row>
    <row r="619" spans="1:20" x14ac:dyDescent="0.2">
      <c r="A619" s="61">
        <f>'Orderformular Color Kids'!A647</f>
        <v>0</v>
      </c>
      <c r="B619" s="62">
        <f>'Orderformular Color Kids'!B647</f>
        <v>0</v>
      </c>
      <c r="C619" s="8">
        <f>'Orderformular Color Kids'!C647</f>
        <v>0</v>
      </c>
      <c r="D619" s="8">
        <f>'Orderformular Color Kids'!D647</f>
        <v>0</v>
      </c>
      <c r="E619" s="4">
        <f>'Orderformular Color Kids'!E647</f>
        <v>0</v>
      </c>
      <c r="F619" s="4">
        <f>'Orderformular Color Kids'!F647</f>
        <v>0</v>
      </c>
      <c r="G619" s="4">
        <f>'Orderformular Color Kids'!G647</f>
        <v>0</v>
      </c>
      <c r="H619" s="4">
        <f>'Orderformular Color Kids'!H647</f>
        <v>0</v>
      </c>
      <c r="I619" s="4">
        <f>'Orderformular Color Kids'!I647</f>
        <v>0</v>
      </c>
      <c r="J619" s="4">
        <f>'Orderformular Color Kids'!J647</f>
        <v>0</v>
      </c>
      <c r="K619" s="4">
        <f>'Orderformular Color Kids'!K647</f>
        <v>0</v>
      </c>
      <c r="L619" s="4">
        <f>'Orderformular Color Kids'!L647</f>
        <v>0</v>
      </c>
      <c r="M619" s="7">
        <f>'Orderformular Color Kids'!M647</f>
        <v>0</v>
      </c>
      <c r="N619" s="7">
        <f>'Packliste Orig'!N624</f>
        <v>0</v>
      </c>
      <c r="O619" s="7">
        <f>'Orderformular Color Kids'!O647</f>
        <v>0</v>
      </c>
      <c r="P619" s="7">
        <f>'Packliste Orig'!P624</f>
        <v>0</v>
      </c>
      <c r="Q619" s="7">
        <f>'Orderformular Color Kids'!Q647</f>
        <v>0</v>
      </c>
      <c r="R619" s="7">
        <f>'Orderformular Color Kids'!R647</f>
        <v>0</v>
      </c>
      <c r="S619" s="6">
        <f t="shared" si="9"/>
        <v>0</v>
      </c>
      <c r="T619" s="50">
        <f>'Orderformular Color Kids'!U647</f>
        <v>0</v>
      </c>
    </row>
    <row r="620" spans="1:20" x14ac:dyDescent="0.2">
      <c r="A620" s="61">
        <f>'Orderformular Color Kids'!A648</f>
        <v>0</v>
      </c>
      <c r="B620" s="62">
        <f>'Orderformular Color Kids'!B648</f>
        <v>0</v>
      </c>
      <c r="C620" s="8">
        <f>'Orderformular Color Kids'!C648</f>
        <v>0</v>
      </c>
      <c r="D620" s="8">
        <f>'Orderformular Color Kids'!D648</f>
        <v>0</v>
      </c>
      <c r="E620" s="4">
        <f>'Orderformular Color Kids'!E648</f>
        <v>0</v>
      </c>
      <c r="F620" s="4">
        <f>'Orderformular Color Kids'!F648</f>
        <v>0</v>
      </c>
      <c r="G620" s="4">
        <f>'Orderformular Color Kids'!G648</f>
        <v>0</v>
      </c>
      <c r="H620" s="4">
        <f>'Orderformular Color Kids'!H648</f>
        <v>0</v>
      </c>
      <c r="I620" s="4">
        <f>'Orderformular Color Kids'!I648</f>
        <v>0</v>
      </c>
      <c r="J620" s="4">
        <f>'Orderformular Color Kids'!J648</f>
        <v>0</v>
      </c>
      <c r="K620" s="4">
        <f>'Orderformular Color Kids'!K648</f>
        <v>0</v>
      </c>
      <c r="L620" s="4">
        <f>'Orderformular Color Kids'!L648</f>
        <v>0</v>
      </c>
      <c r="M620" s="7">
        <f>'Orderformular Color Kids'!M648</f>
        <v>0</v>
      </c>
      <c r="N620" s="7">
        <f>'Packliste Orig'!N625</f>
        <v>0</v>
      </c>
      <c r="O620" s="7">
        <f>'Orderformular Color Kids'!O648</f>
        <v>0</v>
      </c>
      <c r="P620" s="7">
        <f>'Packliste Orig'!P625</f>
        <v>0</v>
      </c>
      <c r="Q620" s="7">
        <f>'Orderformular Color Kids'!Q648</f>
        <v>0</v>
      </c>
      <c r="R620" s="7">
        <f>'Orderformular Color Kids'!R648</f>
        <v>0</v>
      </c>
      <c r="S620" s="6">
        <f t="shared" si="9"/>
        <v>0</v>
      </c>
      <c r="T620" s="50">
        <f>'Orderformular Color Kids'!U648</f>
        <v>0</v>
      </c>
    </row>
    <row r="621" spans="1:20" x14ac:dyDescent="0.2">
      <c r="A621" s="61">
        <f>'Orderformular Color Kids'!A649</f>
        <v>0</v>
      </c>
      <c r="B621" s="62">
        <f>'Orderformular Color Kids'!B649</f>
        <v>0</v>
      </c>
      <c r="C621" s="8">
        <f>'Orderformular Color Kids'!C649</f>
        <v>0</v>
      </c>
      <c r="D621" s="8">
        <f>'Orderformular Color Kids'!D649</f>
        <v>0</v>
      </c>
      <c r="E621" s="4">
        <f>'Orderformular Color Kids'!E649</f>
        <v>0</v>
      </c>
      <c r="F621" s="4">
        <f>'Orderformular Color Kids'!F649</f>
        <v>0</v>
      </c>
      <c r="G621" s="4">
        <f>'Orderformular Color Kids'!G649</f>
        <v>0</v>
      </c>
      <c r="H621" s="4">
        <f>'Orderformular Color Kids'!H649</f>
        <v>0</v>
      </c>
      <c r="I621" s="4">
        <f>'Orderformular Color Kids'!I649</f>
        <v>0</v>
      </c>
      <c r="J621" s="4">
        <f>'Orderformular Color Kids'!J649</f>
        <v>0</v>
      </c>
      <c r="K621" s="4">
        <f>'Orderformular Color Kids'!K649</f>
        <v>0</v>
      </c>
      <c r="L621" s="4">
        <f>'Orderformular Color Kids'!L649</f>
        <v>0</v>
      </c>
      <c r="M621" s="7">
        <f>'Orderformular Color Kids'!M649</f>
        <v>0</v>
      </c>
      <c r="N621" s="7">
        <f>'Packliste Orig'!N626</f>
        <v>0</v>
      </c>
      <c r="O621" s="7">
        <f>'Orderformular Color Kids'!O649</f>
        <v>0</v>
      </c>
      <c r="P621" s="7">
        <f>'Packliste Orig'!P626</f>
        <v>0</v>
      </c>
      <c r="Q621" s="7">
        <f>'Orderformular Color Kids'!Q649</f>
        <v>0</v>
      </c>
      <c r="R621" s="7">
        <f>'Orderformular Color Kids'!R649</f>
        <v>0</v>
      </c>
      <c r="S621" s="6">
        <f t="shared" si="9"/>
        <v>0</v>
      </c>
      <c r="T621" s="50">
        <f>'Orderformular Color Kids'!U649</f>
        <v>0</v>
      </c>
    </row>
    <row r="622" spans="1:20" x14ac:dyDescent="0.2">
      <c r="A622" s="61">
        <f>'Orderformular Color Kids'!A650</f>
        <v>0</v>
      </c>
      <c r="B622" s="62">
        <f>'Orderformular Color Kids'!B650</f>
        <v>0</v>
      </c>
      <c r="C622" s="8">
        <f>'Orderformular Color Kids'!C650</f>
        <v>0</v>
      </c>
      <c r="D622" s="8">
        <f>'Orderformular Color Kids'!D650</f>
        <v>0</v>
      </c>
      <c r="E622" s="4">
        <f>'Orderformular Color Kids'!E650</f>
        <v>0</v>
      </c>
      <c r="F622" s="4">
        <f>'Orderformular Color Kids'!F650</f>
        <v>0</v>
      </c>
      <c r="G622" s="4">
        <f>'Orderformular Color Kids'!G650</f>
        <v>0</v>
      </c>
      <c r="H622" s="4">
        <f>'Orderformular Color Kids'!H650</f>
        <v>0</v>
      </c>
      <c r="I622" s="4">
        <f>'Orderformular Color Kids'!I650</f>
        <v>0</v>
      </c>
      <c r="J622" s="4">
        <f>'Orderformular Color Kids'!J650</f>
        <v>0</v>
      </c>
      <c r="K622" s="4">
        <f>'Orderformular Color Kids'!K650</f>
        <v>0</v>
      </c>
      <c r="L622" s="4">
        <f>'Orderformular Color Kids'!L650</f>
        <v>0</v>
      </c>
      <c r="M622" s="7">
        <f>'Orderformular Color Kids'!M650</f>
        <v>0</v>
      </c>
      <c r="N622" s="7">
        <f>'Packliste Orig'!N627</f>
        <v>0</v>
      </c>
      <c r="O622" s="7">
        <f>'Orderformular Color Kids'!O650</f>
        <v>0</v>
      </c>
      <c r="P622" s="7">
        <f>'Packliste Orig'!P627</f>
        <v>0</v>
      </c>
      <c r="Q622" s="7">
        <f>'Orderformular Color Kids'!Q650</f>
        <v>0</v>
      </c>
      <c r="R622" s="7">
        <f>'Orderformular Color Kids'!R650</f>
        <v>0</v>
      </c>
      <c r="S622" s="6">
        <f t="shared" si="9"/>
        <v>0</v>
      </c>
      <c r="T622" s="50">
        <f>'Orderformular Color Kids'!U650</f>
        <v>0</v>
      </c>
    </row>
    <row r="623" spans="1:20" x14ac:dyDescent="0.2">
      <c r="A623" s="61">
        <f>'Orderformular Color Kids'!A651</f>
        <v>0</v>
      </c>
      <c r="B623" s="62">
        <f>'Orderformular Color Kids'!B651</f>
        <v>0</v>
      </c>
      <c r="C623" s="8">
        <f>'Orderformular Color Kids'!C651</f>
        <v>0</v>
      </c>
      <c r="D623" s="8">
        <f>'Orderformular Color Kids'!D651</f>
        <v>0</v>
      </c>
      <c r="E623" s="4">
        <f>'Orderformular Color Kids'!E651</f>
        <v>0</v>
      </c>
      <c r="F623" s="4">
        <f>'Orderformular Color Kids'!F651</f>
        <v>0</v>
      </c>
      <c r="G623" s="4">
        <f>'Orderformular Color Kids'!G651</f>
        <v>0</v>
      </c>
      <c r="H623" s="4">
        <f>'Orderformular Color Kids'!H651</f>
        <v>0</v>
      </c>
      <c r="I623" s="4">
        <f>'Orderformular Color Kids'!I651</f>
        <v>0</v>
      </c>
      <c r="J623" s="4">
        <f>'Orderformular Color Kids'!J651</f>
        <v>0</v>
      </c>
      <c r="K623" s="4">
        <f>'Orderformular Color Kids'!K651</f>
        <v>0</v>
      </c>
      <c r="L623" s="4">
        <f>'Orderformular Color Kids'!L651</f>
        <v>0</v>
      </c>
      <c r="M623" s="7">
        <f>'Orderformular Color Kids'!M651</f>
        <v>0</v>
      </c>
      <c r="N623" s="7">
        <f>'Packliste Orig'!N628</f>
        <v>0</v>
      </c>
      <c r="O623" s="7">
        <f>'Orderformular Color Kids'!O651</f>
        <v>0</v>
      </c>
      <c r="P623" s="7">
        <f>'Packliste Orig'!P628</f>
        <v>0</v>
      </c>
      <c r="Q623" s="7">
        <f>'Orderformular Color Kids'!Q651</f>
        <v>0</v>
      </c>
      <c r="R623" s="7">
        <f>'Orderformular Color Kids'!R651</f>
        <v>0</v>
      </c>
      <c r="S623" s="6">
        <f t="shared" si="9"/>
        <v>0</v>
      </c>
      <c r="T623" s="50">
        <f>'Orderformular Color Kids'!U651</f>
        <v>0</v>
      </c>
    </row>
    <row r="624" spans="1:20" x14ac:dyDescent="0.2">
      <c r="A624" s="61">
        <f>'Orderformular Color Kids'!A652</f>
        <v>0</v>
      </c>
      <c r="B624" s="62">
        <f>'Orderformular Color Kids'!B652</f>
        <v>0</v>
      </c>
      <c r="C624" s="8">
        <f>'Orderformular Color Kids'!C652</f>
        <v>0</v>
      </c>
      <c r="D624" s="8">
        <f>'Orderformular Color Kids'!D652</f>
        <v>0</v>
      </c>
      <c r="E624" s="4">
        <f>'Orderformular Color Kids'!E652</f>
        <v>0</v>
      </c>
      <c r="F624" s="4">
        <f>'Orderformular Color Kids'!F652</f>
        <v>0</v>
      </c>
      <c r="G624" s="4">
        <f>'Orderformular Color Kids'!G652</f>
        <v>0</v>
      </c>
      <c r="H624" s="4">
        <f>'Orderformular Color Kids'!H652</f>
        <v>0</v>
      </c>
      <c r="I624" s="4">
        <f>'Orderformular Color Kids'!I652</f>
        <v>0</v>
      </c>
      <c r="J624" s="4">
        <f>'Orderformular Color Kids'!J652</f>
        <v>0</v>
      </c>
      <c r="K624" s="4">
        <f>'Orderformular Color Kids'!K652</f>
        <v>0</v>
      </c>
      <c r="L624" s="4">
        <f>'Orderformular Color Kids'!L652</f>
        <v>0</v>
      </c>
      <c r="M624" s="7">
        <f>'Orderformular Color Kids'!M652</f>
        <v>0</v>
      </c>
      <c r="N624" s="7">
        <f>'Packliste Orig'!N629</f>
        <v>0</v>
      </c>
      <c r="O624" s="7">
        <f>'Orderformular Color Kids'!O652</f>
        <v>0</v>
      </c>
      <c r="P624" s="7">
        <f>'Packliste Orig'!P629</f>
        <v>0</v>
      </c>
      <c r="Q624" s="7">
        <f>'Orderformular Color Kids'!Q652</f>
        <v>0</v>
      </c>
      <c r="R624" s="7">
        <f>'Orderformular Color Kids'!R652</f>
        <v>0</v>
      </c>
      <c r="S624" s="6">
        <f t="shared" si="9"/>
        <v>0</v>
      </c>
      <c r="T624" s="50">
        <f>'Orderformular Color Kids'!U652</f>
        <v>0</v>
      </c>
    </row>
    <row r="625" spans="1:20" x14ac:dyDescent="0.2">
      <c r="A625" s="61">
        <f>'Orderformular Color Kids'!A653</f>
        <v>0</v>
      </c>
      <c r="B625" s="62">
        <f>'Orderformular Color Kids'!B653</f>
        <v>0</v>
      </c>
      <c r="C625" s="8">
        <f>'Orderformular Color Kids'!C653</f>
        <v>0</v>
      </c>
      <c r="D625" s="8">
        <f>'Orderformular Color Kids'!D653</f>
        <v>0</v>
      </c>
      <c r="E625" s="4">
        <f>'Orderformular Color Kids'!E653</f>
        <v>0</v>
      </c>
      <c r="F625" s="4">
        <f>'Orderformular Color Kids'!F653</f>
        <v>0</v>
      </c>
      <c r="G625" s="4">
        <f>'Orderformular Color Kids'!G653</f>
        <v>0</v>
      </c>
      <c r="H625" s="4">
        <f>'Orderformular Color Kids'!H653</f>
        <v>0</v>
      </c>
      <c r="I625" s="4">
        <f>'Orderformular Color Kids'!I653</f>
        <v>0</v>
      </c>
      <c r="J625" s="4">
        <f>'Orderformular Color Kids'!J653</f>
        <v>0</v>
      </c>
      <c r="K625" s="4">
        <f>'Orderformular Color Kids'!K653</f>
        <v>0</v>
      </c>
      <c r="L625" s="4">
        <f>'Orderformular Color Kids'!L653</f>
        <v>0</v>
      </c>
      <c r="M625" s="7">
        <f>'Orderformular Color Kids'!M653</f>
        <v>0</v>
      </c>
      <c r="N625" s="7">
        <f>'Packliste Orig'!N630</f>
        <v>0</v>
      </c>
      <c r="O625" s="7">
        <f>'Orderformular Color Kids'!O653</f>
        <v>0</v>
      </c>
      <c r="P625" s="7">
        <f>'Packliste Orig'!P630</f>
        <v>0</v>
      </c>
      <c r="Q625" s="7">
        <f>'Orderformular Color Kids'!Q653</f>
        <v>0</v>
      </c>
      <c r="R625" s="7">
        <f>'Orderformular Color Kids'!R653</f>
        <v>0</v>
      </c>
      <c r="S625" s="6">
        <f t="shared" si="9"/>
        <v>0</v>
      </c>
      <c r="T625" s="50">
        <f>'Orderformular Color Kids'!U653</f>
        <v>0</v>
      </c>
    </row>
    <row r="626" spans="1:20" x14ac:dyDescent="0.2">
      <c r="A626" s="61">
        <f>'Orderformular Color Kids'!A654</f>
        <v>0</v>
      </c>
      <c r="B626" s="62">
        <f>'Orderformular Color Kids'!B654</f>
        <v>0</v>
      </c>
      <c r="C626" s="8">
        <f>'Orderformular Color Kids'!C654</f>
        <v>0</v>
      </c>
      <c r="D626" s="8">
        <f>'Orderformular Color Kids'!D654</f>
        <v>0</v>
      </c>
      <c r="E626" s="4">
        <f>'Orderformular Color Kids'!E654</f>
        <v>0</v>
      </c>
      <c r="F626" s="4">
        <f>'Orderformular Color Kids'!F654</f>
        <v>0</v>
      </c>
      <c r="G626" s="4">
        <f>'Orderformular Color Kids'!G654</f>
        <v>0</v>
      </c>
      <c r="H626" s="4">
        <f>'Orderformular Color Kids'!H654</f>
        <v>0</v>
      </c>
      <c r="I626" s="4">
        <f>'Orderformular Color Kids'!I654</f>
        <v>0</v>
      </c>
      <c r="J626" s="4">
        <f>'Orderformular Color Kids'!J654</f>
        <v>0</v>
      </c>
      <c r="K626" s="4">
        <f>'Orderformular Color Kids'!K654</f>
        <v>0</v>
      </c>
      <c r="L626" s="4">
        <f>'Orderformular Color Kids'!L654</f>
        <v>0</v>
      </c>
      <c r="M626" s="7">
        <f>'Orderformular Color Kids'!M654</f>
        <v>0</v>
      </c>
      <c r="N626" s="7">
        <f>'Packliste Orig'!N631</f>
        <v>0</v>
      </c>
      <c r="O626" s="7">
        <f>'Orderformular Color Kids'!O654</f>
        <v>0</v>
      </c>
      <c r="P626" s="7">
        <f>'Packliste Orig'!P631</f>
        <v>0</v>
      </c>
      <c r="Q626" s="7">
        <f>'Orderformular Color Kids'!Q654</f>
        <v>0</v>
      </c>
      <c r="R626" s="7">
        <f>'Orderformular Color Kids'!R654</f>
        <v>0</v>
      </c>
      <c r="S626" s="6">
        <f t="shared" si="9"/>
        <v>0</v>
      </c>
      <c r="T626" s="50">
        <f>'Orderformular Color Kids'!U654</f>
        <v>0</v>
      </c>
    </row>
    <row r="627" spans="1:20" x14ac:dyDescent="0.2">
      <c r="A627" s="61">
        <f>'Orderformular Color Kids'!A655</f>
        <v>0</v>
      </c>
      <c r="B627" s="62">
        <f>'Orderformular Color Kids'!B655</f>
        <v>0</v>
      </c>
      <c r="C627" s="8">
        <f>'Orderformular Color Kids'!C655</f>
        <v>0</v>
      </c>
      <c r="D627" s="8">
        <f>'Orderformular Color Kids'!D655</f>
        <v>0</v>
      </c>
      <c r="E627" s="4">
        <f>'Orderformular Color Kids'!E655</f>
        <v>0</v>
      </c>
      <c r="F627" s="4">
        <f>'Orderformular Color Kids'!F655</f>
        <v>0</v>
      </c>
      <c r="G627" s="4">
        <f>'Orderformular Color Kids'!G655</f>
        <v>0</v>
      </c>
      <c r="H627" s="4">
        <f>'Orderformular Color Kids'!H655</f>
        <v>0</v>
      </c>
      <c r="I627" s="4">
        <f>'Orderformular Color Kids'!I655</f>
        <v>0</v>
      </c>
      <c r="J627" s="4">
        <f>'Orderformular Color Kids'!J655</f>
        <v>0</v>
      </c>
      <c r="K627" s="4">
        <f>'Orderformular Color Kids'!K655</f>
        <v>0</v>
      </c>
      <c r="L627" s="4">
        <f>'Orderformular Color Kids'!L655</f>
        <v>0</v>
      </c>
      <c r="M627" s="7">
        <f>'Orderformular Color Kids'!M655</f>
        <v>0</v>
      </c>
      <c r="N627" s="7">
        <f>'Packliste Orig'!N632</f>
        <v>0</v>
      </c>
      <c r="O627" s="7">
        <f>'Orderformular Color Kids'!O655</f>
        <v>0</v>
      </c>
      <c r="P627" s="7">
        <f>'Packliste Orig'!P632</f>
        <v>0</v>
      </c>
      <c r="Q627" s="7">
        <f>'Orderformular Color Kids'!Q655</f>
        <v>0</v>
      </c>
      <c r="R627" s="7">
        <f>'Orderformular Color Kids'!R655</f>
        <v>0</v>
      </c>
      <c r="S627" s="6">
        <f t="shared" si="9"/>
        <v>0</v>
      </c>
      <c r="T627" s="50">
        <f>'Orderformular Color Kids'!U655</f>
        <v>0</v>
      </c>
    </row>
    <row r="628" spans="1:20" x14ac:dyDescent="0.2">
      <c r="A628" s="61">
        <f>'Orderformular Color Kids'!A656</f>
        <v>0</v>
      </c>
      <c r="B628" s="62">
        <f>'Orderformular Color Kids'!B656</f>
        <v>0</v>
      </c>
      <c r="C628" s="8">
        <f>'Orderformular Color Kids'!C656</f>
        <v>0</v>
      </c>
      <c r="D628" s="8">
        <f>'Orderformular Color Kids'!D656</f>
        <v>0</v>
      </c>
      <c r="E628" s="4">
        <f>'Orderformular Color Kids'!E656</f>
        <v>0</v>
      </c>
      <c r="F628" s="4">
        <f>'Orderformular Color Kids'!F656</f>
        <v>0</v>
      </c>
      <c r="G628" s="4">
        <f>'Orderformular Color Kids'!G656</f>
        <v>0</v>
      </c>
      <c r="H628" s="4">
        <f>'Orderformular Color Kids'!H656</f>
        <v>0</v>
      </c>
      <c r="I628" s="4">
        <f>'Orderformular Color Kids'!I656</f>
        <v>0</v>
      </c>
      <c r="J628" s="4">
        <f>'Orderformular Color Kids'!J656</f>
        <v>0</v>
      </c>
      <c r="K628" s="4">
        <f>'Orderformular Color Kids'!K656</f>
        <v>0</v>
      </c>
      <c r="L628" s="4">
        <f>'Orderformular Color Kids'!L656</f>
        <v>0</v>
      </c>
      <c r="M628" s="7">
        <f>'Orderformular Color Kids'!M656</f>
        <v>0</v>
      </c>
      <c r="N628" s="7">
        <f>'Packliste Orig'!N633</f>
        <v>0</v>
      </c>
      <c r="O628" s="7">
        <f>'Orderformular Color Kids'!O656</f>
        <v>0</v>
      </c>
      <c r="P628" s="7">
        <f>'Packliste Orig'!P633</f>
        <v>0</v>
      </c>
      <c r="Q628" s="7">
        <f>'Orderformular Color Kids'!Q656</f>
        <v>0</v>
      </c>
      <c r="R628" s="7">
        <f>'Orderformular Color Kids'!R656</f>
        <v>0</v>
      </c>
      <c r="S628" s="6">
        <f t="shared" si="9"/>
        <v>0</v>
      </c>
      <c r="T628" s="50">
        <f>'Orderformular Color Kids'!U656</f>
        <v>0</v>
      </c>
    </row>
    <row r="629" spans="1:20" x14ac:dyDescent="0.2">
      <c r="A629" s="61">
        <f>'Orderformular Color Kids'!A657</f>
        <v>0</v>
      </c>
      <c r="B629" s="62">
        <f>'Orderformular Color Kids'!B657</f>
        <v>0</v>
      </c>
      <c r="C629" s="8">
        <f>'Orderformular Color Kids'!C657</f>
        <v>0</v>
      </c>
      <c r="D629" s="8">
        <f>'Orderformular Color Kids'!D657</f>
        <v>0</v>
      </c>
      <c r="E629" s="4">
        <f>'Orderformular Color Kids'!E657</f>
        <v>0</v>
      </c>
      <c r="F629" s="4">
        <f>'Orderformular Color Kids'!F657</f>
        <v>0</v>
      </c>
      <c r="G629" s="4">
        <f>'Orderformular Color Kids'!G657</f>
        <v>0</v>
      </c>
      <c r="H629" s="4">
        <f>'Orderformular Color Kids'!H657</f>
        <v>0</v>
      </c>
      <c r="I629" s="4">
        <f>'Orderformular Color Kids'!I657</f>
        <v>0</v>
      </c>
      <c r="J629" s="4">
        <f>'Orderformular Color Kids'!J657</f>
        <v>0</v>
      </c>
      <c r="K629" s="4">
        <f>'Orderformular Color Kids'!K657</f>
        <v>0</v>
      </c>
      <c r="L629" s="4">
        <f>'Orderformular Color Kids'!L657</f>
        <v>0</v>
      </c>
      <c r="M629" s="7">
        <f>'Orderformular Color Kids'!M657</f>
        <v>0</v>
      </c>
      <c r="N629" s="7">
        <f>'Packliste Orig'!N634</f>
        <v>0</v>
      </c>
      <c r="O629" s="7">
        <f>'Orderformular Color Kids'!O657</f>
        <v>0</v>
      </c>
      <c r="P629" s="7">
        <f>'Packliste Orig'!P634</f>
        <v>0</v>
      </c>
      <c r="Q629" s="7">
        <f>'Orderformular Color Kids'!Q657</f>
        <v>0</v>
      </c>
      <c r="R629" s="7">
        <f>'Orderformular Color Kids'!R657</f>
        <v>0</v>
      </c>
      <c r="S629" s="6">
        <f t="shared" si="9"/>
        <v>0</v>
      </c>
      <c r="T629" s="50">
        <f>'Orderformular Color Kids'!U657</f>
        <v>0</v>
      </c>
    </row>
    <row r="630" spans="1:20" x14ac:dyDescent="0.2">
      <c r="A630" s="61">
        <f>'Orderformular Color Kids'!A658</f>
        <v>0</v>
      </c>
      <c r="B630" s="62">
        <f>'Orderformular Color Kids'!B658</f>
        <v>0</v>
      </c>
      <c r="C630" s="8">
        <f>'Orderformular Color Kids'!C658</f>
        <v>0</v>
      </c>
      <c r="D630" s="8">
        <f>'Orderformular Color Kids'!D658</f>
        <v>0</v>
      </c>
      <c r="E630" s="4">
        <f>'Orderformular Color Kids'!E658</f>
        <v>0</v>
      </c>
      <c r="F630" s="4">
        <f>'Orderformular Color Kids'!F658</f>
        <v>0</v>
      </c>
      <c r="G630" s="4">
        <f>'Orderformular Color Kids'!G658</f>
        <v>0</v>
      </c>
      <c r="H630" s="4">
        <f>'Orderformular Color Kids'!H658</f>
        <v>0</v>
      </c>
      <c r="I630" s="4">
        <f>'Orderformular Color Kids'!I658</f>
        <v>0</v>
      </c>
      <c r="J630" s="4">
        <f>'Orderformular Color Kids'!J658</f>
        <v>0</v>
      </c>
      <c r="K630" s="4">
        <f>'Orderformular Color Kids'!K658</f>
        <v>0</v>
      </c>
      <c r="L630" s="4">
        <f>'Orderformular Color Kids'!L658</f>
        <v>0</v>
      </c>
      <c r="M630" s="7">
        <f>'Orderformular Color Kids'!M658</f>
        <v>0</v>
      </c>
      <c r="N630" s="7">
        <f>'Packliste Orig'!N635</f>
        <v>0</v>
      </c>
      <c r="O630" s="7">
        <f>'Orderformular Color Kids'!O658</f>
        <v>0</v>
      </c>
      <c r="P630" s="7">
        <f>'Packliste Orig'!P635</f>
        <v>0</v>
      </c>
      <c r="Q630" s="7">
        <f>'Orderformular Color Kids'!Q658</f>
        <v>0</v>
      </c>
      <c r="R630" s="7">
        <f>'Orderformular Color Kids'!R658</f>
        <v>0</v>
      </c>
      <c r="S630" s="6">
        <f t="shared" si="9"/>
        <v>0</v>
      </c>
      <c r="T630" s="50">
        <f>'Orderformular Color Kids'!U658</f>
        <v>0</v>
      </c>
    </row>
    <row r="631" spans="1:20" x14ac:dyDescent="0.2">
      <c r="A631" s="61">
        <f>'Orderformular Color Kids'!A659</f>
        <v>0</v>
      </c>
      <c r="B631" s="62">
        <f>'Orderformular Color Kids'!B659</f>
        <v>0</v>
      </c>
      <c r="C631" s="8">
        <f>'Orderformular Color Kids'!C659</f>
        <v>0</v>
      </c>
      <c r="D631" s="8">
        <f>'Orderformular Color Kids'!D659</f>
        <v>0</v>
      </c>
      <c r="E631" s="4">
        <f>'Orderformular Color Kids'!E659</f>
        <v>0</v>
      </c>
      <c r="F631" s="4">
        <f>'Orderformular Color Kids'!F659</f>
        <v>0</v>
      </c>
      <c r="G631" s="4">
        <f>'Orderformular Color Kids'!G659</f>
        <v>0</v>
      </c>
      <c r="H631" s="4">
        <f>'Orderformular Color Kids'!H659</f>
        <v>0</v>
      </c>
      <c r="I631" s="4">
        <f>'Orderformular Color Kids'!I659</f>
        <v>0</v>
      </c>
      <c r="J631" s="4">
        <f>'Orderformular Color Kids'!J659</f>
        <v>0</v>
      </c>
      <c r="K631" s="4">
        <f>'Orderformular Color Kids'!K659</f>
        <v>0</v>
      </c>
      <c r="L631" s="4">
        <f>'Orderformular Color Kids'!L659</f>
        <v>0</v>
      </c>
      <c r="M631" s="7">
        <f>'Orderformular Color Kids'!M659</f>
        <v>0</v>
      </c>
      <c r="N631" s="7">
        <f>'Packliste Orig'!N636</f>
        <v>0</v>
      </c>
      <c r="O631" s="7">
        <f>'Orderformular Color Kids'!O659</f>
        <v>0</v>
      </c>
      <c r="P631" s="7">
        <f>'Packliste Orig'!P636</f>
        <v>0</v>
      </c>
      <c r="Q631" s="7">
        <f>'Orderformular Color Kids'!Q659</f>
        <v>0</v>
      </c>
      <c r="R631" s="7">
        <f>'Orderformular Color Kids'!R659</f>
        <v>0</v>
      </c>
      <c r="S631" s="6">
        <f t="shared" si="9"/>
        <v>0</v>
      </c>
      <c r="T631" s="50">
        <f>'Orderformular Color Kids'!U659</f>
        <v>0</v>
      </c>
    </row>
    <row r="632" spans="1:20" x14ac:dyDescent="0.2">
      <c r="A632" s="61">
        <f>'Orderformular Color Kids'!A660</f>
        <v>0</v>
      </c>
      <c r="B632" s="62">
        <f>'Orderformular Color Kids'!B660</f>
        <v>0</v>
      </c>
      <c r="C632" s="8">
        <f>'Orderformular Color Kids'!C660</f>
        <v>0</v>
      </c>
      <c r="D632" s="8">
        <f>'Orderformular Color Kids'!D660</f>
        <v>0</v>
      </c>
      <c r="E632" s="4">
        <f>'Orderformular Color Kids'!E660</f>
        <v>0</v>
      </c>
      <c r="F632" s="4">
        <f>'Orderformular Color Kids'!F660</f>
        <v>0</v>
      </c>
      <c r="G632" s="4">
        <f>'Orderformular Color Kids'!G660</f>
        <v>0</v>
      </c>
      <c r="H632" s="4">
        <f>'Orderformular Color Kids'!H660</f>
        <v>0</v>
      </c>
      <c r="I632" s="4">
        <f>'Orderformular Color Kids'!I660</f>
        <v>0</v>
      </c>
      <c r="J632" s="4">
        <f>'Orderformular Color Kids'!J660</f>
        <v>0</v>
      </c>
      <c r="K632" s="4">
        <f>'Orderformular Color Kids'!K660</f>
        <v>0</v>
      </c>
      <c r="L632" s="4">
        <f>'Orderformular Color Kids'!L660</f>
        <v>0</v>
      </c>
      <c r="M632" s="7">
        <f>'Orderformular Color Kids'!M660</f>
        <v>0</v>
      </c>
      <c r="N632" s="7">
        <f>'Packliste Orig'!N637</f>
        <v>0</v>
      </c>
      <c r="O632" s="7">
        <f>'Orderformular Color Kids'!O660</f>
        <v>0</v>
      </c>
      <c r="P632" s="7">
        <f>'Packliste Orig'!P637</f>
        <v>0</v>
      </c>
      <c r="Q632" s="7">
        <f>'Orderformular Color Kids'!Q660</f>
        <v>0</v>
      </c>
      <c r="R632" s="7">
        <f>'Orderformular Color Kids'!R660</f>
        <v>0</v>
      </c>
      <c r="S632" s="6">
        <f t="shared" si="9"/>
        <v>0</v>
      </c>
      <c r="T632" s="50">
        <f>'Orderformular Color Kids'!U660</f>
        <v>0</v>
      </c>
    </row>
    <row r="633" spans="1:20" x14ac:dyDescent="0.2">
      <c r="A633" s="61">
        <f>'Orderformular Color Kids'!A661</f>
        <v>0</v>
      </c>
      <c r="B633" s="62">
        <f>'Orderformular Color Kids'!B661</f>
        <v>0</v>
      </c>
      <c r="C633" s="8">
        <f>'Orderformular Color Kids'!C661</f>
        <v>0</v>
      </c>
      <c r="D633" s="8">
        <f>'Orderformular Color Kids'!D661</f>
        <v>0</v>
      </c>
      <c r="E633" s="4">
        <f>'Orderformular Color Kids'!E661</f>
        <v>0</v>
      </c>
      <c r="F633" s="4">
        <f>'Orderformular Color Kids'!F661</f>
        <v>0</v>
      </c>
      <c r="G633" s="4">
        <f>'Orderformular Color Kids'!G661</f>
        <v>0</v>
      </c>
      <c r="H633" s="4">
        <f>'Orderformular Color Kids'!H661</f>
        <v>0</v>
      </c>
      <c r="I633" s="4">
        <f>'Orderformular Color Kids'!I661</f>
        <v>0</v>
      </c>
      <c r="J633" s="4">
        <f>'Orderformular Color Kids'!J661</f>
        <v>0</v>
      </c>
      <c r="K633" s="4">
        <f>'Orderformular Color Kids'!K661</f>
        <v>0</v>
      </c>
      <c r="L633" s="4">
        <f>'Orderformular Color Kids'!L661</f>
        <v>0</v>
      </c>
      <c r="M633" s="7">
        <f>'Orderformular Color Kids'!M661</f>
        <v>0</v>
      </c>
      <c r="N633" s="7">
        <f>'Packliste Orig'!N638</f>
        <v>0</v>
      </c>
      <c r="O633" s="7">
        <f>'Orderformular Color Kids'!O661</f>
        <v>0</v>
      </c>
      <c r="P633" s="7">
        <f>'Packliste Orig'!P638</f>
        <v>0</v>
      </c>
      <c r="Q633" s="7">
        <f>'Orderformular Color Kids'!Q661</f>
        <v>0</v>
      </c>
      <c r="R633" s="7">
        <f>'Orderformular Color Kids'!R661</f>
        <v>0</v>
      </c>
      <c r="S633" s="6">
        <f t="shared" si="9"/>
        <v>0</v>
      </c>
      <c r="T633" s="50">
        <f>'Orderformular Color Kids'!U661</f>
        <v>0</v>
      </c>
    </row>
    <row r="634" spans="1:20" x14ac:dyDescent="0.2">
      <c r="A634" s="61">
        <f>'Orderformular Color Kids'!A662</f>
        <v>0</v>
      </c>
      <c r="B634" s="62">
        <f>'Orderformular Color Kids'!B662</f>
        <v>0</v>
      </c>
      <c r="C634" s="8">
        <f>'Orderformular Color Kids'!C662</f>
        <v>0</v>
      </c>
      <c r="D634" s="8">
        <f>'Orderformular Color Kids'!D662</f>
        <v>0</v>
      </c>
      <c r="E634" s="4">
        <f>'Orderformular Color Kids'!E662</f>
        <v>0</v>
      </c>
      <c r="F634" s="4">
        <f>'Orderformular Color Kids'!F662</f>
        <v>0</v>
      </c>
      <c r="G634" s="4">
        <f>'Orderformular Color Kids'!G662</f>
        <v>0</v>
      </c>
      <c r="H634" s="4">
        <f>'Orderformular Color Kids'!H662</f>
        <v>0</v>
      </c>
      <c r="I634" s="4">
        <f>'Orderformular Color Kids'!I662</f>
        <v>0</v>
      </c>
      <c r="J634" s="4">
        <f>'Orderformular Color Kids'!J662</f>
        <v>0</v>
      </c>
      <c r="K634" s="4">
        <f>'Orderformular Color Kids'!K662</f>
        <v>0</v>
      </c>
      <c r="L634" s="4">
        <f>'Orderformular Color Kids'!L662</f>
        <v>0</v>
      </c>
      <c r="M634" s="7">
        <f>'Orderformular Color Kids'!M662</f>
        <v>0</v>
      </c>
      <c r="N634" s="7">
        <f>'Packliste Orig'!N639</f>
        <v>0</v>
      </c>
      <c r="O634" s="7">
        <f>'Orderformular Color Kids'!O662</f>
        <v>0</v>
      </c>
      <c r="P634" s="7">
        <f>'Packliste Orig'!P639</f>
        <v>0</v>
      </c>
      <c r="Q634" s="7">
        <f>'Orderformular Color Kids'!Q662</f>
        <v>0</v>
      </c>
      <c r="R634" s="7">
        <f>'Orderformular Color Kids'!R662</f>
        <v>0</v>
      </c>
      <c r="S634" s="6">
        <f t="shared" si="9"/>
        <v>0</v>
      </c>
      <c r="T634" s="50">
        <f>'Orderformular Color Kids'!U662</f>
        <v>0</v>
      </c>
    </row>
    <row r="635" spans="1:20" x14ac:dyDescent="0.2">
      <c r="A635" s="61">
        <f>'Orderformular Color Kids'!A663</f>
        <v>0</v>
      </c>
      <c r="B635" s="62">
        <f>'Orderformular Color Kids'!B663</f>
        <v>0</v>
      </c>
      <c r="C635" s="8">
        <f>'Orderformular Color Kids'!C663</f>
        <v>0</v>
      </c>
      <c r="D635" s="8">
        <f>'Orderformular Color Kids'!D663</f>
        <v>0</v>
      </c>
      <c r="E635" s="4">
        <f>'Orderformular Color Kids'!E663</f>
        <v>0</v>
      </c>
      <c r="F635" s="4">
        <f>'Orderformular Color Kids'!F663</f>
        <v>0</v>
      </c>
      <c r="G635" s="4">
        <f>'Orderformular Color Kids'!G663</f>
        <v>0</v>
      </c>
      <c r="H635" s="4">
        <f>'Orderformular Color Kids'!H663</f>
        <v>0</v>
      </c>
      <c r="I635" s="4">
        <f>'Orderformular Color Kids'!I663</f>
        <v>0</v>
      </c>
      <c r="J635" s="4">
        <f>'Orderformular Color Kids'!J663</f>
        <v>0</v>
      </c>
      <c r="K635" s="4">
        <f>'Orderformular Color Kids'!K663</f>
        <v>0</v>
      </c>
      <c r="L635" s="4">
        <f>'Orderformular Color Kids'!L663</f>
        <v>0</v>
      </c>
      <c r="M635" s="7">
        <f>'Orderformular Color Kids'!M663</f>
        <v>0</v>
      </c>
      <c r="N635" s="7">
        <f>'Packliste Orig'!N640</f>
        <v>0</v>
      </c>
      <c r="O635" s="7">
        <f>'Orderformular Color Kids'!O663</f>
        <v>0</v>
      </c>
      <c r="P635" s="7">
        <f>'Packliste Orig'!P640</f>
        <v>0</v>
      </c>
      <c r="Q635" s="7">
        <f>'Orderformular Color Kids'!Q663</f>
        <v>0</v>
      </c>
      <c r="R635" s="7">
        <f>'Orderformular Color Kids'!R663</f>
        <v>0</v>
      </c>
      <c r="S635" s="6">
        <f t="shared" si="9"/>
        <v>0</v>
      </c>
      <c r="T635" s="50">
        <f>'Orderformular Color Kids'!U663</f>
        <v>0</v>
      </c>
    </row>
    <row r="636" spans="1:20" x14ac:dyDescent="0.2">
      <c r="A636" s="61">
        <f>'Orderformular Color Kids'!A664</f>
        <v>0</v>
      </c>
      <c r="B636" s="62">
        <f>'Orderformular Color Kids'!B664</f>
        <v>0</v>
      </c>
      <c r="C636" s="8">
        <f>'Orderformular Color Kids'!C664</f>
        <v>0</v>
      </c>
      <c r="D636" s="8">
        <f>'Orderformular Color Kids'!D664</f>
        <v>0</v>
      </c>
      <c r="E636" s="4">
        <f>'Orderformular Color Kids'!E664</f>
        <v>0</v>
      </c>
      <c r="F636" s="4">
        <f>'Orderformular Color Kids'!F664</f>
        <v>0</v>
      </c>
      <c r="G636" s="4">
        <f>'Orderformular Color Kids'!G664</f>
        <v>0</v>
      </c>
      <c r="H636" s="4">
        <f>'Orderformular Color Kids'!H664</f>
        <v>0</v>
      </c>
      <c r="I636" s="4">
        <f>'Orderformular Color Kids'!I664</f>
        <v>0</v>
      </c>
      <c r="J636" s="4">
        <f>'Orderformular Color Kids'!J664</f>
        <v>0</v>
      </c>
      <c r="K636" s="4">
        <f>'Orderformular Color Kids'!K664</f>
        <v>0</v>
      </c>
      <c r="L636" s="4">
        <f>'Orderformular Color Kids'!L664</f>
        <v>0</v>
      </c>
      <c r="M636" s="7">
        <f>'Orderformular Color Kids'!M664</f>
        <v>0</v>
      </c>
      <c r="N636" s="7">
        <f>'Packliste Orig'!N641</f>
        <v>0</v>
      </c>
      <c r="O636" s="7">
        <f>'Orderformular Color Kids'!O664</f>
        <v>0</v>
      </c>
      <c r="P636" s="7">
        <f>'Packliste Orig'!P641</f>
        <v>0</v>
      </c>
      <c r="Q636" s="7">
        <f>'Orderformular Color Kids'!Q664</f>
        <v>0</v>
      </c>
      <c r="R636" s="7">
        <f>'Orderformular Color Kids'!R664</f>
        <v>0</v>
      </c>
      <c r="S636" s="6">
        <f t="shared" si="9"/>
        <v>0</v>
      </c>
      <c r="T636" s="50">
        <f>'Orderformular Color Kids'!U664</f>
        <v>0</v>
      </c>
    </row>
    <row r="637" spans="1:20" x14ac:dyDescent="0.2">
      <c r="A637" s="61">
        <f>'Orderformular Color Kids'!A665</f>
        <v>0</v>
      </c>
      <c r="B637" s="62">
        <f>'Orderformular Color Kids'!B665</f>
        <v>0</v>
      </c>
      <c r="C637" s="8">
        <f>'Orderformular Color Kids'!C665</f>
        <v>0</v>
      </c>
      <c r="D637" s="8">
        <f>'Orderformular Color Kids'!D665</f>
        <v>0</v>
      </c>
      <c r="E637" s="4">
        <f>'Orderformular Color Kids'!E665</f>
        <v>0</v>
      </c>
      <c r="F637" s="4">
        <f>'Orderformular Color Kids'!F665</f>
        <v>0</v>
      </c>
      <c r="G637" s="4">
        <f>'Orderformular Color Kids'!G665</f>
        <v>0</v>
      </c>
      <c r="H637" s="4">
        <f>'Orderformular Color Kids'!H665</f>
        <v>0</v>
      </c>
      <c r="I637" s="4">
        <f>'Orderformular Color Kids'!I665</f>
        <v>0</v>
      </c>
      <c r="J637" s="4">
        <f>'Orderformular Color Kids'!J665</f>
        <v>0</v>
      </c>
      <c r="K637" s="4">
        <f>'Orderformular Color Kids'!K665</f>
        <v>0</v>
      </c>
      <c r="L637" s="4">
        <f>'Orderformular Color Kids'!L665</f>
        <v>0</v>
      </c>
      <c r="M637" s="7">
        <f>'Orderformular Color Kids'!M665</f>
        <v>0</v>
      </c>
      <c r="N637" s="7">
        <f>'Packliste Orig'!N642</f>
        <v>0</v>
      </c>
      <c r="O637" s="7">
        <f>'Orderformular Color Kids'!O665</f>
        <v>0</v>
      </c>
      <c r="P637" s="7">
        <f>'Packliste Orig'!P642</f>
        <v>0</v>
      </c>
      <c r="Q637" s="7">
        <f>'Orderformular Color Kids'!Q665</f>
        <v>0</v>
      </c>
      <c r="R637" s="7">
        <f>'Orderformular Color Kids'!R665</f>
        <v>0</v>
      </c>
      <c r="S637" s="6">
        <f t="shared" si="9"/>
        <v>0</v>
      </c>
      <c r="T637" s="50">
        <f>'Orderformular Color Kids'!U665</f>
        <v>0</v>
      </c>
    </row>
    <row r="638" spans="1:20" x14ac:dyDescent="0.2">
      <c r="A638" s="61">
        <f>'Orderformular Color Kids'!A666</f>
        <v>0</v>
      </c>
      <c r="B638" s="62">
        <f>'Orderformular Color Kids'!B666</f>
        <v>0</v>
      </c>
      <c r="C638" s="8">
        <f>'Orderformular Color Kids'!C666</f>
        <v>0</v>
      </c>
      <c r="D638" s="8">
        <f>'Orderformular Color Kids'!D666</f>
        <v>0</v>
      </c>
      <c r="E638" s="4">
        <f>'Orderformular Color Kids'!E666</f>
        <v>0</v>
      </c>
      <c r="F638" s="4">
        <f>'Orderformular Color Kids'!F666</f>
        <v>0</v>
      </c>
      <c r="G638" s="4">
        <f>'Orderformular Color Kids'!G666</f>
        <v>0</v>
      </c>
      <c r="H638" s="4">
        <f>'Orderformular Color Kids'!H666</f>
        <v>0</v>
      </c>
      <c r="I638" s="4">
        <f>'Orderformular Color Kids'!I666</f>
        <v>0</v>
      </c>
      <c r="J638" s="4">
        <f>'Orderformular Color Kids'!J666</f>
        <v>0</v>
      </c>
      <c r="K638" s="4">
        <f>'Orderformular Color Kids'!K666</f>
        <v>0</v>
      </c>
      <c r="L638" s="4">
        <f>'Orderformular Color Kids'!L666</f>
        <v>0</v>
      </c>
      <c r="M638" s="7">
        <f>'Orderformular Color Kids'!M666</f>
        <v>0</v>
      </c>
      <c r="N638" s="7">
        <f>'Packliste Orig'!N643</f>
        <v>0</v>
      </c>
      <c r="O638" s="7">
        <f>'Orderformular Color Kids'!O666</f>
        <v>0</v>
      </c>
      <c r="P638" s="7">
        <f>'Packliste Orig'!P643</f>
        <v>0</v>
      </c>
      <c r="Q638" s="7">
        <f>'Orderformular Color Kids'!Q666</f>
        <v>0</v>
      </c>
      <c r="R638" s="7">
        <f>'Orderformular Color Kids'!R666</f>
        <v>0</v>
      </c>
      <c r="S638" s="6">
        <f t="shared" si="9"/>
        <v>0</v>
      </c>
      <c r="T638" s="50">
        <f>'Orderformular Color Kids'!U666</f>
        <v>0</v>
      </c>
    </row>
    <row r="639" spans="1:20" x14ac:dyDescent="0.2">
      <c r="A639" s="61">
        <f>'Orderformular Color Kids'!A667</f>
        <v>0</v>
      </c>
      <c r="B639" s="62">
        <f>'Orderformular Color Kids'!B667</f>
        <v>0</v>
      </c>
      <c r="C639" s="8">
        <f>'Orderformular Color Kids'!C667</f>
        <v>0</v>
      </c>
      <c r="D639" s="8">
        <f>'Orderformular Color Kids'!D667</f>
        <v>0</v>
      </c>
      <c r="E639" s="4">
        <f>'Orderformular Color Kids'!E667</f>
        <v>0</v>
      </c>
      <c r="F639" s="4">
        <f>'Orderformular Color Kids'!F667</f>
        <v>0</v>
      </c>
      <c r="G639" s="4">
        <f>'Orderformular Color Kids'!G667</f>
        <v>0</v>
      </c>
      <c r="H639" s="4">
        <f>'Orderformular Color Kids'!H667</f>
        <v>0</v>
      </c>
      <c r="I639" s="4">
        <f>'Orderformular Color Kids'!I667</f>
        <v>0</v>
      </c>
      <c r="J639" s="4">
        <f>'Orderformular Color Kids'!J667</f>
        <v>0</v>
      </c>
      <c r="K639" s="4">
        <f>'Orderformular Color Kids'!K667</f>
        <v>0</v>
      </c>
      <c r="L639" s="4">
        <f>'Orderformular Color Kids'!L667</f>
        <v>0</v>
      </c>
      <c r="M639" s="7">
        <f>'Orderformular Color Kids'!M667</f>
        <v>0</v>
      </c>
      <c r="N639" s="7">
        <f>'Packliste Orig'!N644</f>
        <v>0</v>
      </c>
      <c r="O639" s="7">
        <f>'Orderformular Color Kids'!O667</f>
        <v>0</v>
      </c>
      <c r="P639" s="7">
        <f>'Packliste Orig'!P644</f>
        <v>0</v>
      </c>
      <c r="Q639" s="7">
        <f>'Orderformular Color Kids'!Q667</f>
        <v>0</v>
      </c>
      <c r="R639" s="7">
        <f>'Orderformular Color Kids'!R667</f>
        <v>0</v>
      </c>
      <c r="S639" s="6">
        <f t="shared" si="9"/>
        <v>0</v>
      </c>
      <c r="T639" s="50">
        <f>'Orderformular Color Kids'!U667</f>
        <v>0</v>
      </c>
    </row>
    <row r="640" spans="1:20" x14ac:dyDescent="0.2">
      <c r="A640" s="61">
        <f>'Orderformular Color Kids'!A668</f>
        <v>0</v>
      </c>
      <c r="B640" s="62">
        <f>'Orderformular Color Kids'!B668</f>
        <v>0</v>
      </c>
      <c r="C640" s="8">
        <f>'Orderformular Color Kids'!C668</f>
        <v>0</v>
      </c>
      <c r="D640" s="8">
        <f>'Orderformular Color Kids'!D668</f>
        <v>0</v>
      </c>
      <c r="E640" s="4">
        <f>'Orderformular Color Kids'!E668</f>
        <v>0</v>
      </c>
      <c r="F640" s="4">
        <f>'Orderformular Color Kids'!F668</f>
        <v>0</v>
      </c>
      <c r="G640" s="4">
        <f>'Orderformular Color Kids'!G668</f>
        <v>0</v>
      </c>
      <c r="H640" s="4">
        <f>'Orderformular Color Kids'!H668</f>
        <v>0</v>
      </c>
      <c r="I640" s="4">
        <f>'Orderformular Color Kids'!I668</f>
        <v>0</v>
      </c>
      <c r="J640" s="4">
        <f>'Orderformular Color Kids'!J668</f>
        <v>0</v>
      </c>
      <c r="K640" s="4">
        <f>'Orderformular Color Kids'!K668</f>
        <v>0</v>
      </c>
      <c r="L640" s="4">
        <f>'Orderformular Color Kids'!L668</f>
        <v>0</v>
      </c>
      <c r="M640" s="7">
        <f>'Orderformular Color Kids'!M668</f>
        <v>0</v>
      </c>
      <c r="N640" s="7">
        <f>'Packliste Orig'!N645</f>
        <v>0</v>
      </c>
      <c r="O640" s="7">
        <f>'Orderformular Color Kids'!O668</f>
        <v>0</v>
      </c>
      <c r="P640" s="7">
        <f>'Packliste Orig'!P645</f>
        <v>0</v>
      </c>
      <c r="Q640" s="7">
        <f>'Orderformular Color Kids'!Q668</f>
        <v>0</v>
      </c>
      <c r="R640" s="7">
        <f>'Orderformular Color Kids'!R668</f>
        <v>0</v>
      </c>
      <c r="S640" s="6">
        <f t="shared" si="9"/>
        <v>0</v>
      </c>
      <c r="T640" s="50">
        <f>'Orderformular Color Kids'!U668</f>
        <v>0</v>
      </c>
    </row>
    <row r="641" spans="1:20" x14ac:dyDescent="0.2">
      <c r="A641" s="61">
        <f>'Orderformular Color Kids'!A669</f>
        <v>0</v>
      </c>
      <c r="B641" s="62">
        <f>'Orderformular Color Kids'!B669</f>
        <v>0</v>
      </c>
      <c r="C641" s="8">
        <f>'Orderformular Color Kids'!C669</f>
        <v>0</v>
      </c>
      <c r="D641" s="8">
        <f>'Orderformular Color Kids'!D669</f>
        <v>0</v>
      </c>
      <c r="E641" s="4">
        <f>'Orderformular Color Kids'!E669</f>
        <v>0</v>
      </c>
      <c r="F641" s="4">
        <f>'Orderformular Color Kids'!F669</f>
        <v>0</v>
      </c>
      <c r="G641" s="4">
        <f>'Orderformular Color Kids'!G669</f>
        <v>0</v>
      </c>
      <c r="H641" s="4">
        <f>'Orderformular Color Kids'!H669</f>
        <v>0</v>
      </c>
      <c r="I641" s="4">
        <f>'Orderformular Color Kids'!I669</f>
        <v>0</v>
      </c>
      <c r="J641" s="4">
        <f>'Orderformular Color Kids'!J669</f>
        <v>0</v>
      </c>
      <c r="K641" s="4">
        <f>'Orderformular Color Kids'!K669</f>
        <v>0</v>
      </c>
      <c r="L641" s="4">
        <f>'Orderformular Color Kids'!L669</f>
        <v>0</v>
      </c>
      <c r="M641" s="7">
        <f>'Orderformular Color Kids'!M669</f>
        <v>0</v>
      </c>
      <c r="N641" s="7">
        <f>'Packliste Orig'!N646</f>
        <v>0</v>
      </c>
      <c r="O641" s="7">
        <f>'Orderformular Color Kids'!O669</f>
        <v>0</v>
      </c>
      <c r="P641" s="7">
        <f>'Packliste Orig'!P646</f>
        <v>0</v>
      </c>
      <c r="Q641" s="7">
        <f>'Orderformular Color Kids'!Q669</f>
        <v>0</v>
      </c>
      <c r="R641" s="7">
        <f>'Orderformular Color Kids'!R669</f>
        <v>0</v>
      </c>
      <c r="S641" s="6">
        <f t="shared" si="9"/>
        <v>0</v>
      </c>
      <c r="T641" s="50">
        <f>'Orderformular Color Kids'!U669</f>
        <v>0</v>
      </c>
    </row>
    <row r="642" spans="1:20" x14ac:dyDescent="0.2">
      <c r="A642" s="61">
        <f>'Orderformular Color Kids'!A670</f>
        <v>0</v>
      </c>
      <c r="B642" s="62">
        <f>'Orderformular Color Kids'!B670</f>
        <v>0</v>
      </c>
      <c r="C642" s="8">
        <f>'Orderformular Color Kids'!C670</f>
        <v>0</v>
      </c>
      <c r="D642" s="8">
        <f>'Orderformular Color Kids'!D670</f>
        <v>0</v>
      </c>
      <c r="E642" s="4">
        <f>'Orderformular Color Kids'!E670</f>
        <v>0</v>
      </c>
      <c r="F642" s="4">
        <f>'Orderformular Color Kids'!F670</f>
        <v>0</v>
      </c>
      <c r="G642" s="4">
        <f>'Orderformular Color Kids'!G670</f>
        <v>0</v>
      </c>
      <c r="H642" s="4">
        <f>'Orderformular Color Kids'!H670</f>
        <v>0</v>
      </c>
      <c r="I642" s="4">
        <f>'Orderformular Color Kids'!I670</f>
        <v>0</v>
      </c>
      <c r="J642" s="4">
        <f>'Orderformular Color Kids'!J670</f>
        <v>0</v>
      </c>
      <c r="K642" s="4">
        <f>'Orderformular Color Kids'!K670</f>
        <v>0</v>
      </c>
      <c r="L642" s="4">
        <f>'Orderformular Color Kids'!L670</f>
        <v>0</v>
      </c>
      <c r="M642" s="7">
        <f>'Orderformular Color Kids'!M670</f>
        <v>0</v>
      </c>
      <c r="N642" s="7">
        <f>'Packliste Orig'!N647</f>
        <v>0</v>
      </c>
      <c r="O642" s="7">
        <f>'Orderformular Color Kids'!O670</f>
        <v>0</v>
      </c>
      <c r="P642" s="7">
        <f>'Packliste Orig'!P647</f>
        <v>0</v>
      </c>
      <c r="Q642" s="7">
        <f>'Orderformular Color Kids'!Q670</f>
        <v>0</v>
      </c>
      <c r="R642" s="7">
        <f>'Orderformular Color Kids'!R670</f>
        <v>0</v>
      </c>
      <c r="S642" s="6">
        <f t="shared" si="9"/>
        <v>0</v>
      </c>
      <c r="T642" s="50">
        <f>'Orderformular Color Kids'!U670</f>
        <v>0</v>
      </c>
    </row>
    <row r="643" spans="1:20" x14ac:dyDescent="0.2">
      <c r="A643" s="61">
        <f>'Orderformular Color Kids'!A671</f>
        <v>0</v>
      </c>
      <c r="B643" s="62">
        <f>'Orderformular Color Kids'!B671</f>
        <v>0</v>
      </c>
      <c r="C643" s="8">
        <f>'Orderformular Color Kids'!C671</f>
        <v>0</v>
      </c>
      <c r="D643" s="8">
        <f>'Orderformular Color Kids'!D671</f>
        <v>0</v>
      </c>
      <c r="E643" s="4">
        <f>'Orderformular Color Kids'!E671</f>
        <v>0</v>
      </c>
      <c r="F643" s="4">
        <f>'Orderformular Color Kids'!F671</f>
        <v>0</v>
      </c>
      <c r="G643" s="4">
        <f>'Orderformular Color Kids'!G671</f>
        <v>0</v>
      </c>
      <c r="H643" s="4">
        <f>'Orderformular Color Kids'!H671</f>
        <v>0</v>
      </c>
      <c r="I643" s="4">
        <f>'Orderformular Color Kids'!I671</f>
        <v>0</v>
      </c>
      <c r="J643" s="4">
        <f>'Orderformular Color Kids'!J671</f>
        <v>0</v>
      </c>
      <c r="K643" s="4">
        <f>'Orderformular Color Kids'!K671</f>
        <v>0</v>
      </c>
      <c r="L643" s="4">
        <f>'Orderformular Color Kids'!L671</f>
        <v>0</v>
      </c>
      <c r="M643" s="7">
        <f>'Orderformular Color Kids'!M671</f>
        <v>0</v>
      </c>
      <c r="N643" s="7">
        <f>'Packliste Orig'!N648</f>
        <v>0</v>
      </c>
      <c r="O643" s="7">
        <f>'Orderformular Color Kids'!O671</f>
        <v>0</v>
      </c>
      <c r="P643" s="7">
        <f>'Packliste Orig'!P648</f>
        <v>0</v>
      </c>
      <c r="Q643" s="7">
        <f>'Orderformular Color Kids'!Q671</f>
        <v>0</v>
      </c>
      <c r="R643" s="7">
        <f>'Orderformular Color Kids'!R671</f>
        <v>0</v>
      </c>
      <c r="S643" s="6">
        <f t="shared" si="9"/>
        <v>0</v>
      </c>
      <c r="T643" s="50">
        <f>'Orderformular Color Kids'!U671</f>
        <v>0</v>
      </c>
    </row>
    <row r="644" spans="1:20" x14ac:dyDescent="0.2">
      <c r="A644" s="61">
        <f>'Orderformular Color Kids'!A672</f>
        <v>0</v>
      </c>
      <c r="B644" s="62">
        <f>'Orderformular Color Kids'!B672</f>
        <v>0</v>
      </c>
      <c r="C644" s="8">
        <f>'Orderformular Color Kids'!C672</f>
        <v>0</v>
      </c>
      <c r="D644" s="8">
        <f>'Orderformular Color Kids'!D672</f>
        <v>0</v>
      </c>
      <c r="E644" s="4">
        <f>'Orderformular Color Kids'!E672</f>
        <v>0</v>
      </c>
      <c r="F644" s="4">
        <f>'Orderformular Color Kids'!F672</f>
        <v>0</v>
      </c>
      <c r="G644" s="4">
        <f>'Orderformular Color Kids'!G672</f>
        <v>0</v>
      </c>
      <c r="H644" s="4">
        <f>'Orderformular Color Kids'!H672</f>
        <v>0</v>
      </c>
      <c r="I644" s="4">
        <f>'Orderformular Color Kids'!I672</f>
        <v>0</v>
      </c>
      <c r="J644" s="4">
        <f>'Orderformular Color Kids'!J672</f>
        <v>0</v>
      </c>
      <c r="K644" s="4">
        <f>'Orderformular Color Kids'!K672</f>
        <v>0</v>
      </c>
      <c r="L644" s="4">
        <f>'Orderformular Color Kids'!L672</f>
        <v>0</v>
      </c>
      <c r="M644" s="7">
        <f>'Orderformular Color Kids'!M672</f>
        <v>0</v>
      </c>
      <c r="N644" s="7">
        <f>'Packliste Orig'!N649</f>
        <v>0</v>
      </c>
      <c r="O644" s="7">
        <f>'Orderformular Color Kids'!O672</f>
        <v>0</v>
      </c>
      <c r="P644" s="7">
        <f>'Packliste Orig'!P649</f>
        <v>0</v>
      </c>
      <c r="Q644" s="7">
        <f>'Orderformular Color Kids'!Q672</f>
        <v>0</v>
      </c>
      <c r="R644" s="7">
        <f>'Orderformular Color Kids'!R672</f>
        <v>0</v>
      </c>
      <c r="S644" s="6">
        <f t="shared" si="9"/>
        <v>0</v>
      </c>
      <c r="T644" s="50">
        <f>'Orderformular Color Kids'!U672</f>
        <v>0</v>
      </c>
    </row>
    <row r="645" spans="1:20" x14ac:dyDescent="0.2">
      <c r="A645" s="61">
        <f>'Orderformular Color Kids'!A673</f>
        <v>0</v>
      </c>
      <c r="B645" s="62">
        <f>'Orderformular Color Kids'!B673</f>
        <v>0</v>
      </c>
      <c r="C645" s="8">
        <f>'Orderformular Color Kids'!C673</f>
        <v>0</v>
      </c>
      <c r="D645" s="8">
        <f>'Orderformular Color Kids'!D673</f>
        <v>0</v>
      </c>
      <c r="E645" s="4">
        <f>'Orderformular Color Kids'!E673</f>
        <v>0</v>
      </c>
      <c r="F645" s="4">
        <f>'Orderformular Color Kids'!F673</f>
        <v>0</v>
      </c>
      <c r="G645" s="4">
        <f>'Orderformular Color Kids'!G673</f>
        <v>0</v>
      </c>
      <c r="H645" s="4">
        <f>'Orderformular Color Kids'!H673</f>
        <v>0</v>
      </c>
      <c r="I645" s="4">
        <f>'Orderformular Color Kids'!I673</f>
        <v>0</v>
      </c>
      <c r="J645" s="4">
        <f>'Orderformular Color Kids'!J673</f>
        <v>0</v>
      </c>
      <c r="K645" s="4">
        <f>'Orderformular Color Kids'!K673</f>
        <v>0</v>
      </c>
      <c r="L645" s="4">
        <f>'Orderformular Color Kids'!L673</f>
        <v>0</v>
      </c>
      <c r="M645" s="7">
        <f>'Orderformular Color Kids'!M673</f>
        <v>0</v>
      </c>
      <c r="N645" s="7">
        <f>'Packliste Orig'!N650</f>
        <v>0</v>
      </c>
      <c r="O645" s="7">
        <f>'Orderformular Color Kids'!O673</f>
        <v>0</v>
      </c>
      <c r="P645" s="7">
        <f>'Packliste Orig'!P650</f>
        <v>0</v>
      </c>
      <c r="Q645" s="7">
        <f>'Orderformular Color Kids'!Q673</f>
        <v>0</v>
      </c>
      <c r="R645" s="7">
        <f>'Orderformular Color Kids'!R673</f>
        <v>0</v>
      </c>
      <c r="S645" s="6">
        <f t="shared" si="9"/>
        <v>0</v>
      </c>
      <c r="T645" s="50">
        <f>'Orderformular Color Kids'!U673</f>
        <v>0</v>
      </c>
    </row>
    <row r="646" spans="1:20" x14ac:dyDescent="0.2">
      <c r="A646" s="61">
        <f>'Orderformular Color Kids'!A674</f>
        <v>0</v>
      </c>
      <c r="B646" s="62">
        <f>'Orderformular Color Kids'!B674</f>
        <v>0</v>
      </c>
      <c r="C646" s="8">
        <f>'Orderformular Color Kids'!C674</f>
        <v>0</v>
      </c>
      <c r="D646" s="8">
        <f>'Orderformular Color Kids'!D674</f>
        <v>0</v>
      </c>
      <c r="E646" s="4">
        <f>'Orderformular Color Kids'!E674</f>
        <v>0</v>
      </c>
      <c r="F646" s="4">
        <f>'Orderformular Color Kids'!F674</f>
        <v>0</v>
      </c>
      <c r="G646" s="4">
        <f>'Orderformular Color Kids'!G674</f>
        <v>0</v>
      </c>
      <c r="H646" s="4">
        <f>'Orderformular Color Kids'!H674</f>
        <v>0</v>
      </c>
      <c r="I646" s="4">
        <f>'Orderformular Color Kids'!I674</f>
        <v>0</v>
      </c>
      <c r="J646" s="4">
        <f>'Orderformular Color Kids'!J674</f>
        <v>0</v>
      </c>
      <c r="K646" s="4">
        <f>'Orderformular Color Kids'!K674</f>
        <v>0</v>
      </c>
      <c r="L646" s="4">
        <f>'Orderformular Color Kids'!L674</f>
        <v>0</v>
      </c>
      <c r="M646" s="7">
        <f>'Orderformular Color Kids'!M674</f>
        <v>0</v>
      </c>
      <c r="N646" s="7">
        <f>'Packliste Orig'!N651</f>
        <v>0</v>
      </c>
      <c r="O646" s="7">
        <f>'Orderformular Color Kids'!O674</f>
        <v>0</v>
      </c>
      <c r="P646" s="7">
        <f>'Packliste Orig'!P651</f>
        <v>0</v>
      </c>
      <c r="Q646" s="7">
        <f>'Orderformular Color Kids'!Q674</f>
        <v>0</v>
      </c>
      <c r="R646" s="7">
        <f>'Orderformular Color Kids'!R674</f>
        <v>0</v>
      </c>
      <c r="S646" s="6">
        <f t="shared" si="9"/>
        <v>0</v>
      </c>
      <c r="T646" s="50">
        <f>'Orderformular Color Kids'!U674</f>
        <v>0</v>
      </c>
    </row>
    <row r="647" spans="1:20" x14ac:dyDescent="0.2">
      <c r="A647" s="61">
        <f>'Orderformular Color Kids'!A675</f>
        <v>0</v>
      </c>
      <c r="B647" s="62">
        <f>'Orderformular Color Kids'!B675</f>
        <v>0</v>
      </c>
      <c r="C647" s="8">
        <f>'Orderformular Color Kids'!C675</f>
        <v>0</v>
      </c>
      <c r="D647" s="8">
        <f>'Orderformular Color Kids'!D675</f>
        <v>0</v>
      </c>
      <c r="E647" s="4">
        <f>'Orderformular Color Kids'!E675</f>
        <v>0</v>
      </c>
      <c r="F647" s="4">
        <f>'Orderformular Color Kids'!F675</f>
        <v>0</v>
      </c>
      <c r="G647" s="4">
        <f>'Orderformular Color Kids'!G675</f>
        <v>0</v>
      </c>
      <c r="H647" s="4">
        <f>'Orderformular Color Kids'!H675</f>
        <v>0</v>
      </c>
      <c r="I647" s="4">
        <f>'Orderformular Color Kids'!I675</f>
        <v>0</v>
      </c>
      <c r="J647" s="4">
        <f>'Orderformular Color Kids'!J675</f>
        <v>0</v>
      </c>
      <c r="K647" s="4">
        <f>'Orderformular Color Kids'!K675</f>
        <v>0</v>
      </c>
      <c r="L647" s="4">
        <f>'Orderformular Color Kids'!L675</f>
        <v>0</v>
      </c>
      <c r="M647" s="7">
        <f>'Orderformular Color Kids'!M675</f>
        <v>0</v>
      </c>
      <c r="N647" s="7">
        <f>'Packliste Orig'!N652</f>
        <v>0</v>
      </c>
      <c r="O647" s="7">
        <f>'Orderformular Color Kids'!O675</f>
        <v>0</v>
      </c>
      <c r="P647" s="7">
        <f>'Packliste Orig'!P652</f>
        <v>0</v>
      </c>
      <c r="Q647" s="7">
        <f>'Orderformular Color Kids'!Q675</f>
        <v>0</v>
      </c>
      <c r="R647" s="7">
        <f>'Orderformular Color Kids'!R675</f>
        <v>0</v>
      </c>
      <c r="S647" s="6">
        <f t="shared" si="9"/>
        <v>0</v>
      </c>
      <c r="T647" s="50">
        <f>'Orderformular Color Kids'!U675</f>
        <v>0</v>
      </c>
    </row>
    <row r="648" spans="1:20" x14ac:dyDescent="0.2">
      <c r="A648" s="61">
        <f>'Orderformular Color Kids'!A676</f>
        <v>0</v>
      </c>
      <c r="B648" s="62">
        <f>'Orderformular Color Kids'!B676</f>
        <v>0</v>
      </c>
      <c r="C648" s="8">
        <f>'Orderformular Color Kids'!C676</f>
        <v>0</v>
      </c>
      <c r="D648" s="8">
        <f>'Orderformular Color Kids'!D676</f>
        <v>0</v>
      </c>
      <c r="E648" s="4">
        <f>'Orderformular Color Kids'!E676</f>
        <v>0</v>
      </c>
      <c r="F648" s="4">
        <f>'Orderformular Color Kids'!F676</f>
        <v>0</v>
      </c>
      <c r="G648" s="4">
        <f>'Orderformular Color Kids'!G676</f>
        <v>0</v>
      </c>
      <c r="H648" s="4">
        <f>'Orderformular Color Kids'!H676</f>
        <v>0</v>
      </c>
      <c r="I648" s="4">
        <f>'Orderformular Color Kids'!I676</f>
        <v>0</v>
      </c>
      <c r="J648" s="4">
        <f>'Orderformular Color Kids'!J676</f>
        <v>0</v>
      </c>
      <c r="K648" s="4">
        <f>'Orderformular Color Kids'!K676</f>
        <v>0</v>
      </c>
      <c r="L648" s="4">
        <f>'Orderformular Color Kids'!L676</f>
        <v>0</v>
      </c>
      <c r="M648" s="7">
        <f>'Orderformular Color Kids'!M676</f>
        <v>0</v>
      </c>
      <c r="N648" s="7">
        <f>'Packliste Orig'!N653</f>
        <v>0</v>
      </c>
      <c r="O648" s="7">
        <f>'Orderformular Color Kids'!O676</f>
        <v>0</v>
      </c>
      <c r="P648" s="7">
        <f>'Packliste Orig'!P653</f>
        <v>0</v>
      </c>
      <c r="Q648" s="7">
        <f>'Orderformular Color Kids'!Q676</f>
        <v>0</v>
      </c>
      <c r="R648" s="7">
        <f>'Orderformular Color Kids'!R676</f>
        <v>0</v>
      </c>
      <c r="S648" s="6">
        <f t="shared" si="9"/>
        <v>0</v>
      </c>
      <c r="T648" s="50">
        <f>'Orderformular Color Kids'!U676</f>
        <v>0</v>
      </c>
    </row>
    <row r="649" spans="1:20" x14ac:dyDescent="0.2">
      <c r="A649" s="61">
        <f>'Orderformular Color Kids'!A677</f>
        <v>0</v>
      </c>
      <c r="B649" s="62">
        <f>'Orderformular Color Kids'!B677</f>
        <v>0</v>
      </c>
      <c r="C649" s="8">
        <f>'Orderformular Color Kids'!C677</f>
        <v>0</v>
      </c>
      <c r="D649" s="8">
        <f>'Orderformular Color Kids'!D677</f>
        <v>0</v>
      </c>
      <c r="E649" s="4">
        <f>'Orderformular Color Kids'!E677</f>
        <v>0</v>
      </c>
      <c r="F649" s="4">
        <f>'Orderformular Color Kids'!F677</f>
        <v>0</v>
      </c>
      <c r="G649" s="4">
        <f>'Orderformular Color Kids'!G677</f>
        <v>0</v>
      </c>
      <c r="H649" s="4">
        <f>'Orderformular Color Kids'!H677</f>
        <v>0</v>
      </c>
      <c r="I649" s="4">
        <f>'Orderformular Color Kids'!I677</f>
        <v>0</v>
      </c>
      <c r="J649" s="4">
        <f>'Orderformular Color Kids'!J677</f>
        <v>0</v>
      </c>
      <c r="K649" s="4">
        <f>'Orderformular Color Kids'!K677</f>
        <v>0</v>
      </c>
      <c r="L649" s="4">
        <f>'Orderformular Color Kids'!L677</f>
        <v>0</v>
      </c>
      <c r="M649" s="7">
        <f>'Orderformular Color Kids'!M677</f>
        <v>0</v>
      </c>
      <c r="N649" s="7">
        <f>'Packliste Orig'!N654</f>
        <v>0</v>
      </c>
      <c r="O649" s="7">
        <f>'Orderformular Color Kids'!O677</f>
        <v>0</v>
      </c>
      <c r="P649" s="7">
        <f>'Packliste Orig'!P654</f>
        <v>0</v>
      </c>
      <c r="Q649" s="7">
        <f>'Orderformular Color Kids'!Q677</f>
        <v>0</v>
      </c>
      <c r="R649" s="7">
        <f>'Orderformular Color Kids'!R677</f>
        <v>0</v>
      </c>
      <c r="S649" s="6">
        <f t="shared" si="9"/>
        <v>0</v>
      </c>
      <c r="T649" s="50">
        <f>'Orderformular Color Kids'!U677</f>
        <v>0</v>
      </c>
    </row>
    <row r="650" spans="1:20" x14ac:dyDescent="0.2">
      <c r="A650" s="61">
        <f>'Orderformular Color Kids'!A678</f>
        <v>0</v>
      </c>
      <c r="B650" s="62">
        <f>'Orderformular Color Kids'!B678</f>
        <v>0</v>
      </c>
      <c r="C650" s="8">
        <f>'Orderformular Color Kids'!C678</f>
        <v>0</v>
      </c>
      <c r="D650" s="8">
        <f>'Orderformular Color Kids'!D678</f>
        <v>0</v>
      </c>
      <c r="E650" s="4">
        <f>'Orderformular Color Kids'!E678</f>
        <v>0</v>
      </c>
      <c r="F650" s="4">
        <f>'Orderformular Color Kids'!F678</f>
        <v>0</v>
      </c>
      <c r="G650" s="4">
        <f>'Orderformular Color Kids'!G678</f>
        <v>0</v>
      </c>
      <c r="H650" s="4">
        <f>'Orderformular Color Kids'!H678</f>
        <v>0</v>
      </c>
      <c r="I650" s="4">
        <f>'Orderformular Color Kids'!I678</f>
        <v>0</v>
      </c>
      <c r="J650" s="4">
        <f>'Orderformular Color Kids'!J678</f>
        <v>0</v>
      </c>
      <c r="K650" s="4">
        <f>'Orderformular Color Kids'!K678</f>
        <v>0</v>
      </c>
      <c r="L650" s="4">
        <f>'Orderformular Color Kids'!L678</f>
        <v>0</v>
      </c>
      <c r="M650" s="7">
        <f>'Orderformular Color Kids'!M678</f>
        <v>0</v>
      </c>
      <c r="N650" s="7">
        <f>'Packliste Orig'!N655</f>
        <v>0</v>
      </c>
      <c r="O650" s="7">
        <f>'Orderformular Color Kids'!O678</f>
        <v>0</v>
      </c>
      <c r="P650" s="7">
        <f>'Packliste Orig'!P655</f>
        <v>0</v>
      </c>
      <c r="Q650" s="7">
        <f>'Orderformular Color Kids'!Q678</f>
        <v>0</v>
      </c>
      <c r="R650" s="7">
        <f>'Orderformular Color Kids'!R678</f>
        <v>0</v>
      </c>
      <c r="S650" s="6">
        <f t="shared" si="9"/>
        <v>0</v>
      </c>
      <c r="T650" s="50">
        <f>'Orderformular Color Kids'!U678</f>
        <v>0</v>
      </c>
    </row>
    <row r="651" spans="1:20" x14ac:dyDescent="0.2">
      <c r="A651" s="61">
        <f>'Orderformular Color Kids'!A679</f>
        <v>0</v>
      </c>
      <c r="B651" s="62">
        <f>'Orderformular Color Kids'!B679</f>
        <v>0</v>
      </c>
      <c r="C651" s="8">
        <f>'Orderformular Color Kids'!C679</f>
        <v>0</v>
      </c>
      <c r="D651" s="8">
        <f>'Orderformular Color Kids'!D679</f>
        <v>0</v>
      </c>
      <c r="E651" s="4">
        <f>'Orderformular Color Kids'!E679</f>
        <v>0</v>
      </c>
      <c r="F651" s="4">
        <f>'Orderformular Color Kids'!F679</f>
        <v>0</v>
      </c>
      <c r="G651" s="4">
        <f>'Orderformular Color Kids'!G679</f>
        <v>0</v>
      </c>
      <c r="H651" s="4">
        <f>'Orderformular Color Kids'!H679</f>
        <v>0</v>
      </c>
      <c r="I651" s="4">
        <f>'Orderformular Color Kids'!I679</f>
        <v>0</v>
      </c>
      <c r="J651" s="4">
        <f>'Orderformular Color Kids'!J679</f>
        <v>0</v>
      </c>
      <c r="K651" s="4">
        <f>'Orderformular Color Kids'!K679</f>
        <v>0</v>
      </c>
      <c r="L651" s="4">
        <f>'Orderformular Color Kids'!L679</f>
        <v>0</v>
      </c>
      <c r="M651" s="7">
        <f>'Orderformular Color Kids'!M679</f>
        <v>0</v>
      </c>
      <c r="N651" s="7">
        <f>'Packliste Orig'!N656</f>
        <v>0</v>
      </c>
      <c r="O651" s="7">
        <f>'Orderformular Color Kids'!O679</f>
        <v>0</v>
      </c>
      <c r="P651" s="7">
        <f>'Packliste Orig'!P656</f>
        <v>0</v>
      </c>
      <c r="Q651" s="7">
        <f>'Orderformular Color Kids'!Q679</f>
        <v>0</v>
      </c>
      <c r="R651" s="7">
        <f>'Orderformular Color Kids'!R679</f>
        <v>0</v>
      </c>
      <c r="S651" s="6">
        <f t="shared" si="9"/>
        <v>0</v>
      </c>
      <c r="T651" s="50">
        <f>'Orderformular Color Kids'!U679</f>
        <v>0</v>
      </c>
    </row>
    <row r="652" spans="1:20" x14ac:dyDescent="0.2">
      <c r="A652" s="61">
        <f>'Orderformular Color Kids'!A680</f>
        <v>0</v>
      </c>
      <c r="B652" s="62">
        <f>'Orderformular Color Kids'!B680</f>
        <v>0</v>
      </c>
      <c r="C652" s="8">
        <f>'Orderformular Color Kids'!C680</f>
        <v>0</v>
      </c>
      <c r="D652" s="8">
        <f>'Orderformular Color Kids'!D680</f>
        <v>0</v>
      </c>
      <c r="E652" s="4">
        <f>'Orderformular Color Kids'!E680</f>
        <v>0</v>
      </c>
      <c r="F652" s="4">
        <f>'Orderformular Color Kids'!F680</f>
        <v>0</v>
      </c>
      <c r="G652" s="4">
        <f>'Orderformular Color Kids'!G680</f>
        <v>0</v>
      </c>
      <c r="H652" s="4">
        <f>'Orderformular Color Kids'!H680</f>
        <v>0</v>
      </c>
      <c r="I652" s="4">
        <f>'Orderformular Color Kids'!I680</f>
        <v>0</v>
      </c>
      <c r="J652" s="4">
        <f>'Orderformular Color Kids'!J680</f>
        <v>0</v>
      </c>
      <c r="K652" s="4">
        <f>'Orderformular Color Kids'!K680</f>
        <v>0</v>
      </c>
      <c r="L652" s="4">
        <f>'Orderformular Color Kids'!L680</f>
        <v>0</v>
      </c>
      <c r="M652" s="7">
        <f>'Orderformular Color Kids'!M680</f>
        <v>0</v>
      </c>
      <c r="N652" s="7">
        <f>'Packliste Orig'!N657</f>
        <v>0</v>
      </c>
      <c r="O652" s="7">
        <f>'Orderformular Color Kids'!O680</f>
        <v>0</v>
      </c>
      <c r="P652" s="7">
        <f>'Packliste Orig'!P657</f>
        <v>0</v>
      </c>
      <c r="Q652" s="7">
        <f>'Orderformular Color Kids'!Q680</f>
        <v>0</v>
      </c>
      <c r="R652" s="7">
        <f>'Orderformular Color Kids'!R680</f>
        <v>0</v>
      </c>
      <c r="S652" s="6">
        <f t="shared" ref="S652:S685" si="10">SUM(E652:R652)</f>
        <v>0</v>
      </c>
      <c r="T652" s="50">
        <f>'Orderformular Color Kids'!U680</f>
        <v>0</v>
      </c>
    </row>
    <row r="653" spans="1:20" x14ac:dyDescent="0.2">
      <c r="A653" s="61">
        <f>'Orderformular Color Kids'!A681</f>
        <v>0</v>
      </c>
      <c r="B653" s="62">
        <f>'Orderformular Color Kids'!B681</f>
        <v>0</v>
      </c>
      <c r="C653" s="8">
        <f>'Orderformular Color Kids'!C681</f>
        <v>0</v>
      </c>
      <c r="D653" s="8">
        <f>'Orderformular Color Kids'!D681</f>
        <v>0</v>
      </c>
      <c r="E653" s="4">
        <f>'Orderformular Color Kids'!E681</f>
        <v>0</v>
      </c>
      <c r="F653" s="4">
        <f>'Orderformular Color Kids'!F681</f>
        <v>0</v>
      </c>
      <c r="G653" s="4">
        <f>'Orderformular Color Kids'!G681</f>
        <v>0</v>
      </c>
      <c r="H653" s="4">
        <f>'Orderformular Color Kids'!H681</f>
        <v>0</v>
      </c>
      <c r="I653" s="4">
        <f>'Orderformular Color Kids'!I681</f>
        <v>0</v>
      </c>
      <c r="J653" s="4">
        <f>'Orderformular Color Kids'!J681</f>
        <v>0</v>
      </c>
      <c r="K653" s="4">
        <f>'Orderformular Color Kids'!K681</f>
        <v>0</v>
      </c>
      <c r="L653" s="4">
        <f>'Orderformular Color Kids'!L681</f>
        <v>0</v>
      </c>
      <c r="M653" s="7">
        <f>'Orderformular Color Kids'!M681</f>
        <v>0</v>
      </c>
      <c r="N653" s="7">
        <f>'Packliste Orig'!N658</f>
        <v>0</v>
      </c>
      <c r="O653" s="7">
        <f>'Orderformular Color Kids'!O681</f>
        <v>0</v>
      </c>
      <c r="P653" s="7">
        <f>'Packliste Orig'!P658</f>
        <v>0</v>
      </c>
      <c r="Q653" s="7">
        <f>'Orderformular Color Kids'!Q681</f>
        <v>0</v>
      </c>
      <c r="R653" s="7">
        <f>'Orderformular Color Kids'!R681</f>
        <v>0</v>
      </c>
      <c r="S653" s="6">
        <f t="shared" si="10"/>
        <v>0</v>
      </c>
      <c r="T653" s="50">
        <f>'Orderformular Color Kids'!U681</f>
        <v>0</v>
      </c>
    </row>
    <row r="654" spans="1:20" x14ac:dyDescent="0.2">
      <c r="A654" s="61">
        <f>'Orderformular Color Kids'!A682</f>
        <v>0</v>
      </c>
      <c r="B654" s="62">
        <f>'Orderformular Color Kids'!B682</f>
        <v>0</v>
      </c>
      <c r="C654" s="8">
        <f>'Orderformular Color Kids'!C682</f>
        <v>0</v>
      </c>
      <c r="D654" s="8">
        <f>'Orderformular Color Kids'!D682</f>
        <v>0</v>
      </c>
      <c r="E654" s="4">
        <f>'Orderformular Color Kids'!E682</f>
        <v>0</v>
      </c>
      <c r="F654" s="4">
        <f>'Orderformular Color Kids'!F682</f>
        <v>0</v>
      </c>
      <c r="G654" s="4">
        <f>'Orderformular Color Kids'!G682</f>
        <v>0</v>
      </c>
      <c r="H654" s="4">
        <f>'Orderformular Color Kids'!H682</f>
        <v>0</v>
      </c>
      <c r="I654" s="4">
        <f>'Orderformular Color Kids'!I682</f>
        <v>0</v>
      </c>
      <c r="J654" s="4">
        <f>'Orderformular Color Kids'!J682</f>
        <v>0</v>
      </c>
      <c r="K654" s="4">
        <f>'Orderformular Color Kids'!K682</f>
        <v>0</v>
      </c>
      <c r="L654" s="4">
        <f>'Orderformular Color Kids'!L682</f>
        <v>0</v>
      </c>
      <c r="M654" s="7">
        <f>'Orderformular Color Kids'!M682</f>
        <v>0</v>
      </c>
      <c r="N654" s="7">
        <f>'Packliste Orig'!N659</f>
        <v>0</v>
      </c>
      <c r="O654" s="7">
        <f>'Orderformular Color Kids'!O682</f>
        <v>0</v>
      </c>
      <c r="P654" s="7">
        <f>'Packliste Orig'!P659</f>
        <v>0</v>
      </c>
      <c r="Q654" s="7">
        <f>'Orderformular Color Kids'!Q682</f>
        <v>0</v>
      </c>
      <c r="R654" s="7">
        <f>'Orderformular Color Kids'!R682</f>
        <v>0</v>
      </c>
      <c r="S654" s="6">
        <f t="shared" si="10"/>
        <v>0</v>
      </c>
      <c r="T654" s="50">
        <f>'Orderformular Color Kids'!U682</f>
        <v>0</v>
      </c>
    </row>
    <row r="655" spans="1:20" x14ac:dyDescent="0.2">
      <c r="A655" s="61">
        <f>'Orderformular Color Kids'!A683</f>
        <v>0</v>
      </c>
      <c r="B655" s="62">
        <f>'Orderformular Color Kids'!B683</f>
        <v>0</v>
      </c>
      <c r="C655" s="8">
        <f>'Orderformular Color Kids'!C683</f>
        <v>0</v>
      </c>
      <c r="D655" s="8">
        <f>'Orderformular Color Kids'!D683</f>
        <v>0</v>
      </c>
      <c r="E655" s="4">
        <f>'Orderformular Color Kids'!E683</f>
        <v>0</v>
      </c>
      <c r="F655" s="4">
        <f>'Orderformular Color Kids'!F683</f>
        <v>0</v>
      </c>
      <c r="G655" s="4">
        <f>'Orderformular Color Kids'!G683</f>
        <v>0</v>
      </c>
      <c r="H655" s="4">
        <f>'Orderformular Color Kids'!H683</f>
        <v>0</v>
      </c>
      <c r="I655" s="4">
        <f>'Orderformular Color Kids'!I683</f>
        <v>0</v>
      </c>
      <c r="J655" s="4">
        <f>'Orderformular Color Kids'!J683</f>
        <v>0</v>
      </c>
      <c r="K655" s="4">
        <f>'Orderformular Color Kids'!K683</f>
        <v>0</v>
      </c>
      <c r="L655" s="4">
        <f>'Orderformular Color Kids'!L683</f>
        <v>0</v>
      </c>
      <c r="M655" s="7">
        <f>'Orderformular Color Kids'!M683</f>
        <v>0</v>
      </c>
      <c r="N655" s="7">
        <f>'Packliste Orig'!N660</f>
        <v>0</v>
      </c>
      <c r="O655" s="7">
        <f>'Orderformular Color Kids'!O683</f>
        <v>0</v>
      </c>
      <c r="P655" s="7">
        <f>'Packliste Orig'!P660</f>
        <v>0</v>
      </c>
      <c r="Q655" s="7">
        <f>'Orderformular Color Kids'!Q683</f>
        <v>0</v>
      </c>
      <c r="R655" s="7">
        <f>'Orderformular Color Kids'!R683</f>
        <v>0</v>
      </c>
      <c r="S655" s="6">
        <f t="shared" si="10"/>
        <v>0</v>
      </c>
      <c r="T655" s="50">
        <f>'Orderformular Color Kids'!U683</f>
        <v>0</v>
      </c>
    </row>
    <row r="656" spans="1:20" x14ac:dyDescent="0.2">
      <c r="A656" s="61">
        <f>'Orderformular Color Kids'!A684</f>
        <v>0</v>
      </c>
      <c r="B656" s="62">
        <f>'Orderformular Color Kids'!B684</f>
        <v>0</v>
      </c>
      <c r="C656" s="8">
        <f>'Orderformular Color Kids'!C684</f>
        <v>0</v>
      </c>
      <c r="D656" s="8">
        <f>'Orderformular Color Kids'!D684</f>
        <v>0</v>
      </c>
      <c r="E656" s="4">
        <f>'Orderformular Color Kids'!E684</f>
        <v>0</v>
      </c>
      <c r="F656" s="4">
        <f>'Orderformular Color Kids'!F684</f>
        <v>0</v>
      </c>
      <c r="G656" s="4">
        <f>'Orderformular Color Kids'!G684</f>
        <v>0</v>
      </c>
      <c r="H656" s="4">
        <f>'Orderformular Color Kids'!H684</f>
        <v>0</v>
      </c>
      <c r="I656" s="4">
        <f>'Orderformular Color Kids'!I684</f>
        <v>0</v>
      </c>
      <c r="J656" s="4">
        <f>'Orderformular Color Kids'!J684</f>
        <v>0</v>
      </c>
      <c r="K656" s="4">
        <f>'Orderformular Color Kids'!K684</f>
        <v>0</v>
      </c>
      <c r="L656" s="4">
        <f>'Orderformular Color Kids'!L684</f>
        <v>0</v>
      </c>
      <c r="M656" s="7">
        <f>'Orderformular Color Kids'!M684</f>
        <v>0</v>
      </c>
      <c r="N656" s="7">
        <f>'Packliste Orig'!N661</f>
        <v>0</v>
      </c>
      <c r="O656" s="7">
        <f>'Orderformular Color Kids'!O684</f>
        <v>0</v>
      </c>
      <c r="P656" s="7">
        <f>'Packliste Orig'!P661</f>
        <v>0</v>
      </c>
      <c r="Q656" s="7">
        <f>'Orderformular Color Kids'!Q684</f>
        <v>0</v>
      </c>
      <c r="R656" s="7">
        <f>'Orderformular Color Kids'!R684</f>
        <v>0</v>
      </c>
      <c r="S656" s="6">
        <f t="shared" si="10"/>
        <v>0</v>
      </c>
      <c r="T656" s="50">
        <f>'Orderformular Color Kids'!U684</f>
        <v>0</v>
      </c>
    </row>
    <row r="657" spans="1:20" x14ac:dyDescent="0.2">
      <c r="A657" s="61">
        <f>'Orderformular Color Kids'!A685</f>
        <v>0</v>
      </c>
      <c r="B657" s="62">
        <f>'Orderformular Color Kids'!B685</f>
        <v>0</v>
      </c>
      <c r="C657" s="8">
        <f>'Orderformular Color Kids'!C685</f>
        <v>0</v>
      </c>
      <c r="D657" s="8">
        <f>'Orderformular Color Kids'!D685</f>
        <v>0</v>
      </c>
      <c r="E657" s="4">
        <f>'Orderformular Color Kids'!E685</f>
        <v>0</v>
      </c>
      <c r="F657" s="4">
        <f>'Orderformular Color Kids'!F685</f>
        <v>0</v>
      </c>
      <c r="G657" s="4">
        <f>'Orderformular Color Kids'!G685</f>
        <v>0</v>
      </c>
      <c r="H657" s="4">
        <f>'Orderformular Color Kids'!H685</f>
        <v>0</v>
      </c>
      <c r="I657" s="4">
        <f>'Orderformular Color Kids'!I685</f>
        <v>0</v>
      </c>
      <c r="J657" s="4">
        <f>'Orderformular Color Kids'!J685</f>
        <v>0</v>
      </c>
      <c r="K657" s="4">
        <f>'Orderformular Color Kids'!K685</f>
        <v>0</v>
      </c>
      <c r="L657" s="4">
        <f>'Orderformular Color Kids'!L685</f>
        <v>0</v>
      </c>
      <c r="M657" s="7">
        <f>'Orderformular Color Kids'!M685</f>
        <v>0</v>
      </c>
      <c r="N657" s="7">
        <f>'Packliste Orig'!N662</f>
        <v>0</v>
      </c>
      <c r="O657" s="7">
        <f>'Orderformular Color Kids'!O685</f>
        <v>0</v>
      </c>
      <c r="P657" s="7">
        <f>'Packliste Orig'!P662</f>
        <v>0</v>
      </c>
      <c r="Q657" s="7">
        <f>'Orderformular Color Kids'!Q685</f>
        <v>0</v>
      </c>
      <c r="R657" s="7">
        <f>'Orderformular Color Kids'!R685</f>
        <v>0</v>
      </c>
      <c r="S657" s="6">
        <f t="shared" si="10"/>
        <v>0</v>
      </c>
      <c r="T657" s="50">
        <f>'Orderformular Color Kids'!U685</f>
        <v>0</v>
      </c>
    </row>
    <row r="658" spans="1:20" x14ac:dyDescent="0.2">
      <c r="A658" s="61">
        <f>'Orderformular Color Kids'!A686</f>
        <v>0</v>
      </c>
      <c r="B658" s="62">
        <f>'Orderformular Color Kids'!B686</f>
        <v>0</v>
      </c>
      <c r="C658" s="8">
        <f>'Orderformular Color Kids'!C686</f>
        <v>0</v>
      </c>
      <c r="D658" s="8">
        <f>'Orderformular Color Kids'!D686</f>
        <v>0</v>
      </c>
      <c r="E658" s="4">
        <f>'Orderformular Color Kids'!E686</f>
        <v>0</v>
      </c>
      <c r="F658" s="4">
        <f>'Orderformular Color Kids'!F686</f>
        <v>0</v>
      </c>
      <c r="G658" s="4">
        <f>'Orderformular Color Kids'!G686</f>
        <v>0</v>
      </c>
      <c r="H658" s="4">
        <f>'Orderformular Color Kids'!H686</f>
        <v>0</v>
      </c>
      <c r="I658" s="4">
        <f>'Orderformular Color Kids'!I686</f>
        <v>0</v>
      </c>
      <c r="J658" s="4">
        <f>'Orderformular Color Kids'!J686</f>
        <v>0</v>
      </c>
      <c r="K658" s="4">
        <f>'Orderformular Color Kids'!K686</f>
        <v>0</v>
      </c>
      <c r="L658" s="4">
        <f>'Orderformular Color Kids'!L686</f>
        <v>0</v>
      </c>
      <c r="M658" s="7">
        <f>'Orderformular Color Kids'!M686</f>
        <v>0</v>
      </c>
      <c r="N658" s="7">
        <f>'Packliste Orig'!N663</f>
        <v>0</v>
      </c>
      <c r="O658" s="7">
        <f>'Orderformular Color Kids'!O686</f>
        <v>0</v>
      </c>
      <c r="P658" s="7">
        <f>'Packliste Orig'!P663</f>
        <v>0</v>
      </c>
      <c r="Q658" s="7">
        <f>'Orderformular Color Kids'!Q686</f>
        <v>0</v>
      </c>
      <c r="R658" s="7">
        <f>'Orderformular Color Kids'!R686</f>
        <v>0</v>
      </c>
      <c r="S658" s="6">
        <f t="shared" si="10"/>
        <v>0</v>
      </c>
      <c r="T658" s="50">
        <f>'Orderformular Color Kids'!U686</f>
        <v>0</v>
      </c>
    </row>
    <row r="659" spans="1:20" x14ac:dyDescent="0.2">
      <c r="A659" s="61">
        <f>'Orderformular Color Kids'!A687</f>
        <v>0</v>
      </c>
      <c r="B659" s="62">
        <f>'Orderformular Color Kids'!B687</f>
        <v>0</v>
      </c>
      <c r="C659" s="8">
        <f>'Orderformular Color Kids'!C687</f>
        <v>0</v>
      </c>
      <c r="D659" s="8">
        <f>'Orderformular Color Kids'!D687</f>
        <v>0</v>
      </c>
      <c r="E659" s="4">
        <f>'Orderformular Color Kids'!E687</f>
        <v>0</v>
      </c>
      <c r="F659" s="4">
        <f>'Orderformular Color Kids'!F687</f>
        <v>0</v>
      </c>
      <c r="G659" s="4">
        <f>'Orderformular Color Kids'!G687</f>
        <v>0</v>
      </c>
      <c r="H659" s="4">
        <f>'Orderformular Color Kids'!H687</f>
        <v>0</v>
      </c>
      <c r="I659" s="4">
        <f>'Orderformular Color Kids'!I687</f>
        <v>0</v>
      </c>
      <c r="J659" s="4">
        <f>'Orderformular Color Kids'!J687</f>
        <v>0</v>
      </c>
      <c r="K659" s="4">
        <f>'Orderformular Color Kids'!K687</f>
        <v>0</v>
      </c>
      <c r="L659" s="4">
        <f>'Orderformular Color Kids'!L687</f>
        <v>0</v>
      </c>
      <c r="M659" s="7">
        <f>'Orderformular Color Kids'!M687</f>
        <v>0</v>
      </c>
      <c r="N659" s="7">
        <f>'Packliste Orig'!N664</f>
        <v>0</v>
      </c>
      <c r="O659" s="7">
        <f>'Orderformular Color Kids'!O687</f>
        <v>0</v>
      </c>
      <c r="P659" s="7">
        <f>'Packliste Orig'!P664</f>
        <v>0</v>
      </c>
      <c r="Q659" s="7">
        <f>'Orderformular Color Kids'!Q687</f>
        <v>0</v>
      </c>
      <c r="R659" s="7">
        <f>'Orderformular Color Kids'!R687</f>
        <v>0</v>
      </c>
      <c r="S659" s="6">
        <f t="shared" si="10"/>
        <v>0</v>
      </c>
      <c r="T659" s="50">
        <f>'Orderformular Color Kids'!U687</f>
        <v>0</v>
      </c>
    </row>
    <row r="660" spans="1:20" x14ac:dyDescent="0.2">
      <c r="A660" s="61">
        <f>'Orderformular Color Kids'!A688</f>
        <v>0</v>
      </c>
      <c r="B660" s="62">
        <f>'Orderformular Color Kids'!B688</f>
        <v>0</v>
      </c>
      <c r="C660" s="8">
        <f>'Orderformular Color Kids'!C688</f>
        <v>0</v>
      </c>
      <c r="D660" s="8">
        <f>'Orderformular Color Kids'!D688</f>
        <v>0</v>
      </c>
      <c r="E660" s="4">
        <f>'Orderformular Color Kids'!E688</f>
        <v>0</v>
      </c>
      <c r="F660" s="4">
        <f>'Orderformular Color Kids'!F688</f>
        <v>0</v>
      </c>
      <c r="G660" s="4">
        <f>'Orderformular Color Kids'!G688</f>
        <v>0</v>
      </c>
      <c r="H660" s="4">
        <f>'Orderformular Color Kids'!H688</f>
        <v>0</v>
      </c>
      <c r="I660" s="4">
        <f>'Orderformular Color Kids'!I688</f>
        <v>0</v>
      </c>
      <c r="J660" s="4">
        <f>'Orderformular Color Kids'!J688</f>
        <v>0</v>
      </c>
      <c r="K660" s="4">
        <f>'Orderformular Color Kids'!K688</f>
        <v>0</v>
      </c>
      <c r="L660" s="4">
        <f>'Orderformular Color Kids'!L688</f>
        <v>0</v>
      </c>
      <c r="M660" s="7">
        <f>'Orderformular Color Kids'!M688</f>
        <v>0</v>
      </c>
      <c r="N660" s="7">
        <f>'Packliste Orig'!N665</f>
        <v>0</v>
      </c>
      <c r="O660" s="7">
        <f>'Orderformular Color Kids'!O688</f>
        <v>0</v>
      </c>
      <c r="P660" s="7">
        <f>'Packliste Orig'!P665</f>
        <v>0</v>
      </c>
      <c r="Q660" s="7">
        <f>'Orderformular Color Kids'!Q688</f>
        <v>0</v>
      </c>
      <c r="R660" s="7">
        <f>'Orderformular Color Kids'!R688</f>
        <v>0</v>
      </c>
      <c r="S660" s="6">
        <f t="shared" si="10"/>
        <v>0</v>
      </c>
      <c r="T660" s="50">
        <f>'Orderformular Color Kids'!U688</f>
        <v>0</v>
      </c>
    </row>
    <row r="661" spans="1:20" x14ac:dyDescent="0.2">
      <c r="A661" s="61">
        <f>'Orderformular Color Kids'!A689</f>
        <v>0</v>
      </c>
      <c r="B661" s="62">
        <f>'Orderformular Color Kids'!B689</f>
        <v>0</v>
      </c>
      <c r="C661" s="8">
        <f>'Orderformular Color Kids'!C689</f>
        <v>0</v>
      </c>
      <c r="D661" s="8">
        <f>'Orderformular Color Kids'!D689</f>
        <v>0</v>
      </c>
      <c r="E661" s="4">
        <f>'Orderformular Color Kids'!E689</f>
        <v>0</v>
      </c>
      <c r="F661" s="4">
        <f>'Orderformular Color Kids'!F689</f>
        <v>0</v>
      </c>
      <c r="G661" s="4">
        <f>'Orderformular Color Kids'!G689</f>
        <v>0</v>
      </c>
      <c r="H661" s="4">
        <f>'Orderformular Color Kids'!H689</f>
        <v>0</v>
      </c>
      <c r="I661" s="4">
        <f>'Orderformular Color Kids'!I689</f>
        <v>0</v>
      </c>
      <c r="J661" s="4">
        <f>'Orderformular Color Kids'!J689</f>
        <v>0</v>
      </c>
      <c r="K661" s="4">
        <f>'Orderformular Color Kids'!K689</f>
        <v>0</v>
      </c>
      <c r="L661" s="4">
        <f>'Orderformular Color Kids'!L689</f>
        <v>0</v>
      </c>
      <c r="M661" s="7">
        <f>'Orderformular Color Kids'!M689</f>
        <v>0</v>
      </c>
      <c r="N661" s="7">
        <f>'Packliste Orig'!N666</f>
        <v>0</v>
      </c>
      <c r="O661" s="7">
        <f>'Orderformular Color Kids'!O689</f>
        <v>0</v>
      </c>
      <c r="P661" s="7">
        <f>'Packliste Orig'!P666</f>
        <v>0</v>
      </c>
      <c r="Q661" s="7">
        <f>'Orderformular Color Kids'!Q689</f>
        <v>0</v>
      </c>
      <c r="R661" s="7">
        <f>'Orderformular Color Kids'!R689</f>
        <v>0</v>
      </c>
      <c r="S661" s="6">
        <f t="shared" si="10"/>
        <v>0</v>
      </c>
      <c r="T661" s="50">
        <f>'Orderformular Color Kids'!U689</f>
        <v>0</v>
      </c>
    </row>
    <row r="662" spans="1:20" x14ac:dyDescent="0.2">
      <c r="A662" s="61">
        <f>'Orderformular Color Kids'!A690</f>
        <v>0</v>
      </c>
      <c r="B662" s="62">
        <f>'Orderformular Color Kids'!B690</f>
        <v>0</v>
      </c>
      <c r="C662" s="8">
        <f>'Orderformular Color Kids'!C690</f>
        <v>0</v>
      </c>
      <c r="D662" s="8">
        <f>'Orderformular Color Kids'!D690</f>
        <v>0</v>
      </c>
      <c r="E662" s="4">
        <f>'Orderformular Color Kids'!E690</f>
        <v>0</v>
      </c>
      <c r="F662" s="4">
        <f>'Orderformular Color Kids'!F690</f>
        <v>0</v>
      </c>
      <c r="G662" s="4">
        <f>'Orderformular Color Kids'!G690</f>
        <v>0</v>
      </c>
      <c r="H662" s="4">
        <f>'Orderformular Color Kids'!H690</f>
        <v>0</v>
      </c>
      <c r="I662" s="4">
        <f>'Orderformular Color Kids'!I690</f>
        <v>0</v>
      </c>
      <c r="J662" s="4">
        <f>'Orderformular Color Kids'!J690</f>
        <v>0</v>
      </c>
      <c r="K662" s="4">
        <f>'Orderformular Color Kids'!K690</f>
        <v>0</v>
      </c>
      <c r="L662" s="4">
        <f>'Orderformular Color Kids'!L690</f>
        <v>0</v>
      </c>
      <c r="M662" s="7">
        <f>'Orderformular Color Kids'!M690</f>
        <v>0</v>
      </c>
      <c r="N662" s="7">
        <f>'Packliste Orig'!N667</f>
        <v>0</v>
      </c>
      <c r="O662" s="7">
        <f>'Orderformular Color Kids'!O690</f>
        <v>0</v>
      </c>
      <c r="P662" s="7">
        <f>'Packliste Orig'!P667</f>
        <v>0</v>
      </c>
      <c r="Q662" s="7">
        <f>'Orderformular Color Kids'!Q690</f>
        <v>0</v>
      </c>
      <c r="R662" s="7">
        <f>'Orderformular Color Kids'!R690</f>
        <v>0</v>
      </c>
      <c r="S662" s="6">
        <f t="shared" si="10"/>
        <v>0</v>
      </c>
      <c r="T662" s="50">
        <f>'Orderformular Color Kids'!U690</f>
        <v>0</v>
      </c>
    </row>
    <row r="663" spans="1:20" x14ac:dyDescent="0.2">
      <c r="A663" s="61">
        <f>'Orderformular Color Kids'!A691</f>
        <v>0</v>
      </c>
      <c r="B663" s="62">
        <f>'Orderformular Color Kids'!B691</f>
        <v>0</v>
      </c>
      <c r="C663" s="8">
        <f>'Orderformular Color Kids'!C691</f>
        <v>0</v>
      </c>
      <c r="D663" s="8">
        <f>'Orderformular Color Kids'!D691</f>
        <v>0</v>
      </c>
      <c r="E663" s="4">
        <f>'Orderformular Color Kids'!E691</f>
        <v>0</v>
      </c>
      <c r="F663" s="4">
        <f>'Orderformular Color Kids'!F691</f>
        <v>0</v>
      </c>
      <c r="G663" s="4">
        <f>'Orderformular Color Kids'!G691</f>
        <v>0</v>
      </c>
      <c r="H663" s="4">
        <f>'Orderformular Color Kids'!H691</f>
        <v>0</v>
      </c>
      <c r="I663" s="4">
        <f>'Orderformular Color Kids'!I691</f>
        <v>0</v>
      </c>
      <c r="J663" s="4">
        <f>'Orderformular Color Kids'!J691</f>
        <v>0</v>
      </c>
      <c r="K663" s="4">
        <f>'Orderformular Color Kids'!K691</f>
        <v>0</v>
      </c>
      <c r="L663" s="4">
        <f>'Orderformular Color Kids'!L691</f>
        <v>0</v>
      </c>
      <c r="M663" s="7">
        <f>'Orderformular Color Kids'!M691</f>
        <v>0</v>
      </c>
      <c r="N663" s="7">
        <f>'Packliste Orig'!N668</f>
        <v>0</v>
      </c>
      <c r="O663" s="7">
        <f>'Orderformular Color Kids'!O691</f>
        <v>0</v>
      </c>
      <c r="P663" s="7">
        <f>'Packliste Orig'!P668</f>
        <v>0</v>
      </c>
      <c r="Q663" s="7">
        <f>'Orderformular Color Kids'!Q691</f>
        <v>0</v>
      </c>
      <c r="R663" s="7">
        <f>'Orderformular Color Kids'!R691</f>
        <v>0</v>
      </c>
      <c r="S663" s="6">
        <f t="shared" si="10"/>
        <v>0</v>
      </c>
      <c r="T663" s="50">
        <f>'Orderformular Color Kids'!U691</f>
        <v>0</v>
      </c>
    </row>
    <row r="664" spans="1:20" x14ac:dyDescent="0.2">
      <c r="A664" s="61">
        <f>'Orderformular Color Kids'!A692</f>
        <v>0</v>
      </c>
      <c r="B664" s="62">
        <f>'Orderformular Color Kids'!B692</f>
        <v>0</v>
      </c>
      <c r="C664" s="8">
        <f>'Orderformular Color Kids'!C692</f>
        <v>0</v>
      </c>
      <c r="D664" s="8">
        <f>'Orderformular Color Kids'!D692</f>
        <v>0</v>
      </c>
      <c r="E664" s="4">
        <f>'Orderformular Color Kids'!E692</f>
        <v>0</v>
      </c>
      <c r="F664" s="4">
        <f>'Orderformular Color Kids'!F692</f>
        <v>0</v>
      </c>
      <c r="G664" s="4">
        <f>'Orderformular Color Kids'!G692</f>
        <v>0</v>
      </c>
      <c r="H664" s="4">
        <f>'Orderformular Color Kids'!H692</f>
        <v>0</v>
      </c>
      <c r="I664" s="4">
        <f>'Orderformular Color Kids'!I692</f>
        <v>0</v>
      </c>
      <c r="J664" s="4">
        <f>'Orderformular Color Kids'!J692</f>
        <v>0</v>
      </c>
      <c r="K664" s="4">
        <f>'Orderformular Color Kids'!K692</f>
        <v>0</v>
      </c>
      <c r="L664" s="4">
        <f>'Orderformular Color Kids'!L692</f>
        <v>0</v>
      </c>
      <c r="M664" s="7">
        <f>'Orderformular Color Kids'!M692</f>
        <v>0</v>
      </c>
      <c r="N664" s="7">
        <f>'Packliste Orig'!N669</f>
        <v>0</v>
      </c>
      <c r="O664" s="7">
        <f>'Orderformular Color Kids'!O692</f>
        <v>0</v>
      </c>
      <c r="P664" s="7">
        <f>'Packliste Orig'!P669</f>
        <v>0</v>
      </c>
      <c r="Q664" s="7">
        <f>'Orderformular Color Kids'!Q692</f>
        <v>0</v>
      </c>
      <c r="R664" s="7">
        <f>'Orderformular Color Kids'!R692</f>
        <v>0</v>
      </c>
      <c r="S664" s="6">
        <f t="shared" si="10"/>
        <v>0</v>
      </c>
      <c r="T664" s="50">
        <f>'Orderformular Color Kids'!U692</f>
        <v>0</v>
      </c>
    </row>
    <row r="665" spans="1:20" x14ac:dyDescent="0.2">
      <c r="A665" s="61">
        <f>'Orderformular Color Kids'!A693</f>
        <v>0</v>
      </c>
      <c r="B665" s="62">
        <f>'Orderformular Color Kids'!B693</f>
        <v>0</v>
      </c>
      <c r="C665" s="8">
        <f>'Orderformular Color Kids'!C693</f>
        <v>0</v>
      </c>
      <c r="D665" s="8">
        <f>'Orderformular Color Kids'!D693</f>
        <v>0</v>
      </c>
      <c r="E665" s="4">
        <f>'Orderformular Color Kids'!E693</f>
        <v>0</v>
      </c>
      <c r="F665" s="4">
        <f>'Orderformular Color Kids'!F693</f>
        <v>0</v>
      </c>
      <c r="G665" s="4">
        <f>'Orderformular Color Kids'!G693</f>
        <v>0</v>
      </c>
      <c r="H665" s="4">
        <f>'Orderformular Color Kids'!H693</f>
        <v>0</v>
      </c>
      <c r="I665" s="4">
        <f>'Orderformular Color Kids'!I693</f>
        <v>0</v>
      </c>
      <c r="J665" s="4">
        <f>'Orderformular Color Kids'!J693</f>
        <v>0</v>
      </c>
      <c r="K665" s="4">
        <f>'Orderformular Color Kids'!K693</f>
        <v>0</v>
      </c>
      <c r="L665" s="4">
        <f>'Orderformular Color Kids'!L693</f>
        <v>0</v>
      </c>
      <c r="M665" s="7">
        <f>'Orderformular Color Kids'!M693</f>
        <v>0</v>
      </c>
      <c r="N665" s="7">
        <f>'Packliste Orig'!N670</f>
        <v>0</v>
      </c>
      <c r="O665" s="7">
        <f>'Orderformular Color Kids'!O693</f>
        <v>0</v>
      </c>
      <c r="P665" s="7">
        <f>'Packliste Orig'!P670</f>
        <v>0</v>
      </c>
      <c r="Q665" s="7">
        <f>'Orderformular Color Kids'!Q693</f>
        <v>0</v>
      </c>
      <c r="R665" s="7">
        <f>'Orderformular Color Kids'!R693</f>
        <v>0</v>
      </c>
      <c r="S665" s="6">
        <f t="shared" si="10"/>
        <v>0</v>
      </c>
      <c r="T665" s="50">
        <f>'Orderformular Color Kids'!U693</f>
        <v>0</v>
      </c>
    </row>
    <row r="666" spans="1:20" x14ac:dyDescent="0.2">
      <c r="A666" s="61">
        <f>'Orderformular Color Kids'!A694</f>
        <v>0</v>
      </c>
      <c r="B666" s="62">
        <f>'Orderformular Color Kids'!B694</f>
        <v>0</v>
      </c>
      <c r="C666" s="8">
        <f>'Orderformular Color Kids'!C694</f>
        <v>0</v>
      </c>
      <c r="D666" s="8">
        <f>'Orderformular Color Kids'!D694</f>
        <v>0</v>
      </c>
      <c r="E666" s="4">
        <f>'Orderformular Color Kids'!E694</f>
        <v>0</v>
      </c>
      <c r="F666" s="4">
        <f>'Orderformular Color Kids'!F694</f>
        <v>0</v>
      </c>
      <c r="G666" s="4">
        <f>'Orderformular Color Kids'!G694</f>
        <v>0</v>
      </c>
      <c r="H666" s="4">
        <f>'Orderformular Color Kids'!H694</f>
        <v>0</v>
      </c>
      <c r="I666" s="4">
        <f>'Orderformular Color Kids'!I694</f>
        <v>0</v>
      </c>
      <c r="J666" s="4">
        <f>'Orderformular Color Kids'!J694</f>
        <v>0</v>
      </c>
      <c r="K666" s="4">
        <f>'Orderformular Color Kids'!K694</f>
        <v>0</v>
      </c>
      <c r="L666" s="4">
        <f>'Orderformular Color Kids'!L694</f>
        <v>0</v>
      </c>
      <c r="M666" s="7">
        <f>'Orderformular Color Kids'!M694</f>
        <v>0</v>
      </c>
      <c r="N666" s="7">
        <f>'Packliste Orig'!N671</f>
        <v>0</v>
      </c>
      <c r="O666" s="7">
        <f>'Orderformular Color Kids'!O694</f>
        <v>0</v>
      </c>
      <c r="P666" s="7">
        <f>'Packliste Orig'!P671</f>
        <v>0</v>
      </c>
      <c r="Q666" s="7">
        <f>'Orderformular Color Kids'!Q694</f>
        <v>0</v>
      </c>
      <c r="R666" s="7">
        <f>'Orderformular Color Kids'!R694</f>
        <v>0</v>
      </c>
      <c r="S666" s="6">
        <f t="shared" si="10"/>
        <v>0</v>
      </c>
      <c r="T666" s="50">
        <f>'Orderformular Color Kids'!U694</f>
        <v>0</v>
      </c>
    </row>
    <row r="667" spans="1:20" x14ac:dyDescent="0.2">
      <c r="A667" s="61">
        <f>'Orderformular Color Kids'!A695</f>
        <v>0</v>
      </c>
      <c r="B667" s="62">
        <f>'Orderformular Color Kids'!B695</f>
        <v>0</v>
      </c>
      <c r="C667" s="8">
        <f>'Orderformular Color Kids'!C695</f>
        <v>0</v>
      </c>
      <c r="D667" s="8">
        <f>'Orderformular Color Kids'!D695</f>
        <v>0</v>
      </c>
      <c r="E667" s="4">
        <f>'Orderformular Color Kids'!E695</f>
        <v>0</v>
      </c>
      <c r="F667" s="4">
        <f>'Orderformular Color Kids'!F695</f>
        <v>0</v>
      </c>
      <c r="G667" s="4">
        <f>'Orderformular Color Kids'!G695</f>
        <v>0</v>
      </c>
      <c r="H667" s="4">
        <f>'Orderformular Color Kids'!H695</f>
        <v>0</v>
      </c>
      <c r="I667" s="4">
        <f>'Orderformular Color Kids'!I695</f>
        <v>0</v>
      </c>
      <c r="J667" s="4">
        <f>'Orderformular Color Kids'!J695</f>
        <v>0</v>
      </c>
      <c r="K667" s="4">
        <f>'Orderformular Color Kids'!K695</f>
        <v>0</v>
      </c>
      <c r="L667" s="4">
        <f>'Orderformular Color Kids'!L695</f>
        <v>0</v>
      </c>
      <c r="M667" s="7">
        <f>'Orderformular Color Kids'!M695</f>
        <v>0</v>
      </c>
      <c r="N667" s="7">
        <f>'Packliste Orig'!N672</f>
        <v>0</v>
      </c>
      <c r="O667" s="7">
        <f>'Orderformular Color Kids'!O695</f>
        <v>0</v>
      </c>
      <c r="P667" s="7">
        <f>'Packliste Orig'!P672</f>
        <v>0</v>
      </c>
      <c r="Q667" s="7">
        <f>'Orderformular Color Kids'!Q695</f>
        <v>0</v>
      </c>
      <c r="R667" s="7">
        <f>'Orderformular Color Kids'!R695</f>
        <v>0</v>
      </c>
      <c r="S667" s="6">
        <f t="shared" si="10"/>
        <v>0</v>
      </c>
      <c r="T667" s="50">
        <f>'Orderformular Color Kids'!U695</f>
        <v>0</v>
      </c>
    </row>
    <row r="668" spans="1:20" x14ac:dyDescent="0.2">
      <c r="A668" s="61">
        <f>'Orderformular Color Kids'!A696</f>
        <v>0</v>
      </c>
      <c r="B668" s="62">
        <f>'Orderformular Color Kids'!B696</f>
        <v>0</v>
      </c>
      <c r="C668" s="8">
        <f>'Orderformular Color Kids'!C696</f>
        <v>0</v>
      </c>
      <c r="D668" s="8">
        <f>'Orderformular Color Kids'!D696</f>
        <v>0</v>
      </c>
      <c r="E668" s="4">
        <f>'Orderformular Color Kids'!E696</f>
        <v>0</v>
      </c>
      <c r="F668" s="4">
        <f>'Orderformular Color Kids'!F696</f>
        <v>0</v>
      </c>
      <c r="G668" s="4">
        <f>'Orderformular Color Kids'!G696</f>
        <v>0</v>
      </c>
      <c r="H668" s="4">
        <f>'Orderformular Color Kids'!H696</f>
        <v>0</v>
      </c>
      <c r="I668" s="4">
        <f>'Orderformular Color Kids'!I696</f>
        <v>0</v>
      </c>
      <c r="J668" s="4">
        <f>'Orderformular Color Kids'!J696</f>
        <v>0</v>
      </c>
      <c r="K668" s="4">
        <f>'Orderformular Color Kids'!K696</f>
        <v>0</v>
      </c>
      <c r="L668" s="4">
        <f>'Orderformular Color Kids'!L696</f>
        <v>0</v>
      </c>
      <c r="M668" s="7">
        <f>'Orderformular Color Kids'!M696</f>
        <v>0</v>
      </c>
      <c r="N668" s="7">
        <f>'Packliste Orig'!N673</f>
        <v>0</v>
      </c>
      <c r="O668" s="7">
        <f>'Orderformular Color Kids'!O696</f>
        <v>0</v>
      </c>
      <c r="P668" s="7">
        <f>'Packliste Orig'!P673</f>
        <v>0</v>
      </c>
      <c r="Q668" s="7">
        <f>'Orderformular Color Kids'!Q696</f>
        <v>0</v>
      </c>
      <c r="R668" s="7">
        <f>'Orderformular Color Kids'!R696</f>
        <v>0</v>
      </c>
      <c r="S668" s="6">
        <f t="shared" si="10"/>
        <v>0</v>
      </c>
      <c r="T668" s="50">
        <f>'Orderformular Color Kids'!U696</f>
        <v>0</v>
      </c>
    </row>
    <row r="669" spans="1:20" x14ac:dyDescent="0.2">
      <c r="A669" s="61">
        <f>'Orderformular Color Kids'!A697</f>
        <v>0</v>
      </c>
      <c r="B669" s="62">
        <f>'Orderformular Color Kids'!B697</f>
        <v>0</v>
      </c>
      <c r="C669" s="8">
        <f>'Orderformular Color Kids'!C697</f>
        <v>0</v>
      </c>
      <c r="D669" s="8">
        <f>'Orderformular Color Kids'!D697</f>
        <v>0</v>
      </c>
      <c r="E669" s="4">
        <f>'Orderformular Color Kids'!E697</f>
        <v>0</v>
      </c>
      <c r="F669" s="4">
        <f>'Orderformular Color Kids'!F697</f>
        <v>0</v>
      </c>
      <c r="G669" s="4">
        <f>'Orderformular Color Kids'!G697</f>
        <v>0</v>
      </c>
      <c r="H669" s="4">
        <f>'Orderformular Color Kids'!H697</f>
        <v>0</v>
      </c>
      <c r="I669" s="4">
        <f>'Orderformular Color Kids'!I697</f>
        <v>0</v>
      </c>
      <c r="J669" s="4">
        <f>'Orderformular Color Kids'!J697</f>
        <v>0</v>
      </c>
      <c r="K669" s="4">
        <f>'Orderformular Color Kids'!K697</f>
        <v>0</v>
      </c>
      <c r="L669" s="4">
        <f>'Orderformular Color Kids'!L697</f>
        <v>0</v>
      </c>
      <c r="M669" s="7">
        <f>'Orderformular Color Kids'!M697</f>
        <v>0</v>
      </c>
      <c r="N669" s="7">
        <f>'Packliste Orig'!N674</f>
        <v>0</v>
      </c>
      <c r="O669" s="7">
        <f>'Orderformular Color Kids'!O697</f>
        <v>0</v>
      </c>
      <c r="P669" s="7">
        <f>'Packliste Orig'!P674</f>
        <v>0</v>
      </c>
      <c r="Q669" s="7">
        <f>'Orderformular Color Kids'!Q697</f>
        <v>0</v>
      </c>
      <c r="R669" s="7">
        <f>'Orderformular Color Kids'!R697</f>
        <v>0</v>
      </c>
      <c r="S669" s="6">
        <f t="shared" si="10"/>
        <v>0</v>
      </c>
      <c r="T669" s="50">
        <f>'Orderformular Color Kids'!U697</f>
        <v>0</v>
      </c>
    </row>
    <row r="670" spans="1:20" x14ac:dyDescent="0.2">
      <c r="A670" s="61">
        <f>'Orderformular Color Kids'!A698</f>
        <v>0</v>
      </c>
      <c r="B670" s="62">
        <f>'Orderformular Color Kids'!B698</f>
        <v>0</v>
      </c>
      <c r="C670" s="8">
        <f>'Orderformular Color Kids'!C698</f>
        <v>0</v>
      </c>
      <c r="D670" s="8">
        <f>'Orderformular Color Kids'!D698</f>
        <v>0</v>
      </c>
      <c r="E670" s="4">
        <f>'Orderformular Color Kids'!E698</f>
        <v>0</v>
      </c>
      <c r="F670" s="4">
        <f>'Orderformular Color Kids'!F698</f>
        <v>0</v>
      </c>
      <c r="G670" s="4">
        <f>'Orderformular Color Kids'!G698</f>
        <v>0</v>
      </c>
      <c r="H670" s="4">
        <f>'Orderformular Color Kids'!H698</f>
        <v>0</v>
      </c>
      <c r="I670" s="4">
        <f>'Orderformular Color Kids'!I698</f>
        <v>0</v>
      </c>
      <c r="J670" s="4">
        <f>'Orderformular Color Kids'!J698</f>
        <v>0</v>
      </c>
      <c r="K670" s="4">
        <f>'Orderformular Color Kids'!K698</f>
        <v>0</v>
      </c>
      <c r="L670" s="4">
        <f>'Orderformular Color Kids'!L698</f>
        <v>0</v>
      </c>
      <c r="M670" s="7">
        <f>'Orderformular Color Kids'!M698</f>
        <v>0</v>
      </c>
      <c r="N670" s="7">
        <f>'Packliste Orig'!N675</f>
        <v>0</v>
      </c>
      <c r="O670" s="7">
        <f>'Orderformular Color Kids'!O698</f>
        <v>0</v>
      </c>
      <c r="P670" s="7">
        <f>'Packliste Orig'!P675</f>
        <v>0</v>
      </c>
      <c r="Q670" s="7">
        <f>'Orderformular Color Kids'!Q698</f>
        <v>0</v>
      </c>
      <c r="R670" s="7">
        <f>'Orderformular Color Kids'!R698</f>
        <v>0</v>
      </c>
      <c r="S670" s="6">
        <f t="shared" si="10"/>
        <v>0</v>
      </c>
      <c r="T670" s="50">
        <f>'Orderformular Color Kids'!U698</f>
        <v>0</v>
      </c>
    </row>
    <row r="671" spans="1:20" x14ac:dyDescent="0.2">
      <c r="A671" s="61">
        <f>'Orderformular Color Kids'!A699</f>
        <v>0</v>
      </c>
      <c r="B671" s="62">
        <f>'Orderformular Color Kids'!B699</f>
        <v>0</v>
      </c>
      <c r="C671" s="8">
        <f>'Orderformular Color Kids'!C699</f>
        <v>0</v>
      </c>
      <c r="D671" s="8">
        <f>'Orderformular Color Kids'!D699</f>
        <v>0</v>
      </c>
      <c r="E671" s="4">
        <f>'Orderformular Color Kids'!E699</f>
        <v>0</v>
      </c>
      <c r="F671" s="4">
        <f>'Orderformular Color Kids'!F699</f>
        <v>0</v>
      </c>
      <c r="G671" s="4">
        <f>'Orderformular Color Kids'!G699</f>
        <v>0</v>
      </c>
      <c r="H671" s="4">
        <f>'Orderformular Color Kids'!H699</f>
        <v>0</v>
      </c>
      <c r="I671" s="4">
        <f>'Orderformular Color Kids'!I699</f>
        <v>0</v>
      </c>
      <c r="J671" s="4">
        <f>'Orderformular Color Kids'!J699</f>
        <v>0</v>
      </c>
      <c r="K671" s="4">
        <f>'Orderformular Color Kids'!K699</f>
        <v>0</v>
      </c>
      <c r="L671" s="4">
        <f>'Orderformular Color Kids'!L699</f>
        <v>0</v>
      </c>
      <c r="M671" s="7">
        <f>'Orderformular Color Kids'!M699</f>
        <v>0</v>
      </c>
      <c r="N671" s="7">
        <f>'Packliste Orig'!N676</f>
        <v>0</v>
      </c>
      <c r="O671" s="7">
        <f>'Orderformular Color Kids'!O699</f>
        <v>0</v>
      </c>
      <c r="P671" s="7">
        <f>'Packliste Orig'!P676</f>
        <v>0</v>
      </c>
      <c r="Q671" s="7">
        <f>'Orderformular Color Kids'!Q699</f>
        <v>0</v>
      </c>
      <c r="R671" s="7">
        <f>'Orderformular Color Kids'!R699</f>
        <v>0</v>
      </c>
      <c r="S671" s="6">
        <f t="shared" si="10"/>
        <v>0</v>
      </c>
      <c r="T671" s="50">
        <f>'Orderformular Color Kids'!U699</f>
        <v>0</v>
      </c>
    </row>
    <row r="672" spans="1:20" x14ac:dyDescent="0.2">
      <c r="A672" s="61">
        <f>'Orderformular Color Kids'!A700</f>
        <v>0</v>
      </c>
      <c r="B672" s="62">
        <f>'Orderformular Color Kids'!B700</f>
        <v>0</v>
      </c>
      <c r="C672" s="8">
        <f>'Orderformular Color Kids'!C700</f>
        <v>0</v>
      </c>
      <c r="D672" s="8">
        <f>'Orderformular Color Kids'!D700</f>
        <v>0</v>
      </c>
      <c r="E672" s="4">
        <f>'Orderformular Color Kids'!E700</f>
        <v>0</v>
      </c>
      <c r="F672" s="4">
        <f>'Orderformular Color Kids'!F700</f>
        <v>0</v>
      </c>
      <c r="G672" s="4">
        <f>'Orderformular Color Kids'!G700</f>
        <v>0</v>
      </c>
      <c r="H672" s="4">
        <f>'Orderformular Color Kids'!H700</f>
        <v>0</v>
      </c>
      <c r="I672" s="4">
        <f>'Orderformular Color Kids'!I700</f>
        <v>0</v>
      </c>
      <c r="J672" s="4">
        <f>'Orderformular Color Kids'!J700</f>
        <v>0</v>
      </c>
      <c r="K672" s="4">
        <f>'Orderformular Color Kids'!K700</f>
        <v>0</v>
      </c>
      <c r="L672" s="4">
        <f>'Orderformular Color Kids'!L700</f>
        <v>0</v>
      </c>
      <c r="M672" s="7">
        <f>'Orderformular Color Kids'!M700</f>
        <v>0</v>
      </c>
      <c r="N672" s="7">
        <f>'Packliste Orig'!N677</f>
        <v>0</v>
      </c>
      <c r="O672" s="7">
        <f>'Orderformular Color Kids'!O700</f>
        <v>0</v>
      </c>
      <c r="P672" s="7">
        <f>'Packliste Orig'!P677</f>
        <v>0</v>
      </c>
      <c r="Q672" s="7">
        <f>'Orderformular Color Kids'!Q700</f>
        <v>0</v>
      </c>
      <c r="R672" s="7">
        <f>'Orderformular Color Kids'!R700</f>
        <v>0</v>
      </c>
      <c r="S672" s="6">
        <f t="shared" si="10"/>
        <v>0</v>
      </c>
      <c r="T672" s="50">
        <f>'Orderformular Color Kids'!U700</f>
        <v>0</v>
      </c>
    </row>
    <row r="673" spans="1:20" x14ac:dyDescent="0.2">
      <c r="A673" s="61">
        <f>'Orderformular Color Kids'!A701</f>
        <v>0</v>
      </c>
      <c r="B673" s="62">
        <f>'Orderformular Color Kids'!B701</f>
        <v>0</v>
      </c>
      <c r="C673" s="8">
        <f>'Orderformular Color Kids'!C701</f>
        <v>0</v>
      </c>
      <c r="D673" s="8">
        <f>'Orderformular Color Kids'!D701</f>
        <v>0</v>
      </c>
      <c r="E673" s="4">
        <f>'Orderformular Color Kids'!E701</f>
        <v>0</v>
      </c>
      <c r="F673" s="4">
        <f>'Orderformular Color Kids'!F701</f>
        <v>0</v>
      </c>
      <c r="G673" s="4">
        <f>'Orderformular Color Kids'!G701</f>
        <v>0</v>
      </c>
      <c r="H673" s="4">
        <f>'Orderformular Color Kids'!H701</f>
        <v>0</v>
      </c>
      <c r="I673" s="4">
        <f>'Orderformular Color Kids'!I701</f>
        <v>0</v>
      </c>
      <c r="J673" s="4">
        <f>'Orderformular Color Kids'!J701</f>
        <v>0</v>
      </c>
      <c r="K673" s="4">
        <f>'Orderformular Color Kids'!K701</f>
        <v>0</v>
      </c>
      <c r="L673" s="4">
        <f>'Orderformular Color Kids'!L701</f>
        <v>0</v>
      </c>
      <c r="M673" s="7">
        <f>'Orderformular Color Kids'!M701</f>
        <v>0</v>
      </c>
      <c r="N673" s="7">
        <f>'Packliste Orig'!N678</f>
        <v>0</v>
      </c>
      <c r="O673" s="7">
        <f>'Orderformular Color Kids'!O701</f>
        <v>0</v>
      </c>
      <c r="P673" s="7">
        <f>'Packliste Orig'!P678</f>
        <v>0</v>
      </c>
      <c r="Q673" s="7">
        <f>'Orderformular Color Kids'!Q701</f>
        <v>0</v>
      </c>
      <c r="R673" s="7">
        <f>'Orderformular Color Kids'!R701</f>
        <v>0</v>
      </c>
      <c r="S673" s="6">
        <f t="shared" si="10"/>
        <v>0</v>
      </c>
      <c r="T673" s="50">
        <f>'Orderformular Color Kids'!U701</f>
        <v>0</v>
      </c>
    </row>
    <row r="674" spans="1:20" x14ac:dyDescent="0.2">
      <c r="A674" s="61">
        <f>'Orderformular Color Kids'!A702</f>
        <v>0</v>
      </c>
      <c r="B674" s="62">
        <f>'Orderformular Color Kids'!B702</f>
        <v>0</v>
      </c>
      <c r="C674" s="8">
        <f>'Orderformular Color Kids'!C702</f>
        <v>0</v>
      </c>
      <c r="D674" s="8">
        <f>'Orderformular Color Kids'!D702</f>
        <v>0</v>
      </c>
      <c r="E674" s="4">
        <f>'Orderformular Color Kids'!E702</f>
        <v>0</v>
      </c>
      <c r="F674" s="4">
        <f>'Orderformular Color Kids'!F702</f>
        <v>0</v>
      </c>
      <c r="G674" s="4">
        <f>'Orderformular Color Kids'!G702</f>
        <v>0</v>
      </c>
      <c r="H674" s="4">
        <f>'Orderformular Color Kids'!H702</f>
        <v>0</v>
      </c>
      <c r="I674" s="4">
        <f>'Orderformular Color Kids'!I702</f>
        <v>0</v>
      </c>
      <c r="J674" s="4">
        <f>'Orderformular Color Kids'!J702</f>
        <v>0</v>
      </c>
      <c r="K674" s="4">
        <f>'Orderformular Color Kids'!K702</f>
        <v>0</v>
      </c>
      <c r="L674" s="4">
        <f>'Orderformular Color Kids'!L702</f>
        <v>0</v>
      </c>
      <c r="M674" s="7">
        <f>'Orderformular Color Kids'!M702</f>
        <v>0</v>
      </c>
      <c r="N674" s="7">
        <f>'Packliste Orig'!N679</f>
        <v>0</v>
      </c>
      <c r="O674" s="7">
        <f>'Orderformular Color Kids'!O702</f>
        <v>0</v>
      </c>
      <c r="P674" s="7">
        <f>'Packliste Orig'!P679</f>
        <v>0</v>
      </c>
      <c r="Q674" s="7">
        <f>'Orderformular Color Kids'!Q702</f>
        <v>0</v>
      </c>
      <c r="R674" s="7">
        <f>'Orderformular Color Kids'!R702</f>
        <v>0</v>
      </c>
      <c r="S674" s="6">
        <f t="shared" si="10"/>
        <v>0</v>
      </c>
      <c r="T674" s="50">
        <f>'Orderformular Color Kids'!U702</f>
        <v>0</v>
      </c>
    </row>
    <row r="675" spans="1:20" x14ac:dyDescent="0.2">
      <c r="A675" s="61">
        <f>'Orderformular Color Kids'!A703</f>
        <v>0</v>
      </c>
      <c r="B675" s="62">
        <f>'Orderformular Color Kids'!B703</f>
        <v>0</v>
      </c>
      <c r="C675" s="8">
        <f>'Orderformular Color Kids'!C703</f>
        <v>0</v>
      </c>
      <c r="D675" s="8">
        <f>'Orderformular Color Kids'!D703</f>
        <v>0</v>
      </c>
      <c r="E675" s="4">
        <f>'Orderformular Color Kids'!E703</f>
        <v>0</v>
      </c>
      <c r="F675" s="4">
        <f>'Orderformular Color Kids'!F703</f>
        <v>0</v>
      </c>
      <c r="G675" s="4">
        <f>'Orderformular Color Kids'!G703</f>
        <v>0</v>
      </c>
      <c r="H675" s="4">
        <f>'Orderformular Color Kids'!H703</f>
        <v>0</v>
      </c>
      <c r="I675" s="4">
        <f>'Orderformular Color Kids'!I703</f>
        <v>0</v>
      </c>
      <c r="J675" s="4">
        <f>'Orderformular Color Kids'!J703</f>
        <v>0</v>
      </c>
      <c r="K675" s="4">
        <f>'Orderformular Color Kids'!K703</f>
        <v>0</v>
      </c>
      <c r="L675" s="4">
        <f>'Orderformular Color Kids'!L703</f>
        <v>0</v>
      </c>
      <c r="M675" s="7">
        <f>'Orderformular Color Kids'!M703</f>
        <v>0</v>
      </c>
      <c r="N675" s="7">
        <f>'Packliste Orig'!N680</f>
        <v>0</v>
      </c>
      <c r="O675" s="7">
        <f>'Orderformular Color Kids'!O703</f>
        <v>0</v>
      </c>
      <c r="P675" s="7">
        <f>'Packliste Orig'!P680</f>
        <v>0</v>
      </c>
      <c r="Q675" s="7">
        <f>'Orderformular Color Kids'!Q703</f>
        <v>0</v>
      </c>
      <c r="R675" s="7">
        <f>'Orderformular Color Kids'!R703</f>
        <v>0</v>
      </c>
      <c r="S675" s="6">
        <f t="shared" si="10"/>
        <v>0</v>
      </c>
      <c r="T675" s="50">
        <f>'Orderformular Color Kids'!U703</f>
        <v>0</v>
      </c>
    </row>
    <row r="676" spans="1:20" x14ac:dyDescent="0.2">
      <c r="A676" s="61">
        <f>'Orderformular Color Kids'!A704</f>
        <v>0</v>
      </c>
      <c r="B676" s="62">
        <f>'Orderformular Color Kids'!B704</f>
        <v>0</v>
      </c>
      <c r="C676" s="8">
        <f>'Orderformular Color Kids'!C704</f>
        <v>0</v>
      </c>
      <c r="D676" s="8">
        <f>'Orderformular Color Kids'!D704</f>
        <v>0</v>
      </c>
      <c r="E676" s="4">
        <f>'Orderformular Color Kids'!E704</f>
        <v>0</v>
      </c>
      <c r="F676" s="4">
        <f>'Orderformular Color Kids'!F704</f>
        <v>0</v>
      </c>
      <c r="G676" s="4">
        <f>'Orderformular Color Kids'!G704</f>
        <v>0</v>
      </c>
      <c r="H676" s="4">
        <f>'Orderformular Color Kids'!H704</f>
        <v>0</v>
      </c>
      <c r="I676" s="4">
        <f>'Orderformular Color Kids'!I704</f>
        <v>0</v>
      </c>
      <c r="J676" s="4">
        <f>'Orderformular Color Kids'!J704</f>
        <v>0</v>
      </c>
      <c r="K676" s="4">
        <f>'Orderformular Color Kids'!K704</f>
        <v>0</v>
      </c>
      <c r="L676" s="4">
        <f>'Orderformular Color Kids'!L704</f>
        <v>0</v>
      </c>
      <c r="M676" s="7">
        <f>'Orderformular Color Kids'!M704</f>
        <v>0</v>
      </c>
      <c r="N676" s="7">
        <f>'Packliste Orig'!N681</f>
        <v>0</v>
      </c>
      <c r="O676" s="7">
        <f>'Orderformular Color Kids'!O704</f>
        <v>0</v>
      </c>
      <c r="P676" s="7">
        <f>'Packliste Orig'!P681</f>
        <v>0</v>
      </c>
      <c r="Q676" s="7">
        <f>'Orderformular Color Kids'!Q704</f>
        <v>0</v>
      </c>
      <c r="R676" s="7">
        <f>'Orderformular Color Kids'!R704</f>
        <v>0</v>
      </c>
      <c r="S676" s="6">
        <f t="shared" si="10"/>
        <v>0</v>
      </c>
      <c r="T676" s="50">
        <f>'Orderformular Color Kids'!U704</f>
        <v>0</v>
      </c>
    </row>
    <row r="677" spans="1:20" x14ac:dyDescent="0.2">
      <c r="A677" s="61">
        <f>'Orderformular Color Kids'!A705</f>
        <v>0</v>
      </c>
      <c r="B677" s="62">
        <f>'Orderformular Color Kids'!B705</f>
        <v>0</v>
      </c>
      <c r="C677" s="8">
        <f>'Orderformular Color Kids'!C705</f>
        <v>0</v>
      </c>
      <c r="D677" s="8">
        <f>'Orderformular Color Kids'!D705</f>
        <v>0</v>
      </c>
      <c r="E677" s="4">
        <f>'Orderformular Color Kids'!E705</f>
        <v>0</v>
      </c>
      <c r="F677" s="4">
        <f>'Orderformular Color Kids'!F705</f>
        <v>0</v>
      </c>
      <c r="G677" s="4">
        <f>'Orderformular Color Kids'!G705</f>
        <v>0</v>
      </c>
      <c r="H677" s="4">
        <f>'Orderformular Color Kids'!H705</f>
        <v>0</v>
      </c>
      <c r="I677" s="4">
        <f>'Orderformular Color Kids'!I705</f>
        <v>0</v>
      </c>
      <c r="J677" s="4">
        <f>'Orderformular Color Kids'!J705</f>
        <v>0</v>
      </c>
      <c r="K677" s="4">
        <f>'Orderformular Color Kids'!K705</f>
        <v>0</v>
      </c>
      <c r="L677" s="4">
        <f>'Orderformular Color Kids'!L705</f>
        <v>0</v>
      </c>
      <c r="M677" s="7">
        <f>'Orderformular Color Kids'!M705</f>
        <v>0</v>
      </c>
      <c r="N677" s="7">
        <f>'Packliste Orig'!N682</f>
        <v>0</v>
      </c>
      <c r="O677" s="7">
        <f>'Orderformular Color Kids'!O705</f>
        <v>0</v>
      </c>
      <c r="P677" s="7">
        <f>'Packliste Orig'!P682</f>
        <v>0</v>
      </c>
      <c r="Q677" s="7">
        <f>'Orderformular Color Kids'!Q705</f>
        <v>0</v>
      </c>
      <c r="R677" s="7">
        <f>'Orderformular Color Kids'!R705</f>
        <v>0</v>
      </c>
      <c r="S677" s="6">
        <f t="shared" si="10"/>
        <v>0</v>
      </c>
      <c r="T677" s="50">
        <f>'Orderformular Color Kids'!U705</f>
        <v>0</v>
      </c>
    </row>
    <row r="678" spans="1:20" x14ac:dyDescent="0.2">
      <c r="A678" s="61">
        <f>'Orderformular Color Kids'!A706</f>
        <v>0</v>
      </c>
      <c r="B678" s="62">
        <f>'Orderformular Color Kids'!B706</f>
        <v>0</v>
      </c>
      <c r="C678" s="8">
        <f>'Orderformular Color Kids'!C706</f>
        <v>0</v>
      </c>
      <c r="D678" s="8">
        <f>'Orderformular Color Kids'!D706</f>
        <v>0</v>
      </c>
      <c r="E678" s="4">
        <f>'Orderformular Color Kids'!E706</f>
        <v>0</v>
      </c>
      <c r="F678" s="4">
        <f>'Orderformular Color Kids'!F706</f>
        <v>0</v>
      </c>
      <c r="G678" s="4">
        <f>'Orderformular Color Kids'!G706</f>
        <v>0</v>
      </c>
      <c r="H678" s="4">
        <f>'Orderformular Color Kids'!H706</f>
        <v>0</v>
      </c>
      <c r="I678" s="4">
        <f>'Orderformular Color Kids'!I706</f>
        <v>0</v>
      </c>
      <c r="J678" s="4">
        <f>'Orderformular Color Kids'!J706</f>
        <v>0</v>
      </c>
      <c r="K678" s="4">
        <f>'Orderformular Color Kids'!K706</f>
        <v>0</v>
      </c>
      <c r="L678" s="4">
        <f>'Orderformular Color Kids'!L706</f>
        <v>0</v>
      </c>
      <c r="M678" s="7">
        <f>'Orderformular Color Kids'!M706</f>
        <v>0</v>
      </c>
      <c r="N678" s="7">
        <f>'Packliste Orig'!N683</f>
        <v>0</v>
      </c>
      <c r="O678" s="7">
        <f>'Orderformular Color Kids'!O706</f>
        <v>0</v>
      </c>
      <c r="P678" s="7">
        <f>'Packliste Orig'!P683</f>
        <v>0</v>
      </c>
      <c r="Q678" s="7">
        <f>'Orderformular Color Kids'!Q706</f>
        <v>0</v>
      </c>
      <c r="R678" s="7">
        <f>'Orderformular Color Kids'!R706</f>
        <v>0</v>
      </c>
      <c r="S678" s="6">
        <f t="shared" si="10"/>
        <v>0</v>
      </c>
      <c r="T678" s="50">
        <f>'Orderformular Color Kids'!U706</f>
        <v>0</v>
      </c>
    </row>
    <row r="679" spans="1:20" x14ac:dyDescent="0.2">
      <c r="A679" s="61">
        <f>'Orderformular Color Kids'!A707</f>
        <v>0</v>
      </c>
      <c r="B679" s="62">
        <f>'Orderformular Color Kids'!B707</f>
        <v>0</v>
      </c>
      <c r="C679" s="8">
        <f>'Orderformular Color Kids'!C707</f>
        <v>0</v>
      </c>
      <c r="D679" s="8">
        <f>'Orderformular Color Kids'!D707</f>
        <v>0</v>
      </c>
      <c r="E679" s="4">
        <f>'Orderformular Color Kids'!E707</f>
        <v>0</v>
      </c>
      <c r="F679" s="4">
        <f>'Orderformular Color Kids'!F707</f>
        <v>0</v>
      </c>
      <c r="G679" s="4">
        <f>'Orderformular Color Kids'!G707</f>
        <v>0</v>
      </c>
      <c r="H679" s="4">
        <f>'Orderformular Color Kids'!H707</f>
        <v>0</v>
      </c>
      <c r="I679" s="4">
        <f>'Orderformular Color Kids'!I707</f>
        <v>0</v>
      </c>
      <c r="J679" s="4">
        <f>'Orderformular Color Kids'!J707</f>
        <v>0</v>
      </c>
      <c r="K679" s="4">
        <f>'Orderformular Color Kids'!K707</f>
        <v>0</v>
      </c>
      <c r="L679" s="4">
        <f>'Orderformular Color Kids'!L707</f>
        <v>0</v>
      </c>
      <c r="M679" s="7">
        <f>'Orderformular Color Kids'!M707</f>
        <v>0</v>
      </c>
      <c r="N679" s="7">
        <f>'Packliste Orig'!N684</f>
        <v>0</v>
      </c>
      <c r="O679" s="7">
        <f>'Orderformular Color Kids'!O707</f>
        <v>0</v>
      </c>
      <c r="P679" s="7">
        <f>'Packliste Orig'!P684</f>
        <v>0</v>
      </c>
      <c r="Q679" s="7">
        <f>'Orderformular Color Kids'!Q707</f>
        <v>0</v>
      </c>
      <c r="R679" s="7">
        <f>'Orderformular Color Kids'!R707</f>
        <v>0</v>
      </c>
      <c r="S679" s="6">
        <f t="shared" si="10"/>
        <v>0</v>
      </c>
      <c r="T679" s="50">
        <f>'Orderformular Color Kids'!U707</f>
        <v>0</v>
      </c>
    </row>
    <row r="680" spans="1:20" x14ac:dyDescent="0.2">
      <c r="A680" s="61">
        <f>'Orderformular Color Kids'!A708</f>
        <v>0</v>
      </c>
      <c r="B680" s="62">
        <f>'Orderformular Color Kids'!B708</f>
        <v>0</v>
      </c>
      <c r="C680" s="8">
        <f>'Orderformular Color Kids'!C708</f>
        <v>0</v>
      </c>
      <c r="D680" s="8">
        <f>'Orderformular Color Kids'!D708</f>
        <v>0</v>
      </c>
      <c r="E680" s="4">
        <f>'Orderformular Color Kids'!E708</f>
        <v>0</v>
      </c>
      <c r="F680" s="4">
        <f>'Orderformular Color Kids'!F708</f>
        <v>0</v>
      </c>
      <c r="G680" s="4">
        <f>'Orderformular Color Kids'!G708</f>
        <v>0</v>
      </c>
      <c r="H680" s="4">
        <f>'Orderformular Color Kids'!H708</f>
        <v>0</v>
      </c>
      <c r="I680" s="4">
        <f>'Orderformular Color Kids'!I708</f>
        <v>0</v>
      </c>
      <c r="J680" s="4">
        <f>'Orderformular Color Kids'!J708</f>
        <v>0</v>
      </c>
      <c r="K680" s="4">
        <f>'Orderformular Color Kids'!K708</f>
        <v>0</v>
      </c>
      <c r="L680" s="4">
        <f>'Orderformular Color Kids'!L708</f>
        <v>0</v>
      </c>
      <c r="M680" s="7">
        <f>'Orderformular Color Kids'!M708</f>
        <v>0</v>
      </c>
      <c r="N680" s="7">
        <f>'Packliste Orig'!N685</f>
        <v>0</v>
      </c>
      <c r="O680" s="7">
        <f>'Orderformular Color Kids'!O708</f>
        <v>0</v>
      </c>
      <c r="P680" s="7">
        <f>'Packliste Orig'!P685</f>
        <v>0</v>
      </c>
      <c r="Q680" s="7">
        <f>'Orderformular Color Kids'!Q708</f>
        <v>0</v>
      </c>
      <c r="R680" s="7">
        <f>'Orderformular Color Kids'!R708</f>
        <v>0</v>
      </c>
      <c r="S680" s="6">
        <f t="shared" si="10"/>
        <v>0</v>
      </c>
      <c r="T680" s="50">
        <f>'Orderformular Color Kids'!U708</f>
        <v>0</v>
      </c>
    </row>
    <row r="681" spans="1:20" x14ac:dyDescent="0.2">
      <c r="A681" s="61">
        <f>'Orderformular Color Kids'!A709</f>
        <v>0</v>
      </c>
      <c r="B681" s="62">
        <f>'Orderformular Color Kids'!B709</f>
        <v>0</v>
      </c>
      <c r="C681" s="8">
        <f>'Orderformular Color Kids'!C709</f>
        <v>0</v>
      </c>
      <c r="D681" s="8">
        <f>'Orderformular Color Kids'!D709</f>
        <v>0</v>
      </c>
      <c r="E681" s="4">
        <f>'Orderformular Color Kids'!E709</f>
        <v>0</v>
      </c>
      <c r="F681" s="4">
        <f>'Orderformular Color Kids'!F709</f>
        <v>0</v>
      </c>
      <c r="G681" s="4">
        <f>'Orderformular Color Kids'!G709</f>
        <v>0</v>
      </c>
      <c r="H681" s="4">
        <f>'Orderformular Color Kids'!H709</f>
        <v>0</v>
      </c>
      <c r="I681" s="4">
        <f>'Orderformular Color Kids'!I709</f>
        <v>0</v>
      </c>
      <c r="J681" s="4">
        <f>'Orderformular Color Kids'!J709</f>
        <v>0</v>
      </c>
      <c r="K681" s="4">
        <f>'Orderformular Color Kids'!K709</f>
        <v>0</v>
      </c>
      <c r="L681" s="4">
        <f>'Orderformular Color Kids'!L709</f>
        <v>0</v>
      </c>
      <c r="M681" s="7">
        <f>'Orderformular Color Kids'!M709</f>
        <v>0</v>
      </c>
      <c r="N681" s="7">
        <f>'Packliste Orig'!N686</f>
        <v>0</v>
      </c>
      <c r="O681" s="7">
        <f>'Orderformular Color Kids'!O709</f>
        <v>0</v>
      </c>
      <c r="P681" s="7">
        <f>'Packliste Orig'!P686</f>
        <v>0</v>
      </c>
      <c r="Q681" s="7">
        <f>'Orderformular Color Kids'!Q709</f>
        <v>0</v>
      </c>
      <c r="R681" s="7">
        <f>'Orderformular Color Kids'!R709</f>
        <v>0</v>
      </c>
      <c r="S681" s="6">
        <f t="shared" si="10"/>
        <v>0</v>
      </c>
      <c r="T681" s="50">
        <f>'Orderformular Color Kids'!U709</f>
        <v>0</v>
      </c>
    </row>
    <row r="682" spans="1:20" x14ac:dyDescent="0.2">
      <c r="A682" s="61">
        <f>'Orderformular Color Kids'!A710</f>
        <v>0</v>
      </c>
      <c r="B682" s="62">
        <f>'Orderformular Color Kids'!B710</f>
        <v>0</v>
      </c>
      <c r="C682" s="8">
        <f>'Orderformular Color Kids'!C710</f>
        <v>0</v>
      </c>
      <c r="D682" s="8">
        <f>'Orderformular Color Kids'!D710</f>
        <v>0</v>
      </c>
      <c r="E682" s="4">
        <f>'Orderformular Color Kids'!E710</f>
        <v>0</v>
      </c>
      <c r="F682" s="4">
        <f>'Orderformular Color Kids'!F710</f>
        <v>0</v>
      </c>
      <c r="G682" s="4">
        <f>'Orderformular Color Kids'!G710</f>
        <v>0</v>
      </c>
      <c r="H682" s="4">
        <f>'Orderformular Color Kids'!H710</f>
        <v>0</v>
      </c>
      <c r="I682" s="4">
        <f>'Orderformular Color Kids'!I710</f>
        <v>0</v>
      </c>
      <c r="J682" s="4">
        <f>'Orderformular Color Kids'!J710</f>
        <v>0</v>
      </c>
      <c r="K682" s="4">
        <f>'Orderformular Color Kids'!K710</f>
        <v>0</v>
      </c>
      <c r="L682" s="4">
        <f>'Orderformular Color Kids'!L710</f>
        <v>0</v>
      </c>
      <c r="M682" s="7">
        <f>'Orderformular Color Kids'!M710</f>
        <v>0</v>
      </c>
      <c r="N682" s="7">
        <f>'Packliste Orig'!N687</f>
        <v>0</v>
      </c>
      <c r="O682" s="7">
        <f>'Orderformular Color Kids'!O710</f>
        <v>0</v>
      </c>
      <c r="P682" s="7">
        <f>'Packliste Orig'!P687</f>
        <v>0</v>
      </c>
      <c r="Q682" s="7">
        <f>'Orderformular Color Kids'!Q710</f>
        <v>0</v>
      </c>
      <c r="R682" s="7">
        <f>'Orderformular Color Kids'!R710</f>
        <v>0</v>
      </c>
      <c r="S682" s="6">
        <f t="shared" si="10"/>
        <v>0</v>
      </c>
      <c r="T682" s="50">
        <f>'Orderformular Color Kids'!U710</f>
        <v>0</v>
      </c>
    </row>
    <row r="683" spans="1:20" x14ac:dyDescent="0.2">
      <c r="A683" s="61">
        <f>'Orderformular Color Kids'!A711</f>
        <v>0</v>
      </c>
      <c r="B683" s="62">
        <f>'Orderformular Color Kids'!B711</f>
        <v>0</v>
      </c>
      <c r="C683" s="8">
        <f>'Orderformular Color Kids'!C711</f>
        <v>0</v>
      </c>
      <c r="D683" s="8">
        <f>'Orderformular Color Kids'!D711</f>
        <v>0</v>
      </c>
      <c r="E683" s="4">
        <f>'Orderformular Color Kids'!E711</f>
        <v>0</v>
      </c>
      <c r="F683" s="4">
        <f>'Orderformular Color Kids'!F711</f>
        <v>0</v>
      </c>
      <c r="G683" s="4">
        <f>'Orderformular Color Kids'!G711</f>
        <v>0</v>
      </c>
      <c r="H683" s="4">
        <f>'Orderformular Color Kids'!H711</f>
        <v>0</v>
      </c>
      <c r="I683" s="4">
        <f>'Orderformular Color Kids'!I711</f>
        <v>0</v>
      </c>
      <c r="J683" s="4">
        <f>'Orderformular Color Kids'!J711</f>
        <v>0</v>
      </c>
      <c r="K683" s="4">
        <f>'Orderformular Color Kids'!K711</f>
        <v>0</v>
      </c>
      <c r="L683" s="4">
        <f>'Orderformular Color Kids'!L711</f>
        <v>0</v>
      </c>
      <c r="M683" s="7">
        <f>'Orderformular Color Kids'!M711</f>
        <v>0</v>
      </c>
      <c r="N683" s="7">
        <f>'Packliste Orig'!N688</f>
        <v>0</v>
      </c>
      <c r="O683" s="7">
        <f>'Orderformular Color Kids'!O711</f>
        <v>0</v>
      </c>
      <c r="P683" s="7">
        <f>'Packliste Orig'!P688</f>
        <v>0</v>
      </c>
      <c r="Q683" s="7">
        <f>'Orderformular Color Kids'!Q711</f>
        <v>0</v>
      </c>
      <c r="R683" s="7">
        <f>'Orderformular Color Kids'!R711</f>
        <v>0</v>
      </c>
      <c r="S683" s="6">
        <f t="shared" si="10"/>
        <v>0</v>
      </c>
      <c r="T683" s="50">
        <f>'Orderformular Color Kids'!U711</f>
        <v>0</v>
      </c>
    </row>
    <row r="684" spans="1:20" x14ac:dyDescent="0.2">
      <c r="A684" s="61">
        <f>'Orderformular Color Kids'!A712</f>
        <v>0</v>
      </c>
      <c r="B684" s="62">
        <f>'Orderformular Color Kids'!B712</f>
        <v>0</v>
      </c>
      <c r="C684" s="8">
        <f>'Orderformular Color Kids'!C712</f>
        <v>0</v>
      </c>
      <c r="D684" s="8">
        <f>'Orderformular Color Kids'!D712</f>
        <v>0</v>
      </c>
      <c r="E684" s="4">
        <f>'Orderformular Color Kids'!E712</f>
        <v>0</v>
      </c>
      <c r="F684" s="4">
        <f>'Orderformular Color Kids'!F712</f>
        <v>0</v>
      </c>
      <c r="G684" s="4">
        <f>'Orderformular Color Kids'!G712</f>
        <v>0</v>
      </c>
      <c r="H684" s="4">
        <f>'Orderformular Color Kids'!H712</f>
        <v>0</v>
      </c>
      <c r="I684" s="4">
        <f>'Orderformular Color Kids'!I712</f>
        <v>0</v>
      </c>
      <c r="J684" s="4">
        <f>'Orderformular Color Kids'!J712</f>
        <v>0</v>
      </c>
      <c r="K684" s="4">
        <f>'Orderformular Color Kids'!K712</f>
        <v>0</v>
      </c>
      <c r="L684" s="4">
        <f>'Orderformular Color Kids'!L712</f>
        <v>0</v>
      </c>
      <c r="M684" s="7">
        <f>'Orderformular Color Kids'!M712</f>
        <v>0</v>
      </c>
      <c r="N684" s="7">
        <f>'Packliste Orig'!N689</f>
        <v>0</v>
      </c>
      <c r="O684" s="7">
        <f>'Orderformular Color Kids'!O712</f>
        <v>0</v>
      </c>
      <c r="P684" s="7">
        <f>'Packliste Orig'!P689</f>
        <v>0</v>
      </c>
      <c r="Q684" s="7">
        <f>'Orderformular Color Kids'!Q712</f>
        <v>0</v>
      </c>
      <c r="R684" s="7">
        <f>'Orderformular Color Kids'!R712</f>
        <v>0</v>
      </c>
      <c r="S684" s="6">
        <f t="shared" si="10"/>
        <v>0</v>
      </c>
      <c r="T684" s="50">
        <f>'Orderformular Color Kids'!U712</f>
        <v>0</v>
      </c>
    </row>
    <row r="685" spans="1:20" x14ac:dyDescent="0.2">
      <c r="A685" s="61">
        <f>'Orderformular Color Kids'!A713</f>
        <v>0</v>
      </c>
      <c r="B685" s="62">
        <f>'Orderformular Color Kids'!B713</f>
        <v>0</v>
      </c>
      <c r="C685" s="8">
        <f>'Orderformular Color Kids'!C713</f>
        <v>0</v>
      </c>
      <c r="D685" s="8">
        <f>'Orderformular Color Kids'!D713</f>
        <v>0</v>
      </c>
      <c r="E685" s="4">
        <f>'Orderformular Color Kids'!E713</f>
        <v>0</v>
      </c>
      <c r="F685" s="4">
        <f>'Orderformular Color Kids'!F713</f>
        <v>0</v>
      </c>
      <c r="G685" s="4">
        <f>'Orderformular Color Kids'!G713</f>
        <v>0</v>
      </c>
      <c r="H685" s="4">
        <f>'Orderformular Color Kids'!H713</f>
        <v>0</v>
      </c>
      <c r="I685" s="4">
        <f>'Orderformular Color Kids'!I713</f>
        <v>0</v>
      </c>
      <c r="J685" s="4">
        <f>'Orderformular Color Kids'!J713</f>
        <v>0</v>
      </c>
      <c r="K685" s="4">
        <f>'Orderformular Color Kids'!K713</f>
        <v>0</v>
      </c>
      <c r="L685" s="4">
        <f>'Orderformular Color Kids'!L713</f>
        <v>0</v>
      </c>
      <c r="M685" s="7">
        <f>'Orderformular Color Kids'!M713</f>
        <v>0</v>
      </c>
      <c r="N685" s="7">
        <f>'Packliste Orig'!N690</f>
        <v>0</v>
      </c>
      <c r="O685" s="7">
        <f>'Orderformular Color Kids'!O713</f>
        <v>0</v>
      </c>
      <c r="P685" s="7">
        <f>'Packliste Orig'!P690</f>
        <v>0</v>
      </c>
      <c r="Q685" s="7">
        <f>'Orderformular Color Kids'!Q713</f>
        <v>0</v>
      </c>
      <c r="R685" s="7">
        <f>'Orderformular Color Kids'!R713</f>
        <v>0</v>
      </c>
      <c r="S685" s="6">
        <f t="shared" si="10"/>
        <v>0</v>
      </c>
      <c r="T685" s="50">
        <f>'Orderformular Color Kids'!U713</f>
        <v>0</v>
      </c>
    </row>
  </sheetData>
  <autoFilter ref="A11:AB412" xr:uid="{00000000-0009-0000-0000-000001000000}"/>
  <mergeCells count="5">
    <mergeCell ref="A1:W1"/>
    <mergeCell ref="K7:L7"/>
    <mergeCell ref="M7:N7"/>
    <mergeCell ref="O7:P7"/>
    <mergeCell ref="Q7:R7"/>
  </mergeCells>
  <printOptions horizontalCentered="1"/>
  <pageMargins left="0.19685039370078741" right="0.19685039370078741" top="0.59055118110236227" bottom="0.59055118110236227" header="0.31496062992125984" footer="0.15748031496062992"/>
  <pageSetup paperSize="9" scale="65" orientation="portrait" r:id="rId1"/>
  <headerFooter differentFirst="1" scaleWithDoc="0" alignWithMargins="0">
    <oddHeader>&amp;R&amp;"Calibri,Standard"Seite&amp;P/&amp;N</oddHeader>
    <oddFooter>&amp;C&amp;"-,Standard"&amp;9Peakmile AG, Gebäude G, Mühlegasse 18, 6340 Baar           
Tel. Office + 41 41 760 19 02, Fax Office + 41 41 760 19 03, info@peakmile.com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Orderformular Color Kids</vt:lpstr>
      <vt:lpstr>Packliste Orig</vt:lpstr>
      <vt:lpstr>'Orderformular Color Kids'!Print_Area</vt:lpstr>
      <vt:lpstr>'Packliste Orig'!Print_Area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Tinu Hasler</dc:creator>
  <cp:lastModifiedBy>Thomann Nils I.BSCINF.2601</cp:lastModifiedBy>
  <cp:lastPrinted>2026-06-01T14:18:02Z</cp:lastPrinted>
  <dcterms:created xsi:type="dcterms:W3CDTF">2010-01-25T14:33:06Z</dcterms:created>
  <dcterms:modified xsi:type="dcterms:W3CDTF">2026-07-02T21:26:54Z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0x01010099C01A7CBCC89E43BECB694AF5E0D618</vt:lpwstr>
  </property>
  <property fmtid="{D5CDD505-2E9C-101B-9397-08002B2CF9AE}" pid="3" name="MediaServiceImageTags">
    <vt:lpwstr/>
  </property>
</Properties>
</file>