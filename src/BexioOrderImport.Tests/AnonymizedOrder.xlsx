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5" rupBuild="30131"/>
  <x: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Projekte\bexio-order-import\src\BexioOrderImport.Tests\"/>
    </mc:Choice>
  </mc:AlternateContent>
  <xr:revisionPtr revIDLastSave="0" documentId="13_ncr:1_{07DD237C-4E0F-42EA-ABA4-6428725A2BE6}" xr6:coauthVersionLast="47" xr6:coauthVersionMax="47" xr10:uidLastSave="{00000000-0000-0000-0000-000000000000}"/>
  <x:bookViews>
    <x:workbookView xWindow="-108" yWindow="-108" windowWidth="23256" windowHeight="13896" firstSheet="0" activeTab="0" xr2:uid="{00000000-000D-0000-FFFF-FFFF00000000}"/>
  </x:bookViews>
  <x:sheets>
    <x:sheet name="Ordersheeet" sheetId="9" r:id="rId1"/>
  </x:sheets>
  <x:definedNames>
    <x:definedName name="_xlnm.Print_Area" localSheetId="0">Ordersheeet!$A$1:$V$466</x:definedName>
    <x:definedName name="_xlnm._FilterDatabase" localSheetId="0" hidden="1">Ordersheeet!$A$17:$AG$459</x:definedName>
    <x:definedName name="register" localSheetId="0">#REF!</x:definedName>
    <x:definedName name="register">#REF!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x:ext>
  </x:extLst>
</x:workbook>
</file>

<file path=xl/calcChain.xml><?xml version="1.0" encoding="utf-8"?>
<x:calcChain xmlns:x="http://schemas.openxmlformats.org/spreadsheetml/2006/main">
  <x:c r="Z10" i="9"/>
  <x:c r="V11" i="9"/>
  <x:c r="Z11" i="9"/>
  <x:c r="V13" i="9"/>
  <x:c r="V15" i="9"/>
  <x:c r="S18" i="9"/>
  <x:c r="V18" i="9"/>
  <x:c r="S19" i="9"/>
  <x:c r="V19" i="9"/>
  <x:c r="S20" i="9"/>
  <x:c r="V20" i="9"/>
  <x:c r="S21" i="9"/>
  <x:c r="V21" i="9"/>
  <x:c r="S22" i="9"/>
  <x:c r="V22" i="9"/>
  <x:c r="S23" i="9"/>
  <x:c r="V23" i="9"/>
  <x:c r="S24" i="9"/>
  <x:c r="V24" i="9"/>
  <x:c r="S25" i="9"/>
  <x:c r="V25" i="9"/>
  <x:c r="S26" i="9"/>
  <x:c r="V26" i="9"/>
  <x:c r="S27" i="9"/>
  <x:c r="V27" i="9"/>
  <x:c r="S28" i="9"/>
  <x:c r="V28" i="9"/>
  <x:c r="S29" i="9"/>
  <x:c r="V29" i="9"/>
  <x:c r="S30" i="9"/>
  <x:c r="V30" i="9"/>
  <x:c r="S31" i="9"/>
  <x:c r="V31" i="9"/>
  <x:c r="S32" i="9"/>
  <x:c r="V32" i="9"/>
  <x:c r="S33" i="9"/>
  <x:c r="V33" i="9"/>
  <x:c r="S34" i="9"/>
  <x:c r="V34" i="9"/>
  <x:c r="S35" i="9"/>
  <x:c r="V35" i="9"/>
  <x:c r="S36" i="9"/>
  <x:c r="V36" i="9"/>
  <x:c r="S37" i="9"/>
  <x:c r="V37" i="9"/>
  <x:c r="S38" i="9"/>
  <x:c r="V38" i="9"/>
  <x:c r="S39" i="9"/>
  <x:c r="V39" i="9"/>
  <x:c r="S40" i="9"/>
  <x:c r="V40" i="9"/>
  <x:c r="S41" i="9"/>
  <x:c r="V41" i="9"/>
  <x:c r="S42" i="9"/>
  <x:c r="V42" i="9"/>
  <x:c r="S43" i="9"/>
  <x:c r="V43" i="9"/>
  <x:c r="S44" i="9"/>
  <x:c r="V44" i="9"/>
  <x:c r="S45" i="9"/>
  <x:c r="V45" i="9"/>
  <x:c r="S46" i="9"/>
  <x:c r="V46" i="9"/>
  <x:c r="S47" i="9"/>
  <x:c r="V47" i="9"/>
  <x:c r="S48" i="9"/>
  <x:c r="V48" i="9"/>
  <x:c r="S49" i="9"/>
  <x:c r="V49" i="9"/>
  <x:c r="S50" i="9"/>
  <x:c r="V50" i="9"/>
  <x:c r="S51" i="9"/>
  <x:c r="V51" i="9"/>
  <x:c r="S52" i="9"/>
  <x:c r="V52" i="9"/>
  <x:c r="S53" i="9"/>
  <x:c r="V53" i="9"/>
  <x:c r="S54" i="9"/>
  <x:c r="V54" i="9"/>
  <x:c r="S55" i="9"/>
  <x:c r="V55" i="9"/>
  <x:c r="S56" i="9"/>
  <x:c r="V56" i="9"/>
  <x:c r="S57" i="9"/>
  <x:c r="V57" i="9"/>
  <x:c r="S58" i="9"/>
  <x:c r="V58" i="9"/>
  <x:c r="S59" i="9"/>
  <x:c r="V59" i="9"/>
  <x:c r="S60" i="9"/>
  <x:c r="V60" i="9"/>
  <x:c r="S61" i="9"/>
  <x:c r="V61" i="9"/>
  <x:c r="S62" i="9"/>
  <x:c r="V62" i="9"/>
  <x:c r="S63" i="9"/>
  <x:c r="V63" i="9"/>
  <x:c r="S64" i="9"/>
  <x:c r="V64" i="9"/>
  <x:c r="S65" i="9"/>
  <x:c r="V65" i="9"/>
  <x:c r="S66" i="9"/>
  <x:c r="V66" i="9"/>
  <x:c r="S67" i="9"/>
  <x:c r="V67" i="9"/>
  <x:c r="S68" i="9"/>
  <x:c r="V68" i="9"/>
  <x:c r="S69" i="9"/>
  <x:c r="V69" i="9"/>
  <x:c r="S70" i="9"/>
  <x:c r="V70" i="9"/>
  <x:c r="S71" i="9"/>
  <x:c r="V71" i="9"/>
  <x:c r="S72" i="9"/>
  <x:c r="V72" i="9"/>
  <x:c r="S73" i="9"/>
  <x:c r="V73" i="9"/>
  <x:c r="S74" i="9"/>
  <x:c r="V74" i="9"/>
  <x:c r="S75" i="9"/>
  <x:c r="V75" i="9"/>
  <x:c r="S76" i="9"/>
  <x:c r="V76" i="9"/>
  <x:c r="S77" i="9"/>
  <x:c r="V77" i="9"/>
  <x:c r="S78" i="9"/>
  <x:c r="V78" i="9"/>
  <x:c r="S79" i="9"/>
  <x:c r="V79" i="9"/>
  <x:c r="S80" i="9"/>
  <x:c r="V80" i="9"/>
  <x:c r="S81" i="9"/>
  <x:c r="V81" i="9"/>
  <x:c r="S82" i="9"/>
  <x:c r="V82" i="9"/>
  <x:c r="S83" i="9"/>
  <x:c r="V83" i="9"/>
  <x:c r="S84" i="9"/>
  <x:c r="V84" i="9"/>
  <x:c r="S85" i="9"/>
  <x:c r="V85" i="9"/>
  <x:c r="S86" i="9"/>
  <x:c r="V86" i="9"/>
  <x:c r="S87" i="9"/>
  <x:c r="V87" i="9"/>
  <x:c r="S88" i="9"/>
  <x:c r="V88" i="9"/>
  <x:c r="S89" i="9"/>
  <x:c r="V89" i="9"/>
  <x:c r="S90" i="9"/>
  <x:c r="V90" i="9"/>
  <x:c r="S91" i="9"/>
  <x:c r="V91" i="9"/>
  <x:c r="S92" i="9"/>
  <x:c r="V92" i="9"/>
  <x:c r="S93" i="9"/>
  <x:c r="V93" i="9"/>
  <x:c r="S94" i="9"/>
  <x:c r="V94" i="9"/>
  <x:c r="S95" i="9"/>
  <x:c r="V95" i="9"/>
  <x:c r="S96" i="9"/>
  <x:c r="V96" i="9"/>
  <x:c r="S97" i="9"/>
  <x:c r="V97" i="9"/>
  <x:c r="S98" i="9"/>
  <x:c r="V98" i="9"/>
  <x:c r="S99" i="9"/>
  <x:c r="V99" i="9"/>
  <x:c r="S100" i="9"/>
  <x:c r="V100" i="9"/>
  <x:c r="S101" i="9"/>
  <x:c r="V101" i="9"/>
  <x:c r="S102" i="9"/>
  <x:c r="V102" i="9"/>
  <x:c r="S103" i="9"/>
  <x:c r="V103" i="9"/>
  <x:c r="S104" i="9"/>
  <x:c r="V104" i="9"/>
  <x:c r="S105" i="9"/>
  <x:c r="V105" i="9"/>
  <x:c r="S106" i="9"/>
  <x:c r="V106" i="9"/>
  <x:c r="S107" i="9"/>
  <x:c r="V107" i="9"/>
  <x:c r="S108" i="9"/>
  <x:c r="V108" i="9"/>
  <x:c r="S109" i="9"/>
  <x:c r="V109" i="9"/>
  <x:c r="S110" i="9"/>
  <x:c r="V110" i="9"/>
  <x:c r="S111" i="9"/>
  <x:c r="V111" i="9"/>
  <x:c r="S112" i="9"/>
  <x:c r="V112" i="9"/>
  <x:c r="S113" i="9"/>
  <x:c r="V113" i="9"/>
  <x:c r="S114" i="9"/>
  <x:c r="V114" i="9"/>
  <x:c r="S115" i="9"/>
  <x:c r="V115" i="9"/>
  <x:c r="S116" i="9"/>
  <x:c r="V116" i="9"/>
  <x:c r="S117" i="9"/>
  <x:c r="V117" i="9"/>
  <x:c r="S118" i="9"/>
  <x:c r="V118" i="9"/>
  <x:c r="S119" i="9"/>
  <x:c r="V119" i="9"/>
  <x:c r="S120" i="9"/>
  <x:c r="V120" i="9"/>
  <x:c r="S121" i="9"/>
  <x:c r="V121" i="9"/>
  <x:c r="S122" i="9"/>
  <x:c r="V122" i="9"/>
  <x:c r="S123" i="9"/>
  <x:c r="V123" i="9"/>
  <x:c r="S124" i="9"/>
  <x:c r="V124" i="9"/>
  <x:c r="S125" i="9"/>
  <x:c r="V125" i="9"/>
  <x:c r="S126" i="9"/>
  <x:c r="V126" i="9"/>
  <x:c r="S127" i="9"/>
  <x:c r="V127" i="9"/>
  <x:c r="S128" i="9"/>
  <x:c r="V128" i="9"/>
  <x:c r="S129" i="9"/>
  <x:c r="V129" i="9"/>
  <x:c r="S130" i="9"/>
  <x:c r="V130" i="9"/>
  <x:c r="S131" i="9"/>
  <x:c r="V131" i="9"/>
  <x:c r="S132" i="9"/>
  <x:c r="V132" i="9"/>
  <x:c r="S133" i="9"/>
  <x:c r="V133" i="9"/>
  <x:c r="S134" i="9"/>
  <x:c r="V134" i="9"/>
  <x:c r="S139" i="9"/>
  <x:c r="V139" i="9"/>
  <x:c r="S140" i="9"/>
  <x:c r="V140" i="9"/>
  <x:c r="S142" i="9"/>
  <x:c r="V142" i="9"/>
  <x:c r="S143" i="9"/>
  <x:c r="V143" i="9"/>
  <x:c r="S144" i="9"/>
  <x:c r="V144" i="9"/>
  <x:c r="S145" i="9"/>
  <x:c r="V145" i="9"/>
  <x:c r="S146" i="9"/>
  <x:c r="V146" i="9"/>
  <x:c r="S147" i="9"/>
  <x:c r="V147" i="9"/>
  <x:c r="S148" i="9"/>
  <x:c r="V148" i="9"/>
  <x:c r="S149" i="9"/>
  <x:c r="V149" i="9"/>
  <x:c r="S150" i="9"/>
  <x:c r="V150" i="9"/>
  <x:c r="S151" i="9"/>
  <x:c r="V151" i="9"/>
  <x:c r="S152" i="9"/>
  <x:c r="V152" i="9"/>
  <x:c r="S153" i="9"/>
  <x:c r="V153" i="9"/>
  <x:c r="S154" i="9"/>
  <x:c r="V154" i="9"/>
  <x:c r="S155" i="9"/>
  <x:c r="V155" i="9"/>
  <x:c r="S156" i="9"/>
  <x:c r="V156" i="9"/>
  <x:c r="S157" i="9"/>
  <x:c r="V157" i="9"/>
  <x:c r="S158" i="9"/>
  <x:c r="V158" i="9"/>
  <x:c r="S159" i="9"/>
  <x:c r="V159" i="9"/>
  <x:c r="S160" i="9"/>
  <x:c r="V160" i="9"/>
  <x:c r="S161" i="9"/>
  <x:c r="V161" i="9"/>
  <x:c r="S162" i="9"/>
  <x:c r="V162" i="9"/>
  <x:c r="S163" i="9"/>
  <x:c r="V163" i="9"/>
  <x:c r="S164" i="9"/>
  <x:c r="V164" i="9"/>
  <x:c r="S165" i="9"/>
  <x:c r="V165" i="9"/>
  <x:c r="S166" i="9"/>
  <x:c r="V166" i="9"/>
  <x:c r="S167" i="9"/>
  <x:c r="V167" i="9"/>
  <x:c r="S168" i="9"/>
  <x:c r="V168" i="9"/>
  <x:c r="S169" i="9"/>
  <x:c r="V169" i="9"/>
  <x:c r="S170" i="9"/>
  <x:c r="V170" i="9"/>
  <x:c r="S171" i="9"/>
  <x:c r="V171" i="9"/>
  <x:c r="S172" i="9"/>
  <x:c r="V172" i="9"/>
  <x:c r="S173" i="9"/>
  <x:c r="V173" i="9"/>
  <x:c r="S174" i="9"/>
  <x:c r="V174" i="9"/>
  <x:c r="S175" i="9"/>
  <x:c r="V175" i="9"/>
  <x:c r="S176" i="9"/>
  <x:c r="V176" i="9"/>
  <x:c r="S177" i="9"/>
  <x:c r="V177" i="9"/>
  <x:c r="S178" i="9"/>
  <x:c r="V178" i="9"/>
  <x:c r="S179" i="9"/>
  <x:c r="V179" i="9"/>
  <x:c r="S180" i="9"/>
  <x:c r="V180" i="9"/>
  <x:c r="S181" i="9"/>
  <x:c r="V181" i="9"/>
  <x:c r="S182" i="9"/>
  <x:c r="V182" i="9"/>
  <x:c r="S183" i="9"/>
  <x:c r="V183" i="9"/>
  <x:c r="S184" i="9"/>
  <x:c r="V184" i="9"/>
  <x:c r="S185" i="9"/>
  <x:c r="V185" i="9"/>
  <x:c r="S186" i="9"/>
  <x:c r="V186" i="9"/>
  <x:c r="S187" i="9"/>
  <x:c r="V187" i="9"/>
  <x:c r="S188" i="9"/>
  <x:c r="V188" i="9"/>
  <x:c r="S189" i="9"/>
  <x:c r="V189" i="9"/>
  <x:c r="S190" i="9"/>
  <x:c r="V190" i="9"/>
  <x:c r="S191" i="9"/>
  <x:c r="V191" i="9"/>
  <x:c r="S192" i="9"/>
  <x:c r="V192" i="9"/>
  <x:c r="S193" i="9"/>
  <x:c r="V193" i="9"/>
  <x:c r="S194" i="9"/>
  <x:c r="V194" i="9"/>
  <x:c r="S195" i="9"/>
  <x:c r="V195" i="9"/>
  <x:c r="S196" i="9"/>
  <x:c r="V196" i="9"/>
  <x:c r="S197" i="9"/>
  <x:c r="V197" i="9"/>
  <x:c r="S198" i="9"/>
  <x:c r="V198" i="9"/>
  <x:c r="S199" i="9"/>
  <x:c r="V199" i="9"/>
  <x:c r="S200" i="9"/>
  <x:c r="V200" i="9"/>
  <x:c r="S201" i="9"/>
  <x:c r="V201" i="9"/>
  <x:c r="S202" i="9"/>
  <x:c r="V202" i="9"/>
  <x:c r="S203" i="9"/>
  <x:c r="V203" i="9"/>
  <x:c r="S204" i="9"/>
  <x:c r="V204" i="9"/>
  <x:c r="S205" i="9"/>
  <x:c r="V205" i="9"/>
  <x:c r="S206" i="9"/>
  <x:c r="V206" i="9"/>
  <x:c r="S207" i="9"/>
  <x:c r="V207" i="9"/>
  <x:c r="S208" i="9"/>
  <x:c r="V208" i="9"/>
  <x:c r="S209" i="9"/>
  <x:c r="V209" i="9"/>
  <x:c r="S210" i="9"/>
  <x:c r="V210" i="9"/>
  <x:c r="S211" i="9"/>
  <x:c r="V211" i="9"/>
  <x:c r="S212" i="9"/>
  <x:c r="V212" i="9"/>
  <x:c r="S213" i="9"/>
  <x:c r="V213" i="9"/>
  <x:c r="S214" i="9"/>
  <x:c r="V214" i="9"/>
  <x:c r="S215" i="9"/>
  <x:c r="V215" i="9"/>
  <x:c r="S216" i="9"/>
  <x:c r="V216" i="9"/>
  <x:c r="S217" i="9"/>
  <x:c r="V217" i="9"/>
  <x:c r="S218" i="9"/>
  <x:c r="V218" i="9"/>
  <x:c r="S219" i="9"/>
  <x:c r="V219" i="9"/>
  <x:c r="S220" i="9"/>
  <x:c r="V220" i="9"/>
  <x:c r="S221" i="9"/>
  <x:c r="V221" i="9"/>
  <x:c r="S222" i="9"/>
  <x:c r="V222" i="9"/>
  <x:c r="S223" i="9"/>
  <x:c r="V223" i="9"/>
  <x:c r="S224" i="9"/>
  <x:c r="V224" i="9"/>
  <x:c r="S225" i="9"/>
  <x:c r="V225" i="9"/>
  <x:c r="S226" i="9"/>
  <x:c r="V226" i="9"/>
  <x:c r="S227" i="9"/>
  <x:c r="V227" i="9"/>
  <x:c r="S228" i="9"/>
  <x:c r="V228" i="9"/>
  <x:c r="S229" i="9"/>
  <x:c r="V229" i="9"/>
  <x:c r="S230" i="9"/>
  <x:c r="V230" i="9"/>
  <x:c r="S231" i="9"/>
  <x:c r="V231" i="9"/>
  <x:c r="S232" i="9"/>
  <x:c r="V232" i="9"/>
  <x:c r="S233" i="9"/>
  <x:c r="V233" i="9"/>
  <x:c r="S234" i="9"/>
  <x:c r="V234" i="9"/>
  <x:c r="S239" i="9"/>
  <x:c r="V239" i="9"/>
  <x:c r="S240" i="9"/>
  <x:c r="V240" i="9"/>
  <x:c r="S241" i="9"/>
  <x:c r="V241" i="9"/>
  <x:c r="S242" i="9"/>
  <x:c r="V242" i="9"/>
  <x:c r="S243" i="9"/>
  <x:c r="V243" i="9"/>
  <x:c r="S244" i="9"/>
  <x:c r="V244" i="9"/>
  <x:c r="S248" i="9"/>
  <x:c r="V248" i="9"/>
  <x:c r="S249" i="9"/>
  <x:c r="V249" i="9"/>
  <x:c r="S250" i="9"/>
  <x:c r="V250" i="9"/>
  <x:c r="S251" i="9"/>
  <x:c r="V251" i="9"/>
  <x:c r="S252" i="9"/>
  <x:c r="V252" i="9"/>
  <x:c r="S253" i="9"/>
  <x:c r="V253" i="9"/>
  <x:c r="S254" i="9"/>
  <x:c r="V254" i="9"/>
  <x:c r="S255" i="9"/>
  <x:c r="V255" i="9"/>
  <x:c r="S256" i="9"/>
  <x:c r="V256" i="9"/>
  <x:c r="S257" i="9"/>
  <x:c r="V257" i="9"/>
  <x:c r="S258" i="9"/>
  <x:c r="V258" i="9"/>
  <x:c r="S259" i="9"/>
  <x:c r="V259" i="9"/>
  <x:c r="S260" i="9"/>
  <x:c r="V260" i="9"/>
  <x:c r="S261" i="9"/>
  <x:c r="V261" i="9"/>
  <x:c r="S262" i="9"/>
  <x:c r="V262" i="9"/>
  <x:c r="S263" i="9"/>
  <x:c r="V263" i="9"/>
  <x:c r="S264" i="9"/>
  <x:c r="V264" i="9"/>
  <x:c r="S265" i="9"/>
  <x:c r="V265" i="9"/>
  <x:c r="S266" i="9"/>
  <x:c r="V266" i="9"/>
  <x:c r="S268" i="9"/>
  <x:c r="V268" i="9"/>
  <x:c r="S269" i="9"/>
  <x:c r="V269" i="9"/>
  <x:c r="S270" i="9"/>
  <x:c r="V270" i="9"/>
  <x:c r="S271" i="9"/>
  <x:c r="V271" i="9"/>
  <x:c r="S272" i="9"/>
  <x:c r="V272" i="9"/>
  <x:c r="S273" i="9"/>
  <x:c r="V273" i="9"/>
  <x:c r="S274" i="9"/>
  <x:c r="V274" i="9"/>
  <x:c r="S275" i="9"/>
  <x:c r="V275" i="9"/>
  <x:c r="S276" i="9"/>
  <x:c r="V276" i="9"/>
  <x:c r="S277" i="9"/>
  <x:c r="V277" i="9"/>
  <x:c r="S278" i="9"/>
  <x:c r="V278" i="9"/>
  <x:c r="S279" i="9"/>
  <x:c r="V279" i="9"/>
  <x:c r="S282" i="9"/>
  <x:c r="V282" i="9"/>
  <x:c r="S283" i="9"/>
  <x:c r="V283" i="9"/>
  <x:c r="S284" i="9"/>
  <x:c r="V284" i="9"/>
  <x:c r="S285" i="9"/>
  <x:c r="V285" i="9"/>
  <x:c r="S286" i="9"/>
  <x:c r="V286" i="9"/>
  <x:c r="S287" i="9"/>
  <x:c r="V287" i="9"/>
  <x:c r="S288" i="9"/>
  <x:c r="V288" i="9"/>
  <x:c r="S289" i="9"/>
  <x:c r="V289" i="9"/>
  <x:c r="S290" i="9"/>
  <x:c r="V290" i="9"/>
  <x:c r="S291" i="9"/>
  <x:c r="V291" i="9"/>
  <x:c r="S292" i="9"/>
  <x:c r="V292" i="9"/>
  <x:c r="S294" i="9"/>
  <x:c r="V294" i="9"/>
  <x:c r="S295" i="9"/>
  <x:c r="V295" i="9"/>
  <x:c r="S297" i="9"/>
  <x:c r="V297" i="9"/>
  <x:c r="S298" i="9"/>
  <x:c r="V298" i="9"/>
  <x:c r="S299" i="9"/>
  <x:c r="V299" i="9"/>
  <x:c r="S300" i="9"/>
  <x:c r="V300" i="9"/>
  <x:c r="S301" i="9"/>
  <x:c r="V301" i="9"/>
  <x:c r="S302" i="9"/>
  <x:c r="V302" i="9"/>
  <x:c r="S303" i="9"/>
  <x:c r="V303" i="9"/>
  <x:c r="S304" i="9"/>
  <x:c r="V304" i="9"/>
  <x:c r="S305" i="9"/>
  <x:c r="V305" i="9"/>
  <x:c r="S306" i="9"/>
  <x:c r="V306" i="9"/>
  <x:c r="S307" i="9"/>
  <x:c r="V307" i="9"/>
  <x:c r="S308" i="9"/>
  <x:c r="V308" i="9"/>
  <x:c r="S309" i="9"/>
  <x:c r="V309" i="9"/>
  <x:c r="S310" i="9"/>
  <x:c r="V310" i="9"/>
  <x:c r="S311" i="9"/>
  <x:c r="V311" i="9"/>
  <x:c r="S312" i="9"/>
  <x:c r="V312" i="9"/>
  <x:c r="S313" i="9"/>
  <x:c r="V313" i="9"/>
  <x:c r="S314" i="9"/>
  <x:c r="V314" i="9"/>
  <x:c r="S315" i="9"/>
  <x:c r="V315" i="9"/>
  <x:c r="S316" i="9"/>
  <x:c r="V316" i="9"/>
  <x:c r="S317" i="9"/>
  <x:c r="V317" i="9"/>
  <x:c r="S318" i="9"/>
  <x:c r="V318" i="9"/>
  <x:c r="S319" i="9"/>
  <x:c r="V319" i="9"/>
  <x:c r="S320" i="9"/>
  <x:c r="V320" i="9"/>
  <x:c r="S321" i="9"/>
  <x:c r="V321" i="9"/>
  <x:c r="S322" i="9"/>
  <x:c r="V322" i="9"/>
  <x:c r="S323" i="9"/>
  <x:c r="V323" i="9"/>
  <x:c r="S324" i="9"/>
  <x:c r="V324" i="9"/>
  <x:c r="S325" i="9"/>
  <x:c r="V325" i="9"/>
  <x:c r="S326" i="9"/>
  <x:c r="V326" i="9"/>
  <x:c r="S327" i="9"/>
  <x:c r="V327" i="9"/>
  <x:c r="S328" i="9"/>
  <x:c r="V328" i="9"/>
  <x:c r="S329" i="9"/>
  <x:c r="V329" i="9"/>
  <x:c r="S330" i="9"/>
  <x:c r="V330" i="9"/>
  <x:c r="S331" i="9"/>
  <x:c r="V331" i="9"/>
  <x:c r="S332" i="9"/>
  <x:c r="V332" i="9"/>
  <x:c r="S333" i="9"/>
  <x:c r="V333" i="9"/>
  <x:c r="S334" i="9"/>
  <x:c r="V334" i="9"/>
  <x:c r="S335" i="9"/>
  <x:c r="V335" i="9"/>
  <x:c r="S336" i="9"/>
  <x:c r="V336" i="9"/>
  <x:c r="S337" i="9"/>
  <x:c r="V337" i="9"/>
  <x:c r="S338" i="9"/>
  <x:c r="V338" i="9"/>
  <x:c r="S339" i="9"/>
  <x:c r="V339" i="9"/>
  <x:c r="S340" i="9"/>
  <x:c r="V340" i="9"/>
  <x:c r="S341" i="9"/>
  <x:c r="V341" i="9"/>
  <x:c r="S342" i="9"/>
  <x:c r="V342" i="9"/>
  <x:c r="S343" i="9"/>
  <x:c r="V343" i="9"/>
  <x:c r="S344" i="9"/>
  <x:c r="V344" i="9"/>
  <x:c r="S345" i="9"/>
  <x:c r="V345" i="9"/>
  <x:c r="S346" i="9"/>
  <x:c r="V346" i="9"/>
  <x:c r="S347" i="9"/>
  <x:c r="V347" i="9"/>
  <x:c r="S348" i="9"/>
  <x:c r="V348" i="9"/>
  <x:c r="S349" i="9"/>
  <x:c r="V349" i="9"/>
  <x:c r="S350" i="9"/>
  <x:c r="V350" i="9"/>
  <x:c r="S351" i="9"/>
  <x:c r="V351" i="9"/>
  <x:c r="S352" i="9"/>
  <x:c r="V352" i="9"/>
  <x:c r="S353" i="9"/>
  <x:c r="V353" i="9"/>
  <x:c r="S354" i="9"/>
  <x:c r="V354" i="9"/>
  <x:c r="S355" i="9"/>
  <x:c r="V355" i="9"/>
  <x:c r="S356" i="9"/>
  <x:c r="V356" i="9"/>
  <x:c r="S357" i="9"/>
  <x:c r="V357" i="9"/>
  <x:c r="S358" i="9"/>
  <x:c r="V358" i="9"/>
  <x:c r="S359" i="9"/>
  <x:c r="V359" i="9"/>
  <x:c r="S360" i="9"/>
  <x:c r="V360" i="9"/>
  <x:c r="S361" i="9"/>
  <x:c r="V361" i="9"/>
  <x:c r="S362" i="9"/>
  <x:c r="V362" i="9"/>
  <x:c r="S363" i="9"/>
  <x:c r="V363" i="9"/>
  <x:c r="S364" i="9"/>
  <x:c r="V364" i="9"/>
  <x:c r="S365" i="9"/>
  <x:c r="V365" i="9"/>
  <x:c r="S366" i="9"/>
  <x:c r="V366" i="9"/>
  <x:c r="S367" i="9"/>
  <x:c r="V367" i="9"/>
  <x:c r="S368" i="9"/>
  <x:c r="V368" i="9"/>
  <x:c r="S369" i="9"/>
  <x:c r="V369" i="9"/>
  <x:c r="S370" i="9"/>
  <x:c r="V370" i="9"/>
  <x:c r="S371" i="9"/>
  <x:c r="V371" i="9"/>
  <x:c r="S372" i="9"/>
  <x:c r="V372" i="9"/>
  <x:c r="S373" i="9"/>
  <x:c r="V373" i="9"/>
  <x:c r="S374" i="9"/>
  <x:c r="V374" i="9"/>
  <x:c r="S375" i="9"/>
  <x:c r="V375" i="9"/>
  <x:c r="S376" i="9"/>
  <x:c r="V376" i="9"/>
  <x:c r="S377" i="9"/>
  <x:c r="V377" i="9"/>
  <x:c r="S378" i="9"/>
  <x:c r="V378" i="9"/>
  <x:c r="S379" i="9"/>
  <x:c r="V379" i="9"/>
  <x:c r="S380" i="9"/>
  <x:c r="V380" i="9"/>
  <x:c r="S381" i="9"/>
  <x:c r="V381" i="9"/>
  <x:c r="S382" i="9"/>
  <x:c r="V382" i="9"/>
  <x:c r="S383" i="9"/>
  <x:c r="V383" i="9"/>
  <x:c r="S384" i="9"/>
  <x:c r="V384" i="9"/>
  <x:c r="S385" i="9"/>
  <x:c r="V385" i="9"/>
  <x:c r="S386" i="9"/>
  <x:c r="V386" i="9"/>
  <x:c r="S387" i="9"/>
  <x:c r="V387" i="9"/>
  <x:c r="S388" i="9"/>
  <x:c r="V388" i="9"/>
  <x:c r="S389" i="9"/>
  <x:c r="V389" i="9"/>
  <x:c r="S390" i="9"/>
  <x:c r="V390" i="9"/>
  <x:c r="S391" i="9"/>
  <x:c r="V391" i="9"/>
  <x:c r="S392" i="9"/>
  <x:c r="V392" i="9"/>
  <x:c r="S393" i="9"/>
  <x:c r="V393" i="9"/>
  <x:c r="S394" i="9"/>
  <x:c r="V394" i="9"/>
  <x:c r="S395" i="9"/>
  <x:c r="V395" i="9"/>
  <x:c r="S396" i="9"/>
  <x:c r="V396" i="9"/>
  <x:c r="S397" i="9"/>
  <x:c r="V397" i="9"/>
  <x:c r="S398" i="9"/>
  <x:c r="V398" i="9"/>
  <x:c r="S399" i="9"/>
  <x:c r="V399" i="9"/>
  <x:c r="S402" i="9"/>
  <x:c r="V402" i="9"/>
  <x:c r="S404" i="9"/>
  <x:c r="V404" i="9"/>
  <x:c r="S405" i="9"/>
  <x:c r="V405" i="9"/>
  <x:c r="S406" i="9"/>
  <x:c r="V406" i="9"/>
  <x:c r="S407" i="9"/>
  <x:c r="V407" i="9"/>
  <x:c r="S408" i="9"/>
  <x:c r="V408" i="9"/>
  <x:c r="S409" i="9"/>
  <x:c r="V409" i="9"/>
  <x:c r="S410" i="9"/>
  <x:c r="V410" i="9"/>
  <x:c r="S411" i="9"/>
  <x:c r="V411" i="9"/>
  <x:c r="S412" i="9"/>
  <x:c r="V412" i="9"/>
  <x:c r="S413" i="9"/>
  <x:c r="V413" i="9"/>
  <x:c r="S414" i="9"/>
  <x:c r="V414" i="9"/>
  <x:c r="S415" i="9"/>
  <x:c r="V415" i="9"/>
  <x:c r="S416" i="9"/>
  <x:c r="V416" i="9"/>
  <x:c r="S417" i="9"/>
  <x:c r="V417" i="9"/>
  <x:c r="S418" i="9"/>
  <x:c r="V418" i="9"/>
  <x:c r="S419" i="9"/>
  <x:c r="V419" i="9"/>
  <x:c r="S420" i="9"/>
  <x:c r="V420" i="9"/>
  <x:c r="S421" i="9"/>
  <x:c r="V421" i="9"/>
  <x:c r="S422" i="9"/>
  <x:c r="V422" i="9"/>
  <x:c r="S423" i="9"/>
  <x:c r="V423" i="9"/>
  <x:c r="S424" i="9"/>
  <x:c r="V424" i="9"/>
  <x:c r="S425" i="9"/>
  <x:c r="V425" i="9"/>
  <x:c r="S426" i="9"/>
  <x:c r="V426" i="9"/>
  <x:c r="S427" i="9"/>
  <x:c r="V427" i="9"/>
  <x:c r="S428" i="9"/>
  <x:c r="V428" i="9"/>
  <x:c r="S429" i="9"/>
  <x:c r="V429" i="9"/>
  <x:c r="S430" i="9"/>
  <x:c r="V430" i="9"/>
  <x:c r="S431" i="9"/>
  <x:c r="V431" i="9"/>
  <x:c r="S432" i="9"/>
  <x:c r="V432" i="9"/>
  <x:c r="S433" i="9"/>
  <x:c r="V433" i="9"/>
  <x:c r="S434" i="9"/>
  <x:c r="V434" i="9"/>
  <x:c r="S435" i="9"/>
  <x:c r="V435" i="9"/>
  <x:c r="S436" i="9"/>
  <x:c r="V436" i="9"/>
  <x:c r="S437" i="9"/>
  <x:c r="V437" i="9"/>
  <x:c r="S438" i="9"/>
  <x:c r="V438" i="9"/>
  <x:c r="S439" i="9"/>
  <x:c r="V439" i="9"/>
  <x:c r="S440" i="9"/>
  <x:c r="V440" i="9"/>
  <x:c r="S441" i="9"/>
  <x:c r="V441" i="9"/>
  <x:c r="S442" i="9"/>
  <x:c r="V442" i="9"/>
  <x:c r="S443" i="9"/>
  <x:c r="V443" i="9"/>
  <x:c r="S444" i="9"/>
  <x:c r="V444" i="9"/>
  <x:c r="S445" i="9"/>
  <x:c r="V445" i="9"/>
  <x:c r="S446" i="9"/>
  <x:c r="V446" i="9"/>
  <x:c r="S447" i="9"/>
  <x:c r="V447" i="9"/>
  <x:c r="S448" i="9"/>
  <x:c r="V448" i="9"/>
  <x:c r="S449" i="9"/>
  <x:c r="V449" i="9"/>
  <x:c r="S450" i="9"/>
  <x:c r="V450" i="9"/>
  <x:c r="S451" i="9"/>
  <x:c r="V451" i="9"/>
  <x:c r="S452" i="9"/>
  <x:c r="V452" i="9"/>
  <x:c r="S453" i="9"/>
  <x:c r="V453" i="9"/>
  <x:c r="S454" i="9"/>
  <x:c r="V454" i="9"/>
  <x:c r="S455" i="9"/>
  <x:c r="V455" i="9"/>
  <x:c r="S456" i="9"/>
  <x:c r="V456" i="9"/>
  <x:c r="S457" i="9"/>
  <x:c r="V457" i="9"/>
  <x:c r="S458" i="9"/>
  <x:c r="V458" i="9"/>
  <x:c r="S459" i="9"/>
  <x:c r="V459" i="9"/>
</x:calcChain>
</file>

<file path=xl/sharedStrings.xml><?xml version="1.0" encoding="utf-8"?>
<x:sst xmlns:x="http://schemas.openxmlformats.org/spreadsheetml/2006/main">
  <x:si>
    <x:t>Auftragsbestätigung Muster AG</x:t>
  </x:si>
  <x:si>
    <x:t>Kunde</x:t>
  </x:si>
  <x:si>
    <x:t>Firma:</x:t>
  </x:si>
  <x:si>
    <x:t>Muster Fashion AG</x:t>
  </x:si>
  <x:si>
    <x:t>Einkauf:</x:t>
  </x:si>
  <x:si>
    <x:t>Hans Muster</x:t>
  </x:si>
  <x:si>
    <x:t>Straße:</x:t>
  </x:si>
  <x:si>
    <x:t>Musterstrasse 12</x:t>
  </x:si>
  <x:si>
    <x:t>E-Mail:</x:t>
  </x:si>
  <x:si>
    <x:t>test@test.com</x:t>
  </x:si>
  <x:si>
    <x:t>PLZ Ort:</x:t>
  </x:si>
  <x:si>
    <x:t>8000 Zürich</x:t>
  </x:si>
  <x:si>
    <x:t>Bexio AU:</x:t>
  </x:si>
  <x:si>
    <x:t>Liefertermin:</x:t>
  </x:si>
  <x:si>
    <x:t xml:space="preserve">Datum: </x:t>
  </x:si>
  <x:si>
    <x:t>Zahlungskonditionen:</x:t>
  </x:si>
  <x:si>
    <x:t>10 Tage 4% Skonto, 30 Tage netto</x:t>
  </x:si>
  <x:si>
    <x:t>Mittens/Acc</x:t>
  </x:si>
  <x:si>
    <x:t>6-12M</x:t>
  </x:si>
  <x:si>
    <x:t>1-2Y</x:t>
  </x:si>
  <x:si>
    <x:t>2-4Y</x:t>
  </x:si>
  <x:si>
    <x:t>4-6Y</x:t>
  </x:si>
  <x:si>
    <x:t>6-8Y</x:t>
  </x:si>
  <x:si>
    <x:t>8-10Y</x:t>
  </x:si>
  <x:si>
    <x:t>10-12Y</x:t>
  </x:si>
  <x:si>
    <x:t>12-14Y</x:t>
  </x:si>
  <x:si>
    <x:t>14-16Y</x:t>
  </x:si>
  <x:si>
    <x:t>Hats/Necks</x:t>
  </x:si>
  <x:si>
    <x:t>one size</x:t>
  </x:si>
  <x:si>
    <x:t>2-6Y</x:t>
  </x:si>
  <x:si>
    <x:t>6-10Y</x:t>
  </x:si>
  <x:si>
    <x:t>10+Y</x:t>
  </x:si>
  <x:si>
    <x:t>EK exkl. MWST</x:t>
  </x:si>
  <x:si>
    <x:t>Shoes</x:t>
  </x:si>
  <x:si>
    <x:t>22/23</x:t>
  </x:si>
  <x:si>
    <x:t>24/25</x:t>
  </x:si>
  <x:si>
    <x:t>26/27</x:t>
  </x:si>
  <x:si>
    <x:t>28/29</x:t>
  </x:si>
  <x:si>
    <x:t>30/31</x:t>
  </x:si>
  <x:si>
    <x:t>32/33</x:t>
  </x:si>
  <x:si>
    <x:t>34/35</x:t>
  </x:si>
  <x:si>
    <x:t>36/37</x:t>
  </x:si>
  <x:si>
    <x:t>38/39</x:t>
  </x:si>
  <x:si>
    <x:t>40/41</x:t>
  </x:si>
  <x:si>
    <x:t>Rabatt:</x:t>
  </x:si>
  <x:si>
    <x:t>Socks/UWear</x:t>
  </x:si>
  <x:si>
    <x:t>23/26</x:t>
  </x:si>
  <x:si>
    <x:t>27/30</x:t>
  </x:si>
  <x:si>
    <x:t>31/34</x:t>
  </x:si>
  <x:si>
    <x:t>35/38</x:t>
  </x:si>
  <x:si>
    <x:t>39/42</x:t>
  </x:si>
  <x:si>
    <x:t>92/104</x:t>
  </x:si>
  <x:si>
    <x:t>116/128</x:t>
  </x:si>
  <x:si>
    <x:t>140/152</x:t>
  </x:si>
  <x:si>
    <x:t>164/176</x:t>
  </x:si>
  <x:si>
    <x:t>TOTAL exkl MWST:</x:t>
  </x:si>
  <x:si>
    <x:t>Shoes 20-31</x:t>
  </x:si>
  <x:si>
    <x:t>Shoes 32-41</x:t>
  </x:si>
  <x:si>
    <x:t xml:space="preserve">Total Menge: </x:t>
  </x:si>
  <x:si>
    <x:t>Mini</x:t>
  </x:si>
  <x:si>
    <x:t>Artikel Nr.</x:t>
  </x:si>
  <x:si>
    <x:t>Artikel</x:t>
  </x:si>
  <x:si>
    <x:t>Farbe</x:t>
  </x:si>
  <x:si>
    <x:t>Kids</x:t>
  </x:si>
  <x:si>
    <x:t>Total</x:t>
  </x:si>
  <x:si>
    <x:t>EP</x:t>
  </x:si>
  <x:si>
    <x:t>UVP</x:t>
  </x:si>
  <x:si>
    <x:t>Betrag</x:t>
  </x:si>
  <x:si>
    <x:t>Katalog Seite</x:t>
  </x:si>
  <x:si>
    <x:t>Anonymized Item 18</x:t>
  </x:si>
  <x:si>
    <x:t>Anonymized 161 Phantom</x:t>
  </x:si>
  <x:si>
    <x:t>Anonymized Item 19</x:t>
  </x:si>
  <x:si>
    <x:t>Anonymized Item 20</x:t>
  </x:si>
  <x:si>
    <x:t>Anonymized 772 Dress Blues</x:t>
  </x:si>
  <x:si>
    <x:t>Anonymized Item 21</x:t>
  </x:si>
  <x:si>
    <x:t>Anonymized Item 22</x:t>
  </x:si>
  <x:si>
    <x:t>Anonymized Item 23</x:t>
  </x:si>
  <x:si>
    <x:t>Anonymized Item 24</x:t>
  </x:si>
  <x:si>
    <x:t>Anonymized 563 Honeysuckle</x:t>
  </x:si>
  <x:si>
    <x:t>Anonymized Item 25</x:t>
  </x:si>
  <x:si>
    <x:t>Anonymized Item 26</x:t>
  </x:si>
  <x:si>
    <x:t>Anonymized Item 27</x:t>
  </x:si>
  <x:si>
    <x:t>Anonymized Item 28</x:t>
  </x:si>
  <x:si>
    <x:t>Anonymized 663 Lavender Mist</x:t>
  </x:si>
  <x:si>
    <x:t>Anonymized Item 29</x:t>
  </x:si>
  <x:si>
    <x:t>Anonymized Item 30</x:t>
  </x:si>
  <x:si>
    <x:t>Anonymized 854 Coronet Blue</x:t>
  </x:si>
  <x:si>
    <x:t>Anonymized Item 31</x:t>
  </x:si>
  <x:si>
    <x:t>Anonymized Item 32</x:t>
  </x:si>
  <x:si>
    <x:t>Anonymized Item 33</x:t>
  </x:si>
  <x:si>
    <x:t>Hats</x:t>
  </x:si>
  <x:si>
    <x:t>Anonymized Item 34</x:t>
  </x:si>
  <x:si>
    <x:t>Anonymized Item 35</x:t>
  </x:si>
  <x:si>
    <x:t>Anonymized Item 36</x:t>
  </x:si>
  <x:si>
    <x:t>Anonymized Item 37</x:t>
  </x:si>
  <x:si>
    <x:t>Anonymized Item 38</x:t>
  </x:si>
  <x:si>
    <x:t>Anonymized Item 39</x:t>
  </x:si>
  <x:si>
    <x:t>Anonymized 535 Festival Fuchsia</x:t>
  </x:si>
  <x:si>
    <x:t>Anonymized Item 40</x:t>
  </x:si>
  <x:si>
    <x:t>Anonymized 575 Ash Rose</x:t>
  </x:si>
  <x:si>
    <x:t>Anonymized Item 41</x:t>
  </x:si>
  <x:si>
    <x:t>Anonymized 870 Total Eclipse</x:t>
  </x:si>
  <x:si>
    <x:t>Anonymized Item 42</x:t>
  </x:si>
  <x:si>
    <x:t>Anonymized Item 43</x:t>
  </x:si>
  <x:si>
    <x:t>Anonymized 1191 Black</x:t>
  </x:si>
  <x:si>
    <x:t>Anonymized Item 44</x:t>
  </x:si>
  <x:si>
    <x:t>Anonymized 5005 Foxglove</x:t>
  </x:si>
  <x:si>
    <x:t>Anonymized Item 45</x:t>
  </x:si>
  <x:si>
    <x:t>Anonymized Item 46</x:t>
  </x:si>
  <x:si>
    <x:t>Anonymized 794 Ensign Blue</x:t>
  </x:si>
  <x:si>
    <x:t>Anonymized Item 47</x:t>
  </x:si>
  <x:si>
    <x:t>Anonymized Item 48</x:t>
  </x:si>
  <x:si>
    <x:t>Anonymized 140 Black</x:t>
  </x:si>
  <x:si>
    <x:t>Anonymized Item 49</x:t>
  </x:si>
  <x:si>
    <x:t>Anonymized Item 50</x:t>
  </x:si>
  <x:si>
    <x:t>Anonymized Item 51</x:t>
  </x:si>
  <x:si>
    <x:t>Anonymized Item 52</x:t>
  </x:si>
  <x:si>
    <x:t>Anonymized Item 53</x:t>
  </x:si>
  <x:si>
    <x:t>Anonymized Item 54</x:t>
  </x:si>
  <x:si>
    <x:t>Anonymized Item 55</x:t>
  </x:si>
  <x:si>
    <x:t>Anonymized Item 56</x:t>
  </x:si>
  <x:si>
    <x:t>Anonymized Item 57</x:t>
  </x:si>
  <x:si>
    <x:t>Anonymized Item 58</x:t>
  </x:si>
  <x:si>
    <x:t>Anonymized Item 59</x:t>
  </x:si>
  <x:si>
    <x:t>Anonymized Item 60</x:t>
  </x:si>
  <x:si>
    <x:t>Anonymized Item 61</x:t>
  </x:si>
  <x:si>
    <x:t>Anonymized Item 62</x:t>
  </x:si>
  <x:si>
    <x:t>Anonymized Item 63</x:t>
  </x:si>
  <x:si>
    <x:t>Anonymized Item 64</x:t>
  </x:si>
  <x:si>
    <x:t>Anonymized Item 65</x:t>
  </x:si>
  <x:si>
    <x:t>Anonymized Item 66</x:t>
  </x:si>
  <x:si>
    <x:t>Anonymized Item 67</x:t>
  </x:si>
  <x:si>
    <x:t>Anonymized Item 68</x:t>
  </x:si>
  <x:si>
    <x:t>Anonymized Item 69</x:t>
  </x:si>
  <x:si>
    <x:t>Anonymized Item 70</x:t>
  </x:si>
  <x:si>
    <x:t>Anonymized 7721 Dress Blues</x:t>
  </x:si>
  <x:si>
    <x:t>Anonymized Item 71</x:t>
  </x:si>
  <x:si>
    <x:t>Anonymized Item 72</x:t>
  </x:si>
  <x:si>
    <x:t>Anonymized Item 73</x:t>
  </x:si>
  <x:si>
    <x:t>Anonymized Item 74</x:t>
  </x:si>
  <x:si>
    <x:t>Anonymized 7548 Windward Blue</x:t>
  </x:si>
  <x:si>
    <x:t>Anonymized Item 75</x:t>
  </x:si>
  <x:si>
    <x:t>Anonymized 1880 Ebony</x:t>
  </x:si>
  <x:si>
    <x:t>Anonymized Item 76</x:t>
  </x:si>
  <x:si>
    <x:t>Anonymized 3957 Spectra Yellow</x:t>
  </x:si>
  <x:si>
    <x:t>Anonymized Item 77</x:t>
  </x:si>
  <x:si>
    <x:t>Anonymized Item 78</x:t>
  </x:si>
  <x:si>
    <x:t>Anonymized 6716 Purple Rose</x:t>
  </x:si>
  <x:si>
    <x:t>Anonymized Item 79</x:t>
  </x:si>
  <x:si>
    <x:t>Anonymized Item 80</x:t>
  </x:si>
  <x:si>
    <x:t>Anonymized 9304 Jadeite</x:t>
  </x:si>
  <x:si>
    <x:t>Anonymized Item 81</x:t>
  </x:si>
  <x:si>
    <x:t>Anonymized Item 82</x:t>
  </x:si>
  <x:si>
    <x:t>Anonymized Item 83</x:t>
  </x:si>
  <x:si>
    <x:t>Anonymized Item 84</x:t>
  </x:si>
  <x:si>
    <x:t>Anonymized Item 85</x:t>
  </x:si>
  <x:si>
    <x:t>Anonymized Item 86</x:t>
  </x:si>
  <x:si>
    <x:t>Anonymized Item 87</x:t>
  </x:si>
  <x:si>
    <x:t>Anonymized Item 88</x:t>
  </x:si>
  <x:si>
    <x:t>Mittens</x:t>
  </x:si>
  <x:si>
    <x:t>Anonymized Item 89</x:t>
  </x:si>
  <x:si>
    <x:t>Anonymized Item 90</x:t>
  </x:si>
  <x:si>
    <x:t>Anonymized Item 91</x:t>
  </x:si>
  <x:si>
    <x:t>Anonymized Item 92</x:t>
  </x:si>
  <x:si>
    <x:t>Anonymized Item 93</x:t>
  </x:si>
  <x:si>
    <x:t>Anonymized Item 94</x:t>
  </x:si>
  <x:si>
    <x:t>Anonymized Item 95</x:t>
  </x:si>
  <x:si>
    <x:t>Anonymized Item 96</x:t>
  </x:si>
  <x:si>
    <x:t>Anonymized Item 97</x:t>
  </x:si>
  <x:si>
    <x:t>Anonymized Item 98</x:t>
  </x:si>
  <x:si>
    <x:t>Anonymized Item 99</x:t>
  </x:si>
  <x:si>
    <x:t>Anonymized Item 100</x:t>
  </x:si>
  <x:si>
    <x:t>Anonymized Item 101</x:t>
  </x:si>
  <x:si>
    <x:t>Anonymized Item 102</x:t>
  </x:si>
  <x:si>
    <x:t>Anonymized Item 103</x:t>
  </x:si>
  <x:si>
    <x:t>Anonymized Item 104</x:t>
  </x:si>
  <x:si>
    <x:t>Anonymized Item 105</x:t>
  </x:si>
  <x:si>
    <x:t>Anonymized Item 106</x:t>
  </x:si>
  <x:si>
    <x:t>Anonymized Item 107</x:t>
  </x:si>
  <x:si>
    <x:t>Anonymized Item 108</x:t>
  </x:si>
  <x:si>
    <x:t>Anonymized Item 109</x:t>
  </x:si>
  <x:si>
    <x:t>Anonymized Item 110</x:t>
  </x:si>
  <x:si>
    <x:t>Anonymized 6071 Lavender Mist</x:t>
  </x:si>
  <x:si>
    <x:t>Acc</x:t>
  </x:si>
  <x:si>
    <x:t>Anonymized Item 111</x:t>
  </x:si>
  <x:si>
    <x:t>Anonymized 7450 Coronet Blue</x:t>
  </x:si>
  <x:si>
    <x:t>Anonymized Item 112</x:t>
  </x:si>
  <x:si>
    <x:t>Anonymized 4202 Zephyr</x:t>
  </x:si>
  <x:si>
    <x:t>Anonymized Item 113</x:t>
  </x:si>
  <x:si>
    <x:t>Anonymized 5021 Pale Lilac</x:t>
  </x:si>
  <x:si>
    <x:t>Anonymized Item 114</x:t>
  </x:si>
  <x:si>
    <x:t>Anonymized 6149 Marlin</x:t>
  </x:si>
  <x:si>
    <x:t>Anonymized Item 115</x:t>
  </x:si>
  <x:si>
    <x:t>Anonymized 7054 Nouvean Navy</x:t>
  </x:si>
  <x:si>
    <x:t>Anonymized Item 116</x:t>
  </x:si>
  <x:si>
    <x:t>Anonymized 7490 Placid blue</x:t>
  </x:si>
  <x:si>
    <x:t>Anonymized Item 117</x:t>
  </x:si>
  <x:si>
    <x:t>Anonymized 9118 Tea</x:t>
  </x:si>
  <x:si>
    <x:t>Anonymized Item 118</x:t>
  </x:si>
  <x:si>
    <x:t>Anonymized Item 119</x:t>
  </x:si>
  <x:si>
    <x:t>Anonymized Item 120</x:t>
  </x:si>
  <x:si>
    <x:t>Anonymized Item 121</x:t>
  </x:si>
  <x:si>
    <x:t>Anonymized Item 122</x:t>
  </x:si>
  <x:si>
    <x:t>Anonymized Item 123</x:t>
  </x:si>
  <x:si>
    <x:t>T-Shirt</x:t>
  </x:si>
  <x:si>
    <x:t>Anonymized Item 125</x:t>
  </x:si>
  <x:si>
    <x:t>Anonymized Item 126</x:t>
  </x:si>
  <x:si>
    <x:t>Anonymized Item 127</x:t>
  </x:si>
  <x:si>
    <x:t>Anonymized Item 128</x:t>
  </x:si>
  <x:si>
    <x:t>Anonymized Item 129</x:t>
  </x:si>
  <x:si>
    <x:t>Anonymized Item 130</x:t>
  </x:si>
  <x:si>
    <x:t>Anonymized Item 131</x:t>
  </x:si>
  <x:si>
    <x:t>Anonymized Item 132</x:t>
  </x:si>
  <x:si>
    <x:t>Anonymized Item 133</x:t>
  </x:si>
  <x:si>
    <x:t>Anonymized Item 134</x:t>
  </x:si>
  <x:si>
    <x:t>Anonymized Item 139</x:t>
  </x:si>
  <x:si>
    <x:t>Anonymized Item 140</x:t>
  </x:si>
  <x:si>
    <x:t>Anonymized Item 142</x:t>
  </x:si>
  <x:si>
    <x:t>Anonymized Item 143</x:t>
  </x:si>
  <x:si>
    <x:t>Anonymized Item 144</x:t>
  </x:si>
  <x:si>
    <x:t>Anonymized Item 145</x:t>
  </x:si>
  <x:si>
    <x:t>Anonymized Item 146</x:t>
  </x:si>
  <x:si>
    <x:t>Anonymized Item 147</x:t>
  </x:si>
  <x:si>
    <x:t>Anonymized 3741 Sunny Lime</x:t>
  </x:si>
  <x:si>
    <x:t>Anonymized Item 148</x:t>
  </x:si>
  <x:si>
    <x:t>Anonymized 5381 Pink Glo</x:t>
  </x:si>
  <x:si>
    <x:t>Anonymized Item 149</x:t>
  </x:si>
  <x:si>
    <x:t>Anonymized 7946 Baja Blue</x:t>
  </x:si>
  <x:si>
    <x:t>Anonymized Item 150</x:t>
  </x:si>
  <x:si>
    <x:t>Anonymized 6820 Iris Orchid</x:t>
  </x:si>
  <x:si>
    <x:t>Anonymized Item 151</x:t>
  </x:si>
  <x:si>
    <x:t>Anonymized 8425 Pool Green</x:t>
  </x:si>
  <x:si>
    <x:t>Anonymized Item 152</x:t>
  </x:si>
  <x:si>
    <x:t>Anonymized 3810 Tender Yellow</x:t>
  </x:si>
  <x:si>
    <x:t>Anonymized Item 153</x:t>
  </x:si>
  <x:si>
    <x:t>Anonymized Item 154</x:t>
  </x:si>
  <x:si>
    <x:t>Anonymized Item 155</x:t>
  </x:si>
  <x:si>
    <x:t>Anonymized Item 156</x:t>
  </x:si>
  <x:si>
    <x:t>Anonymized Item 157</x:t>
  </x:si>
  <x:si>
    <x:t>Anonymized Item 158</x:t>
  </x:si>
  <x:si>
    <x:t>Anonymized 3825 Popcorn</x:t>
  </x:si>
  <x:si>
    <x:t>Anonymized Item 159</x:t>
  </x:si>
  <x:si>
    <x:t>Anonymized Item 160</x:t>
  </x:si>
  <x:si>
    <x:t>Anonymized Item 161</x:t>
  </x:si>
  <x:si>
    <x:t>Anonymized Item 162</x:t>
  </x:si>
  <x:si>
    <x:t>Anonymized 4173 Cotton Candy</x:t>
  </x:si>
  <x:si>
    <x:t>Anonymized Item 163</x:t>
  </x:si>
  <x:si>
    <x:t>Anonymized Item 164</x:t>
  </x:si>
  <x:si>
    <x:t>Anonymized Item 165</x:t>
  </x:si>
  <x:si>
    <x:t>Anonymized Item 166</x:t>
  </x:si>
  <x:si>
    <x:t>Anonymized Item 167</x:t>
  </x:si>
  <x:si>
    <x:t>Anonymized 5036 Peach Pink</x:t>
  </x:si>
  <x:si>
    <x:t>Anonymized Item 168</x:t>
  </x:si>
  <x:si>
    <x:t>Anonymized Item 169</x:t>
  </x:si>
  <x:si>
    <x:t>Anonymized Item 170</x:t>
  </x:si>
  <x:si>
    <x:t>Anonymized Item 171</x:t>
  </x:si>
  <x:si>
    <x:t>Anonymized Item 172</x:t>
  </x:si>
  <x:si>
    <x:t>Anonymized Item 173</x:t>
  </x:si>
  <x:si>
    <x:t>Anonymized Item 174</x:t>
  </x:si>
  <x:si>
    <x:t>Anonymized Item 175</x:t>
  </x:si>
  <x:si>
    <x:t>Anonymized Item 176</x:t>
  </x:si>
  <x:si>
    <x:t>Anonymized Item 177</x:t>
  </x:si>
  <x:si>
    <x:t>Anonymized Item 178</x:t>
  </x:si>
  <x:si>
    <x:t>Anonymized Item 179</x:t>
  </x:si>
  <x:si>
    <x:t>Anonymized Item 180</x:t>
  </x:si>
  <x:si>
    <x:t>Anonymized Item 181</x:t>
  </x:si>
  <x:si>
    <x:t>Anonymized Item 182</x:t>
  </x:si>
  <x:si>
    <x:t>Anonymized Item 183</x:t>
  </x:si>
  <x:si>
    <x:t>Anonymized Item 184</x:t>
  </x:si>
  <x:si>
    <x:t>Anonymized Item 185</x:t>
  </x:si>
  <x:si>
    <x:t>Anonymized Item 186</x:t>
  </x:si>
  <x:si>
    <x:t>Anonymized Item 187</x:t>
  </x:si>
  <x:si>
    <x:t>Anonymized Item 188</x:t>
  </x:si>
  <x:si>
    <x:t>Anonymized Item 189</x:t>
  </x:si>
  <x:si>
    <x:t>Anonymized Item 190</x:t>
  </x:si>
  <x:si>
    <x:t>Anonymized Item 191</x:t>
  </x:si>
  <x:si>
    <x:t>Anonymized Item 192</x:t>
  </x:si>
  <x:si>
    <x:t>Anonymized Item 193</x:t>
  </x:si>
  <x:si>
    <x:t>Anonymized Item 194</x:t>
  </x:si>
  <x:si>
    <x:t xml:space="preserve">Anonymized 6056 Lilac Breeze </x:t>
  </x:si>
  <x:si>
    <x:t>Anonymized Item 195</x:t>
  </x:si>
  <x:si>
    <x:t>Anonymized Item 196</x:t>
  </x:si>
  <x:si>
    <x:t>Anonymized Item 197</x:t>
  </x:si>
  <x:si>
    <x:t>Anonymized Item 198</x:t>
  </x:si>
  <x:si>
    <x:t>Anonymized Item 199</x:t>
  </x:si>
  <x:si>
    <x:t>Anonymized Item 200</x:t>
  </x:si>
  <x:si>
    <x:t>Anonymized 3257 Sun Orange</x:t>
  </x:si>
  <x:si>
    <x:t>Anonymized Item 201</x:t>
  </x:si>
  <x:si>
    <x:t>Anonymized Item 202</x:t>
  </x:si>
  <x:si>
    <x:t>Anonymized Item 203</x:t>
  </x:si>
  <x:si>
    <x:t>Anonymized Item 204</x:t>
  </x:si>
  <x:si>
    <x:t>Anonymized Item 205</x:t>
  </x:si>
  <x:si>
    <x:t>Anonymized Item 206</x:t>
  </x:si>
  <x:si>
    <x:t>Anonymized Item 207</x:t>
  </x:si>
  <x:si>
    <x:t>Anonymized Item 208</x:t>
  </x:si>
  <x:si>
    <x:t>Anonymized Item 209</x:t>
  </x:si>
  <x:si>
    <x:t>Anonymized 9651 Dark Forest</x:t>
  </x:si>
  <x:si>
    <x:t>Anonymized Item 210</x:t>
  </x:si>
  <x:si>
    <x:t>Anonymized Item 211</x:t>
  </x:si>
  <x:si>
    <x:t>Anonymized Item 212</x:t>
  </x:si>
  <x:si>
    <x:t>Anonymized Item 213</x:t>
  </x:si>
  <x:si>
    <x:t>Anonymized 9899 Gras Green</x:t>
  </x:si>
  <x:si>
    <x:t>Anonymized Item 214</x:t>
  </x:si>
  <x:si>
    <x:t>Anonymized Item 215</x:t>
  </x:si>
  <x:si>
    <x:t>Anonymized Item 216</x:t>
  </x:si>
  <x:si>
    <x:t>Anonymized Item 217</x:t>
  </x:si>
  <x:si>
    <x:t>Anonymized Item 218</x:t>
  </x:si>
  <x:si>
    <x:t>Anonymized Item 219</x:t>
  </x:si>
  <x:si>
    <x:t>Anonymized Item 220</x:t>
  </x:si>
  <x:si>
    <x:t>Anonymized Item 221</x:t>
  </x:si>
  <x:si>
    <x:t>Anonymized Item 222</x:t>
  </x:si>
  <x:si>
    <x:t>Anonymized Item 223</x:t>
  </x:si>
  <x:si>
    <x:t>Anonymized Item 224</x:t>
  </x:si>
  <x:si>
    <x:t>Anonymized Item 225</x:t>
  </x:si>
  <x:si>
    <x:t>Anonymized Item 226</x:t>
  </x:si>
  <x:si>
    <x:t>Anonymized 8025 Quetzal Green</x:t>
  </x:si>
  <x:si>
    <x:t>Anonymized Item 227</x:t>
  </x:si>
  <x:si>
    <x:t>Anonymized Item 228</x:t>
  </x:si>
  <x:si>
    <x:t>Anonymized Item 229</x:t>
  </x:si>
  <x:si>
    <x:t>Anonymized Item 230</x:t>
  </x:si>
  <x:si>
    <x:t>Anonymized Item 231</x:t>
  </x:si>
  <x:si>
    <x:t>Anonymized Item 232</x:t>
  </x:si>
  <x:si>
    <x:t>Anonymized Item 233</x:t>
  </x:si>
  <x:si>
    <x:t>Anonymized 2159 Seagrass</x:t>
  </x:si>
  <x:si>
    <x:t>Anonymized Item 234</x:t>
  </x:si>
  <x:si>
    <x:t>Anonymized 6685 Violet Tulle</x:t>
  </x:si>
  <x:si>
    <x:t>Anonymized Item 239</x:t>
  </x:si>
  <x:si>
    <x:t>Anonymized Item 240</x:t>
  </x:si>
  <x:si>
    <x:t>Anonymized Item 241</x:t>
  </x:si>
  <x:si>
    <x:t>Anonymized Item 242</x:t>
  </x:si>
  <x:si>
    <x:t>Anonymized Item 243</x:t>
  </x:si>
  <x:si>
    <x:t>Anonymized 7850 Total Eclipse</x:t>
  </x:si>
  <x:si>
    <x:t>Anonymized Item 244</x:t>
  </x:si>
  <x:si>
    <x:t>Anonymized Item 248</x:t>
  </x:si>
  <x:si>
    <x:t>Anonymized 1108 Castle Wall</x:t>
  </x:si>
  <x:si>
    <x:t>Anonymized Item 249</x:t>
  </x:si>
  <x:si>
    <x:t>Anonymized 1161 Snow White</x:t>
  </x:si>
  <x:si>
    <x:t>Anonymized Item 250</x:t>
  </x:si>
  <x:si>
    <x:t>Anonymized Item 251</x:t>
  </x:si>
  <x:si>
    <x:t>Anonymized Item 252</x:t>
  </x:si>
  <x:si>
    <x:t>Anonymized Item 253</x:t>
  </x:si>
  <x:si>
    <x:t>Anonymized Item 254</x:t>
  </x:si>
  <x:si>
    <x:t>Anonymized 1919 Phantom</x:t>
  </x:si>
  <x:si>
    <x:t>Anonymized Item 255</x:t>
  </x:si>
  <x:si>
    <x:t>Anonymized Item 256</x:t>
  </x:si>
  <x:si>
    <x:t>Anonymized 2160 Coca Mocha</x:t>
  </x:si>
  <x:si>
    <x:t>Anonymized Item 257</x:t>
  </x:si>
  <x:si>
    <x:t>Anonymized 7334 Persian Jewel</x:t>
  </x:si>
  <x:si>
    <x:t>Anonymized Item 258</x:t>
  </x:si>
  <x:si>
    <x:t>Anonymized Item 259</x:t>
  </x:si>
  <x:si>
    <x:t>Anonymized Item 260</x:t>
  </x:si>
  <x:si>
    <x:t>Anonymized 7880 Surf The Web</x:t>
  </x:si>
  <x:si>
    <x:t>Anonymized Item 261</x:t>
  </x:si>
  <x:si>
    <x:t xml:space="preserve">Anonymized 9153 Kalamata </x:t>
  </x:si>
  <x:si>
    <x:t>Anonymized Item 262</x:t>
  </x:si>
  <x:si>
    <x:t>Anonymized Item 263</x:t>
  </x:si>
  <x:si>
    <x:t>Anonymized Item 264</x:t>
  </x:si>
  <x:si>
    <x:t>Anonymized 3431 Peach Sorbet</x:t>
  </x:si>
  <x:si>
    <x:t>Anonymized Item 265</x:t>
  </x:si>
  <x:si>
    <x:t>Anonymized Item 266</x:t>
  </x:si>
  <x:si>
    <x:t>Anonymized Item 268</x:t>
  </x:si>
  <x:si>
    <x:t>Anonymized Item 269</x:t>
  </x:si>
  <x:si>
    <x:t>Anonymized Item 270</x:t>
  </x:si>
  <x:si>
    <x:t>Anonymized Item 271</x:t>
  </x:si>
  <x:si>
    <x:t>Anonymized Item 272</x:t>
  </x:si>
  <x:si>
    <x:t>Anonymized Item 273</x:t>
  </x:si>
  <x:si>
    <x:t>Anonymized Item 274</x:t>
  </x:si>
  <x:si>
    <x:t>Anonymized Item 275</x:t>
  </x:si>
  <x:si>
    <x:t>Anonymized Item 276</x:t>
  </x:si>
  <x:si>
    <x:t>Anonymized Item 277</x:t>
  </x:si>
  <x:si>
    <x:t>Anonymized Item 278</x:t>
  </x:si>
  <x:si>
    <x:t>Anonymized Item 279</x:t>
  </x:si>
  <x:si>
    <x:t>Anonymized Item 282</x:t>
  </x:si>
  <x:si>
    <x:t>Anonymized Item 283</x:t>
  </x:si>
  <x:si>
    <x:t>Anonymized Item 284</x:t>
  </x:si>
  <x:si>
    <x:t>Anonymized Item 285</x:t>
  </x:si>
  <x:si>
    <x:t>Anonymized Item 286</x:t>
  </x:si>
  <x:si>
    <x:t>Anonymized Item 287</x:t>
  </x:si>
  <x:si>
    <x:t>Anonymized Item 288</x:t>
  </x:si>
  <x:si>
    <x:t>Anonymized Item 289</x:t>
  </x:si>
  <x:si>
    <x:t>Anonymized Item 290</x:t>
  </x:si>
  <x:si>
    <x:t>Anonymized Item 291</x:t>
  </x:si>
  <x:si>
    <x:t>Anonymized Item 292</x:t>
  </x:si>
  <x:si>
    <x:t>Anonymized Item 294</x:t>
  </x:si>
  <x:si>
    <x:t>Anonymized Item 295</x:t>
  </x:si>
  <x:si>
    <x:t>Anonymized Item 297</x:t>
  </x:si>
  <x:si>
    <x:t>Anonymized Item 298</x:t>
  </x:si>
  <x:si>
    <x:t>Anonymized Item 299</x:t>
  </x:si>
  <x:si>
    <x:t>Anonymized Item 300</x:t>
  </x:si>
  <x:si>
    <x:t>Anonymized Item 301</x:t>
  </x:si>
  <x:si>
    <x:t>Anonymized Item 302</x:t>
  </x:si>
  <x:si>
    <x:t>Anonymized Item 303</x:t>
  </x:si>
  <x:si>
    <x:t>Anonymized Item 304</x:t>
  </x:si>
  <x:si>
    <x:t xml:space="preserve">Anonymized 1191 Black </x:t>
  </x:si>
  <x:si>
    <x:t>Anonymized Item 305</x:t>
  </x:si>
  <x:si>
    <x:t>Anonymized Item 306</x:t>
  </x:si>
  <x:si>
    <x:t>Anonymized Item 307</x:t>
  </x:si>
  <x:si>
    <x:t>Anonymized Item 308</x:t>
  </x:si>
  <x:si>
    <x:t>Anonymized Item 309</x:t>
  </x:si>
  <x:si>
    <x:t>Anonymized Item 310</x:t>
  </x:si>
  <x:si>
    <x:t>Anonymized Item 311</x:t>
  </x:si>
  <x:si>
    <x:t>Anonymized Item 312</x:t>
  </x:si>
  <x:si>
    <x:t>Anonymized Item 313</x:t>
  </x:si>
  <x:si>
    <x:t>Anonymized Item 314</x:t>
  </x:si>
  <x:si>
    <x:t>Anonymized Item 315</x:t>
  </x:si>
  <x:si>
    <x:t>Anonymized Item 316</x:t>
  </x:si>
  <x:si>
    <x:t>Anonymized Item 317</x:t>
  </x:si>
  <x:si>
    <x:t>Anonymized Item 318</x:t>
  </x:si>
  <x:si>
    <x:t>Anonymized Item 319</x:t>
  </x:si>
  <x:si>
    <x:t>Anonymized Item 320</x:t>
  </x:si>
  <x:si>
    <x:t>Anonymized Item 321</x:t>
  </x:si>
  <x:si>
    <x:t>Anonymized Item 322</x:t>
  </x:si>
  <x:si>
    <x:t>Anonymized Item 323</x:t>
  </x:si>
  <x:si>
    <x:t>Anonymized Item 324</x:t>
  </x:si>
  <x:si>
    <x:t>Anonymized Item 325</x:t>
  </x:si>
  <x:si>
    <x:t>Anonymized Item 326</x:t>
  </x:si>
  <x:si>
    <x:t>Anonymized Item 327</x:t>
  </x:si>
  <x:si>
    <x:t>Anonymized Item 328</x:t>
  </x:si>
  <x:si>
    <x:t>Anonymized Item 329</x:t>
  </x:si>
  <x:si>
    <x:t>Anonymized Item 330</x:t>
  </x:si>
  <x:si>
    <x:t>Anonymized Item 331</x:t>
  </x:si>
  <x:si>
    <x:t>Anonymized Item 332</x:t>
  </x:si>
  <x:si>
    <x:t>Anonymized Item 333</x:t>
  </x:si>
  <x:si>
    <x:t>Anonymized Item 334</x:t>
  </x:si>
  <x:si>
    <x:t>Anonymized Item 335</x:t>
  </x:si>
  <x:si>
    <x:t>Anonymized Item 336</x:t>
  </x:si>
  <x:si>
    <x:t>Anonymized Item 337</x:t>
  </x:si>
  <x:si>
    <x:t>Anonymized Item 338</x:t>
  </x:si>
  <x:si>
    <x:t>Anonymized Item 339</x:t>
  </x:si>
  <x:si>
    <x:t>Anonymized Item 340</x:t>
  </x:si>
  <x:si>
    <x:t>Anonymized Item 341</x:t>
  </x:si>
  <x:si>
    <x:t>Anonymized Item 342</x:t>
  </x:si>
  <x:si>
    <x:t>Anonymized Item 343</x:t>
  </x:si>
  <x:si>
    <x:t>Anonymized Item 344</x:t>
  </x:si>
  <x:si>
    <x:t>Anonymized Item 345</x:t>
  </x:si>
  <x:si>
    <x:t>Anonymized Item 346</x:t>
  </x:si>
  <x:si>
    <x:t>Anonymized Item 347</x:t>
  </x:si>
  <x:si>
    <x:t>Anonymized Item 348</x:t>
  </x:si>
  <x:si>
    <x:t>Anonymized Item 349</x:t>
  </x:si>
  <x:si>
    <x:t>Anonymized Item 350</x:t>
  </x:si>
  <x:si>
    <x:t>Anonymized Item 351</x:t>
  </x:si>
  <x:si>
    <x:t>Anonymized Item 352</x:t>
  </x:si>
  <x:si>
    <x:t>Anonymized Item 353</x:t>
  </x:si>
  <x:si>
    <x:t>Anonymized Item 354</x:t>
  </x:si>
  <x:si>
    <x:t>Anonymized Item 355</x:t>
  </x:si>
  <x:si>
    <x:t>Anonymized Item 356</x:t>
  </x:si>
  <x:si>
    <x:t>Anonymized Item 357</x:t>
  </x:si>
  <x:si>
    <x:t>Anonymized Item 358</x:t>
  </x:si>
  <x:si>
    <x:t>Anonymized Item 359</x:t>
  </x:si>
  <x:si>
    <x:t>Anonymized Item 360</x:t>
  </x:si>
  <x:si>
    <x:t>Anonymized Item 361</x:t>
  </x:si>
  <x:si>
    <x:t>Anonymized Item 362</x:t>
  </x:si>
  <x:si>
    <x:t>Anonymized Item 363</x:t>
  </x:si>
  <x:si>
    <x:t>Anonymized Item 364</x:t>
  </x:si>
  <x:si>
    <x:t>Anonymized Item 365</x:t>
  </x:si>
  <x:si>
    <x:t>Anonymized Item 366</x:t>
  </x:si>
  <x:si>
    <x:t>Anonymized Item 367</x:t>
  </x:si>
  <x:si>
    <x:t>Anonymized Item 368</x:t>
  </x:si>
  <x:si>
    <x:t>Anonymized Item 369</x:t>
  </x:si>
  <x:si>
    <x:t>Anonymized Item 370</x:t>
  </x:si>
  <x:si>
    <x:t>Anonymized Item 371</x:t>
  </x:si>
  <x:si>
    <x:t>Anonymized Item 372</x:t>
  </x:si>
  <x:si>
    <x:t>Anonymized Item 373</x:t>
  </x:si>
  <x:si>
    <x:t>Anonymized Item 374</x:t>
  </x:si>
  <x:si>
    <x:t>Anonymized Item 375</x:t>
  </x:si>
  <x:si>
    <x:t>Anonymized Item 376</x:t>
  </x:si>
  <x:si>
    <x:t>Anonymized Item 377</x:t>
  </x:si>
  <x:si>
    <x:t>Anonymized Item 378</x:t>
  </x:si>
  <x:si>
    <x:t>Anonymized Item 379</x:t>
  </x:si>
  <x:si>
    <x:t>Anonymized Item 380</x:t>
  </x:si>
  <x:si>
    <x:t>Anonymized Item 381</x:t>
  </x:si>
  <x:si>
    <x:t>Anonymized Item 382</x:t>
  </x:si>
  <x:si>
    <x:t>Anonymized Item 383</x:t>
  </x:si>
  <x:si>
    <x:t>Anonymized Item 384</x:t>
  </x:si>
  <x:si>
    <x:t>Anonymized Item 385</x:t>
  </x:si>
  <x:si>
    <x:t>Anonymized Item 386</x:t>
  </x:si>
  <x:si>
    <x:t>Anonymized Item 387</x:t>
  </x:si>
  <x:si>
    <x:t>Anonymized Item 388</x:t>
  </x:si>
  <x:si>
    <x:t>Anonymized Item 389</x:t>
  </x:si>
  <x:si>
    <x:t>Anonymized Item 390</x:t>
  </x:si>
  <x:si>
    <x:t>Anonymized Item 391</x:t>
  </x:si>
  <x:si>
    <x:t>Anonymized Item 392</x:t>
  </x:si>
  <x:si>
    <x:t>Anonymized Item 393</x:t>
  </x:si>
  <x:si>
    <x:t>Anonymized Item 394</x:t>
  </x:si>
  <x:si>
    <x:t>Anonymized Item 395</x:t>
  </x:si>
  <x:si>
    <x:t>Anonymized Item 396</x:t>
  </x:si>
  <x:si>
    <x:t>Anonymized Item 397</x:t>
  </x:si>
  <x:si>
    <x:t>Anonymized Item 398</x:t>
  </x:si>
  <x:si>
    <x:t>Anonymized Item 399</x:t>
  </x:si>
  <x:si>
    <x:t>Anonymized Sandals</x:t>
  </x:si>
  <x:si>
    <x:t>Anonymized Item 404</x:t>
  </x:si>
  <x:si>
    <x:t>Anonymized Item 405</x:t>
  </x:si>
  <x:si>
    <x:t>Shoes 32-42</x:t>
  </x:si>
  <x:si>
    <x:t>Anonymized Item 406</x:t>
  </x:si>
  <x:si>
    <x:t>Anonymized Item 407</x:t>
  </x:si>
  <x:si>
    <x:t>Anonymized Item 408</x:t>
  </x:si>
  <x:si>
    <x:t>Anonymized Item 409</x:t>
  </x:si>
  <x:si>
    <x:t>Anonymized Item 410</x:t>
  </x:si>
  <x:si>
    <x:t>Anonymized Item 411</x:t>
  </x:si>
  <x:si>
    <x:t>Anonymized Item 412</x:t>
  </x:si>
  <x:si>
    <x:t>Anonymized Item 413</x:t>
  </x:si>
  <x:si>
    <x:t>Anonymized Item 414</x:t>
  </x:si>
  <x:si>
    <x:t>Anonymized Item 415</x:t>
  </x:si>
  <x:si>
    <x:t>Anonymized Item 416</x:t>
  </x:si>
  <x:si>
    <x:t>Anonymized Item 417</x:t>
  </x:si>
  <x:si>
    <x:t>Anonymized Item 418</x:t>
  </x:si>
  <x:si>
    <x:t>Anonymized Item 419</x:t>
  </x:si>
  <x:si>
    <x:t>Anonymized Item 420</x:t>
  </x:si>
  <x:si>
    <x:t>Anonymized 2808 Morel</x:t>
  </x:si>
  <x:si>
    <x:t>Anonymized Item 421</x:t>
  </x:si>
  <x:si>
    <x:t>Anonymized 6009 Keepsake Lilac</x:t>
  </x:si>
  <x:si>
    <x:t>Anonymized Item 422</x:t>
  </x:si>
  <x:si>
    <x:t>Anonymized Item 423</x:t>
  </x:si>
  <x:si>
    <x:t>Anonymized Item 424</x:t>
  </x:si>
  <x:si>
    <x:t>Anonymized Item 425</x:t>
  </x:si>
  <x:si>
    <x:t>Anonymized Item 426</x:t>
  </x:si>
  <x:si>
    <x:t>Anonymized Item 427</x:t>
  </x:si>
  <x:si>
    <x:t>Anonymized Item 428</x:t>
  </x:si>
  <x:si>
    <x:t>Anonymized Item 429</x:t>
  </x:si>
  <x:si>
    <x:t>Anonymized Item 430</x:t>
  </x:si>
  <x:si>
    <x:t>Anonymized Item 431</x:t>
  </x:si>
  <x:si>
    <x:t>Anonymized Item 432</x:t>
  </x:si>
  <x:si>
    <x:t>Anonymized 5831 Carmine</x:t>
  </x:si>
  <x:si>
    <x:t>Anonymized Item 433</x:t>
  </x:si>
  <x:si>
    <x:t>Anonymized Item 434</x:t>
  </x:si>
  <x:si>
    <x:t>Anonymized Item 435</x:t>
  </x:si>
  <x:si>
    <x:t>Anonymized Item 436</x:t>
  </x:si>
  <x:si>
    <x:t>Anonymized Item 437</x:t>
  </x:si>
  <x:si>
    <x:t>Anonymized Item 438</x:t>
  </x:si>
  <x:si>
    <x:t>Anonymized Item 439</x:t>
  </x:si>
  <x:si>
    <x:t>Anonymized Item 440</x:t>
  </x:si>
  <x:si>
    <x:t>Anonymized Item 441</x:t>
  </x:si>
  <x:si>
    <x:t>Anonymized Item 442</x:t>
  </x:si>
  <x:si>
    <x:t>Anonymized Item 443</x:t>
  </x:si>
  <x:si>
    <x:t>Anonymized Item 444</x:t>
  </x:si>
  <x:si>
    <x:t>Anonymized Item 445</x:t>
  </x:si>
  <x:si>
    <x:t>Anonymized Item 446</x:t>
  </x:si>
  <x:si>
    <x:t>Anonymized Item 447</x:t>
  </x:si>
  <x:si>
    <x:t>Anonymized Item 448</x:t>
  </x:si>
  <x:si>
    <x:t>Anonymized Item 449</x:t>
  </x:si>
  <x:si>
    <x:t>Anonymized Item 450</x:t>
  </x:si>
  <x:si>
    <x:t>Anonymized Item 451</x:t>
  </x:si>
  <x:si>
    <x:t>Anonymized Item 452</x:t>
  </x:si>
  <x:si>
    <x:t>Anonymized Item 453</x:t>
  </x:si>
  <x:si>
    <x:t>Anonymized Item 454</x:t>
  </x:si>
  <x:si>
    <x:t>Anonymized Item 455</x:t>
  </x:si>
  <x:si>
    <x:t>Anonymized Item 456</x:t>
  </x:si>
  <x:si>
    <x:t>Anonymized Item 457</x:t>
  </x:si>
  <x:si>
    <x:t>Anonymized Item 458</x:t>
  </x:si>
  <x:si>
    <x:t>Anonymized Item 459</x:t>
  </x:si>
  <x:si>
    <x:t>Anonymized Item 463</x:t>
  </x:si>
  <x:si>
    <x:t>Anonymized 0%</x:t>
  </x:si>
  <x:si>
    <x:t>Anonymized Item 464</x:t>
  </x:si>
  <x:si>
    <x:t>Anonymized 5%</x:t>
  </x:si>
  <x:si>
    <x:t>Anonymized Item 465</x:t>
  </x:si>
  <x:si>
    <x:t>Anonymized 8%</x:t>
  </x:si>
  <x:si>
    <x:t>Anonymized Item 466</x:t>
  </x:si>
  <x:si>
    <x:t>Anonymized 12%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</x:si>
</x:sst>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 count="4">
    <x:numFmt numFmtId="44" formatCode="_ &quot;CHF&quot;\ * #,##0.00_ ;_ &quot;CHF&quot;\ * \-#,##0.00_ ;_ &quot;CHF&quot;\ * &quot;-&quot;??_ ;_ @_ "/>
    <x:numFmt numFmtId="164" formatCode="[$öS-C07]\ #,##0.00"/>
    <x:numFmt numFmtId="165" formatCode="_-* #,##0.00\ [$€-1]_-;\-* #,##0.00\ [$€-1]_-;_-* &quot;-&quot;??\ [$€-1]_-"/>
    <x:numFmt numFmtId="166" formatCode="d/m/yy;@"/>
  </x:numFmts>
  <x:fonts count="27" x14ac:knownFonts="1">
    <x:font>
      <x:sz val="10"/>
      <x:name val="Arial"/>
    </x:font>
    <x:font>
      <x:sz val="11"/>
      <x:color theme="1"/>
      <x:name val="Calibri"/>
      <x:family val="2"/>
      <x:scheme val="minor"/>
    </x:font>
    <x:font>
      <x:sz val="11"/>
      <x:color theme="1"/>
      <x:name val="Calibri"/>
      <x:family val="2"/>
      <x:scheme val="minor"/>
    </x:font>
    <x:font>
      <x:sz val="10"/>
      <x:name val="Arial"/>
      <x:family val="2"/>
    </x:font>
    <x:font>
      <x:b/>
      <x:i/>
      <x:sz val="11"/>
      <x:name val="Calibri"/>
      <x:family val="2"/>
      <x:scheme val="minor"/>
    </x:font>
    <x:font>
      <x:sz val="9"/>
      <x:name val="Calibri"/>
      <x:family val="2"/>
      <x:scheme val="minor"/>
    </x:font>
    <x:font>
      <x:b/>
      <x:sz val="9"/>
      <x:name val="Calibri"/>
      <x:family val="2"/>
      <x:scheme val="minor"/>
    </x:font>
    <x:font>
      <x:sz val="10"/>
      <x:name val="Calibri"/>
      <x:family val="2"/>
      <x:scheme val="minor"/>
    </x:font>
    <x:font>
      <x:b/>
      <x:sz val="11"/>
      <x:color indexed="10"/>
      <x:name val="Calibri"/>
      <x:family val="2"/>
      <x:scheme val="minor"/>
    </x:font>
    <x:font>
      <x:sz val="11"/>
      <x:name val="Calibri"/>
      <x:family val="2"/>
      <x:scheme val="minor"/>
    </x:font>
    <x:font>
      <x:b/>
      <x:sz val="10"/>
      <x:name val="Calibri"/>
      <x:family val="2"/>
      <x:scheme val="minor"/>
    </x:font>
    <x:font>
      <x:b/>
      <x:sz val="11"/>
      <x:name val="Calibri"/>
      <x:family val="2"/>
      <x:scheme val="minor"/>
    </x:font>
    <x:font>
      <x:b/>
      <x:sz val="16"/>
      <x:name val="Calibri"/>
      <x:family val="2"/>
      <x:scheme val="minor"/>
    </x:font>
    <x:font>
      <x:b/>
      <x:sz val="10"/>
      <x:name val="Arial Narrow"/>
      <x:family val="2"/>
    </x:font>
    <x:font>
      <x:sz val="10"/>
      <x:color rgb="FFFF0000"/>
      <x:name val="Calibri"/>
      <x:family val="2"/>
      <x:scheme val="minor"/>
    </x:font>
    <x:font>
      <x:u/>
      <x:sz val="10"/>
      <x:name val="Arial"/>
      <x:family val="2"/>
    </x:font>
    <x:font>
      <x:b/>
      <x:sz val="9"/>
      <x:name val="Arial"/>
      <x:family val="2"/>
    </x:font>
    <x:font>
      <x:b/>
      <x:i/>
      <x:sz val="10"/>
      <x:name val="Calibri"/>
      <x:family val="2"/>
      <x:scheme val="minor"/>
    </x:font>
    <x:font>
      <x:sz val="10"/>
      <x:name val="Arial"/>
      <x:family val="2"/>
    </x:font>
    <x:font>
      <x:sz val="10"/>
      <x:color theme="1"/>
      <x:name val="Calibri"/>
      <x:family val="2"/>
      <x:scheme val="minor"/>
    </x:font>
    <x:font>
      <x:sz val="8"/>
      <x:name val="Arial"/>
      <x:family val="2"/>
    </x:font>
    <x:font>
      <x:sz val="9"/>
      <x:color rgb="FF000000"/>
      <x:name val="Arial"/>
      <x:family val="2"/>
    </x:font>
    <x:font>
      <x:sz val="9"/>
      <x:color rgb="FFFF0000"/>
      <x:name val="Arial"/>
      <x:family val="2"/>
    </x:font>
    <x:font>
      <x:b/>
      <x:sz val="7"/>
      <x:name val="Arial"/>
      <x:family val="2"/>
    </x:font>
    <x:font>
      <x:b/>
      <x:sz val="8"/>
      <x:name val="Arial"/>
      <x:family val="2"/>
    </x:font>
    <x:font>
      <x:u/>
      <x:sz val="10"/>
      <x:color theme="10"/>
      <x:name val="Arial"/>
    </x:font>
    <x:font>
      <x:vertAlign val="baseline"/>
      <x:sz val="11"/>
      <x:color rgb="FF000000"/>
      <x:name val="Calibri"/>
      <x:family val="2"/>
    </x:font>
  </x:fonts>
  <x:fills count="3">
    <x:fill>
      <x:patternFill patternType="none"/>
    </x:fill>
    <x:fill>
      <x:patternFill patternType="gray125"/>
    </x:fill>
    <x:fill>
      <x:patternFill patternType="solid">
        <x:fgColor theme="0" tint="-0.14999847407452621"/>
        <x:bgColor indexed="64"/>
      </x:patternFill>
    </x:fill>
  </x:fills>
  <x:borders count="4">
    <x:border>
      <x:left/>
      <x:right/>
      <x:top/>
      <x:bottom/>
      <x:diagonal/>
    </x:border>
    <x:border>
      <x:left/>
      <x:right style="thin">
        <x:color indexed="64"/>
      </x:right>
      <x:top style="thin">
        <x:color indexed="64"/>
      </x:top>
      <x:bottom style="thin">
        <x:color indexed="64"/>
      </x:bottom>
      <x:diagonal/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  <x:diagonal/>
    </x:border>
    <x:border>
      <x:left style="thin">
        <x:color indexed="64"/>
      </x:left>
      <x:right/>
      <x:top style="thin">
        <x:color indexed="64"/>
      </x:top>
      <x:bottom style="thin">
        <x:color indexed="64"/>
      </x:bottom>
      <x:diagonal/>
    </x:border>
  </x:borders>
  <x:cellStyleXfs count="76">
    <x:xf numFmtId="0" fontId="0" fillId="0" borderId="0"/>
    <x:xf numFmtId="165" fontId="3" fillId="0" borderId="0" applyFont="0" applyFill="0" applyBorder="0" applyAlignment="0" applyProtection="0"/>
    <x:xf numFmtId="0" fontId="2" fillId="0" borderId="0"/>
    <x:xf numFmtId="44" fontId="18" fillId="0" borderId="0" applyFont="0" applyFill="0" applyBorder="0" applyAlignment="0" applyProtection="0"/>
    <x:xf numFmtId="0" fontId="1" fillId="0" borderId="0"/>
    <x:xf numFmtId="44" fontId="1" fillId="0" borderId="0" applyFont="0" applyFill="0" applyBorder="0" applyAlignment="0" applyProtection="0"/>
    <x:xf numFmtId="0" fontId="25" fillId="0" borderId="0" applyNumberFormat="0" applyFill="0" applyBorder="0" applyAlignment="0" applyProtection="0"/>
    <x:xf numFmtId="0" fontId="7" fillId="0" borderId="0" applyNumberFormat="1" applyFill="1" applyBorder="0" applyAlignment="1" applyProtection="1">
      <x:protection locked="1" hidden="0"/>
    </x:xf>
    <x:xf numFmtId="1" fontId="7" fillId="0" borderId="0" applyNumberFormat="1" applyFill="1" applyBorder="0" applyAlignment="1" applyProtection="1">
      <x:protection locked="1" hidden="0"/>
    </x:xf>
    <x:xf numFmtId="2" fontId="7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1" fontId="12" fillId="0" borderId="0" applyNumberFormat="1" applyFill="1" applyBorder="0" applyAlignment="1" applyProtection="1">
      <x:protection locked="1" hidden="0"/>
    </x:xf>
    <x:xf numFmtId="49" fontId="4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  <x:xf numFmtId="164" fontId="9" fillId="0" borderId="0" applyNumberFormat="1" applyFill="1" applyBorder="0" applyAlignment="1" applyProtection="1">
      <x:protection locked="1" hidden="0"/>
    </x:xf>
    <x:xf numFmtId="14" fontId="9" fillId="0" borderId="0" applyNumberFormat="1" applyFill="1" applyBorder="0" applyAlignment="1" applyProtection="1">
      <x:protection locked="1" hidden="0"/>
    </x:xf>
    <x:xf numFmtId="2" fontId="9" fillId="0" borderId="0" applyNumberFormat="1" applyFill="1" applyBorder="0" applyAlignment="1" applyProtection="1">
      <x:protection locked="1" hidden="0"/>
    </x:xf>
    <x:xf numFmtId="2" fontId="5" fillId="0" borderId="0" applyNumberFormat="1" applyFill="1" applyBorder="0" applyAlignment="1" applyProtection="1">
      <x:protection locked="1" hidden="0"/>
    </x:xf>
    <x:xf numFmtId="14" fontId="11" fillId="0" borderId="0" applyNumberFormat="1" applyFill="1" applyBorder="0" applyAlignment="1" applyProtection="1">
      <x:protection locked="1" hidden="0"/>
    </x:xf>
    <x:xf numFmtId="1" fontId="11" fillId="0" borderId="0" applyNumberFormat="1" applyFill="1" applyBorder="0" applyAlignment="1" applyProtection="1">
      <x:protection locked="1" hidden="0"/>
    </x:xf>
    <x:xf numFmtId="1" fontId="8" fillId="0" borderId="0" applyNumberFormat="1" applyFill="1" applyBorder="0" applyAlignment="1" applyProtection="1">
      <x:protection locked="1" hidden="0"/>
    </x:xf>
    <x:xf numFmtId="0" fontId="8" fillId="0" borderId="0" applyNumberFormat="1" applyFill="1" applyBorder="0" applyAlignment="1" applyProtection="1">
      <x:protection locked="1" hidden="0"/>
    </x:xf>
    <x:xf numFmtId="0" fontId="10" fillId="0" borderId="0" applyNumberFormat="1" applyFill="1" applyBorder="0" applyAlignment="1" applyProtection="1">
      <x:protection locked="1" hidden="0"/>
    </x:xf>
    <x:xf numFmtId="49" fontId="17" fillId="0" borderId="0" applyNumberFormat="1" applyFill="1" applyBorder="0" applyAlignment="1" applyProtection="1">
      <x:protection locked="0" hidden="0"/>
    </x:xf>
    <x:xf numFmtId="166" fontId="10" fillId="0" borderId="0" applyNumberFormat="1" applyFill="1" applyBorder="0" applyAlignment="1" applyProtection="1">
      <x:protection locked="0" hidden="0"/>
    </x:xf>
    <x:xf numFmtId="49" fontId="7" fillId="0" borderId="0" applyNumberFormat="1" applyFill="1" applyBorder="0" applyAlignment="1" applyProtection="1">
      <x:protection locked="0" hidden="0"/>
    </x:xf>
    <x:xf numFmtId="0" fontId="11" fillId="0" borderId="0" applyNumberFormat="1" applyFill="1" applyBorder="0" applyAlignment="1" applyProtection="1">
      <x:protection locked="1" hidden="0"/>
    </x:xf>
    <x:xf numFmtId="2" fontId="11" fillId="0" borderId="0" applyNumberFormat="1" applyFill="1" applyBorder="0" applyAlignment="1" applyProtection="1">
      <x:protection locked="1" hidden="0"/>
    </x:xf>
    <x:xf numFmtId="1" fontId="7" fillId="0" borderId="0" applyNumberFormat="1" applyFill="1" applyBorder="0" applyAlignment="1" applyProtection="1">
      <x:protection locked="0" hidden="0"/>
    </x:xf>
    <x:xf numFmtId="0" fontId="25" fillId="0" borderId="0" applyNumberFormat="1" applyFill="1" applyBorder="0" applyAlignment="1" applyProtection="1">
      <x:protection locked="1" hidden="0"/>
    </x:xf>
    <x:xf numFmtId="49" fontId="7" fillId="0" borderId="0" applyNumberFormat="1" applyFill="1" applyBorder="0" applyAlignment="1" applyProtection="1">
      <x:protection locked="1" hidden="0"/>
    </x:xf>
    <x:xf numFmtId="0" fontId="15" fillId="0" borderId="0" applyNumberFormat="1" applyFill="1" applyBorder="0" applyAlignment="1" applyProtection="1">
      <x:protection locked="0" hidden="0"/>
    </x:xf>
    <x:xf numFmtId="44" fontId="7" fillId="0" borderId="0" applyNumberFormat="1" applyFill="1" applyBorder="0" applyAlignment="1" applyProtection="1">
      <x:protection locked="1" hidden="0"/>
    </x:xf>
    <x:xf numFmtId="0" fontId="13" fillId="0" borderId="0" applyNumberFormat="1" applyFill="1" applyBorder="0" applyAlignment="1" applyProtection="1">
      <x:protection locked="1" hidden="0"/>
    </x:xf>
    <x:xf numFmtId="14" fontId="7" fillId="0" borderId="0" applyNumberFormat="1" applyFill="1" applyBorder="0" applyAlignment="1" applyProtection="1">
      <x:protection locked="1" hidden="0"/>
    </x:xf>
    <x:xf numFmtId="1" fontId="10" fillId="0" borderId="0" applyNumberFormat="1" applyFill="1" applyBorder="0" applyAlignment="1" applyProtection="1">
      <x:protection locked="1" hidden="0"/>
    </x:xf>
    <x:xf numFmtId="0" fontId="16" fillId="0" borderId="0" applyNumberFormat="1" applyFill="1" applyBorder="0" applyAlignment="1" applyProtection="1">
      <x:protection locked="1" hidden="0"/>
    </x:xf>
    <x:xf numFmtId="2" fontId="10" fillId="0" borderId="0" applyNumberFormat="1" applyFill="1" applyBorder="0" applyAlignment="1" applyProtection="1">
      <x:protection locked="1" hidden="0"/>
    </x:xf>
    <x:xf numFmtId="44" fontId="10" fillId="0" borderId="0" applyNumberFormat="1" applyFill="1" applyBorder="0" applyAlignment="1" applyProtection="1">
      <x:protection locked="1" hidden="0"/>
    </x:xf>
    <x:xf numFmtId="49" fontId="10" fillId="0" borderId="0" applyNumberFormat="1" applyFill="1" applyBorder="0" applyAlignment="1" applyProtection="1">
      <x:protection locked="1" hidden="0"/>
    </x:xf>
    <x:xf numFmtId="3" fontId="7" fillId="0" borderId="0" applyNumberFormat="1" applyFill="1" applyBorder="0" applyAlignment="1" applyProtection="1">
      <x:protection locked="1" hidden="0"/>
    </x:xf>
    <x:xf numFmtId="3" fontId="10" fillId="0" borderId="0" applyNumberFormat="1" applyFill="1" applyBorder="0" applyAlignment="1" applyProtection="1">
      <x:protection locked="1" hidden="0"/>
    </x:xf>
    <x:xf numFmtId="1" fontId="10" fillId="2" borderId="2" applyNumberFormat="1" applyFill="0" applyBorder="1" applyAlignment="1" applyProtection="1">
      <x:protection locked="1" hidden="0"/>
    </x:xf>
    <x:xf numFmtId="49" fontId="23" fillId="2" borderId="2" applyNumberFormat="1" applyFill="0" applyBorder="1" applyAlignment="1" applyProtection="1">
      <x:protection locked="1" hidden="0"/>
    </x:xf>
    <x:xf numFmtId="49" fontId="23" fillId="2" borderId="2" applyNumberFormat="1" applyFill="0" applyBorder="1" applyAlignment="1" applyProtection="1">
      <x:protection locked="0" hidden="0"/>
    </x:xf>
    <x:xf numFmtId="49" fontId="23" fillId="2" borderId="1" applyNumberFormat="1" applyFill="0" applyBorder="1" applyAlignment="1" applyProtection="1">
      <x:protection locked="0" hidden="0"/>
    </x:xf>
    <x:xf numFmtId="9" fontId="7" fillId="0" borderId="0" applyNumberFormat="1" applyFill="1" applyBorder="0" applyAlignment="1" applyProtection="1">
      <x:protection locked="0" hidden="0"/>
    </x:xf>
    <x:xf numFmtId="1" fontId="14" fillId="0" borderId="0" applyNumberFormat="1" applyFill="1" applyBorder="0" applyAlignment="1" applyProtection="1">
      <x:protection locked="1" hidden="0"/>
    </x:xf>
    <x:xf numFmtId="0" fontId="16" fillId="2" borderId="2" applyNumberFormat="1" applyFill="0" applyBorder="1" applyAlignment="1" applyProtection="1">
      <x:protection locked="1" hidden="0"/>
    </x:xf>
    <x:xf numFmtId="0" fontId="23" fillId="2" borderId="2" applyNumberFormat="1" applyFill="0" applyBorder="1" applyAlignment="1" applyProtection="1">
      <x:protection locked="1" hidden="0"/>
    </x:xf>
    <x:xf numFmtId="49" fontId="16" fillId="2" borderId="2" applyNumberFormat="1" applyFill="0" applyBorder="1" applyAlignment="1" applyProtection="1">
      <x:protection locked="1" hidden="0"/>
    </x:xf>
    <x:xf numFmtId="49" fontId="24" fillId="2" borderId="2" applyNumberFormat="1" applyFill="0" applyBorder="1" applyAlignment="1" applyProtection="1">
      <x:protection locked="1" hidden="0"/>
    </x:xf>
    <x:xf numFmtId="0" fontId="21" fillId="2" borderId="2" applyNumberFormat="1" applyFill="0" applyBorder="1" applyAlignment="1" applyProtection="1">
      <x:protection locked="0" hidden="0"/>
    </x:xf>
    <x:xf numFmtId="9" fontId="22" fillId="2" borderId="2" applyNumberFormat="1" applyFill="0" applyBorder="1" applyAlignment="1" applyProtection="1">
      <x:protection locked="0" hidden="0"/>
    </x:xf>
    <x:xf numFmtId="44" fontId="9" fillId="0" borderId="0" applyNumberFormat="1" applyFill="1" applyBorder="0" applyAlignment="1" applyProtection="1">
      <x:protection locked="1" hidden="0"/>
    </x:xf>
    <x:xf numFmtId="1" fontId="6" fillId="2" borderId="2" applyNumberFormat="1" applyFill="0" applyBorder="1" applyAlignment="1" applyProtection="1">
      <x:protection locked="1" hidden="0"/>
    </x:xf>
    <x:xf numFmtId="49" fontId="23" fillId="2" borderId="3" applyNumberFormat="1" applyFill="0" applyBorder="1" applyAlignment="1" applyProtection="1">
      <x:protection locked="0" hidden="0"/>
    </x:xf>
    <x:xf numFmtId="0" fontId="9" fillId="2" borderId="0" applyNumberFormat="1" applyFill="0" applyBorder="0" applyAlignment="1" applyProtection="1">
      <x:protection locked="1" hidden="0"/>
    </x:xf>
    <x:xf numFmtId="2" fontId="9" fillId="2" borderId="0" applyNumberFormat="1" applyFill="0" applyBorder="0" applyAlignment="1" applyProtection="1">
      <x:protection locked="1" hidden="0"/>
    </x:xf>
    <x:xf numFmtId="44" fontId="9" fillId="2" borderId="0" applyNumberFormat="1" applyFill="0" applyBorder="0" applyAlignment="1" applyProtection="1">
      <x:protection locked="1" hidden="0"/>
    </x:xf>
    <x:xf numFmtId="0" fontId="10" fillId="2" borderId="2" applyNumberFormat="1" applyFill="0" applyBorder="1" applyAlignment="1" applyProtection="1">
      <x:protection locked="1" hidden="0"/>
    </x:xf>
    <x:xf numFmtId="2" fontId="10" fillId="2" borderId="2" applyNumberFormat="1" applyFill="0" applyBorder="1" applyAlignment="1" applyProtection="1">
      <x:protection locked="1" hidden="0"/>
    </x:xf>
    <x:xf numFmtId="0" fontId="10" fillId="2" borderId="1" applyNumberFormat="1" applyFill="0" applyBorder="1" applyAlignment="1" applyProtection="1">
      <x:protection locked="1" hidden="0"/>
    </x:xf>
    <x:xf numFmtId="0" fontId="0" fillId="0" borderId="2" applyNumberFormat="1" applyFill="1" applyBorder="1" applyAlignment="1" applyProtection="1">
      <x:protection locked="1" hidden="0"/>
    </x:xf>
    <x:xf numFmtId="0" fontId="19" fillId="0" borderId="2" applyNumberFormat="1" applyFill="1" applyBorder="1" applyAlignment="1" applyProtection="1">
      <x:protection locked="1" hidden="0"/>
    </x:xf>
    <x:xf numFmtId="0" fontId="19" fillId="2" borderId="2" applyNumberFormat="1" applyFill="0" applyBorder="1" applyAlignment="1" applyProtection="1">
      <x:protection locked="1" hidden="0"/>
    </x:xf>
    <x:xf numFmtId="1" fontId="7" fillId="0" borderId="2" applyNumberFormat="1" applyFill="1" applyBorder="1" applyAlignment="1" applyProtection="1">
      <x:protection locked="1" hidden="0"/>
    </x:xf>
    <x:xf numFmtId="2" fontId="0" fillId="0" borderId="2" applyNumberFormat="1" applyFill="1" applyBorder="1" applyAlignment="1" applyProtection="1">
      <x:protection locked="1" hidden="0"/>
    </x:xf>
    <x:xf numFmtId="44" fontId="7" fillId="0" borderId="2" applyNumberFormat="1" applyFill="1" applyBorder="1" applyAlignment="1" applyProtection="1">
      <x:protection locked="1" hidden="0"/>
    </x:xf>
    <x:xf numFmtId="0" fontId="7" fillId="2" borderId="2" applyNumberFormat="1" applyFill="0" applyBorder="1" applyAlignment="1" applyProtection="1">
      <x:protection locked="1" hidden="0"/>
    </x:xf>
    <x:xf numFmtId="0" fontId="9" fillId="0" borderId="2" applyNumberFormat="1" applyFill="1" applyBorder="1" applyAlignment="1" applyProtection="1">
      <x:protection locked="1" hidden="0"/>
    </x:xf>
    <x:xf numFmtId="2" fontId="9" fillId="0" borderId="2" applyNumberFormat="1" applyFill="1" applyBorder="1" applyAlignment="1" applyProtection="1">
      <x:protection locked="1" hidden="0"/>
    </x:xf>
    <x:xf numFmtId="0" fontId="7" fillId="0" borderId="2" applyNumberFormat="1" applyFill="1" applyBorder="1" applyAlignment="1" applyProtection="1">
      <x:protection locked="1" hidden="0"/>
    </x:xf>
    <x:xf numFmtId="0" fontId="9" fillId="2" borderId="2" applyNumberFormat="1" applyFill="0" applyBorder="1" applyAlignment="1" applyProtection="1">
      <x:protection locked="1" hidden="0"/>
    </x:xf>
    <x:xf numFmtId="44" fontId="9" fillId="0" borderId="2" applyNumberFormat="1" applyFill="1" applyBorder="1" applyAlignment="1" applyProtection="1">
      <x:protection locked="1" hidden="0"/>
    </x:xf>
  </x:cellStyleXfs>
  <x:cellXfs count="149">
    <x:xf numFmtId="0" fontId="0" fillId="0" borderId="0" xfId="0"/>
    <x:xf numFmtId="49" fontId="23" fillId="2" borderId="1" xfId="0" applyNumberFormat="1" applyFont="1" applyFill="1" applyBorder="1" applyAlignment="1" applyProtection="1">
      <x:alignment horizontal="center"/>
      <x:protection locked="0"/>
    </x:xf>
    <x:xf numFmtId="49" fontId="23" fillId="2" borderId="3" xfId="0" applyNumberFormat="1" applyFont="1" applyFill="1" applyBorder="1" applyAlignment="1" applyProtection="1">
      <x:alignment horizontal="center"/>
      <x:protection locked="0"/>
    </x:xf>
    <x:xf numFmtId="14" fontId="7" fillId="0" borderId="0" xfId="0" applyNumberFormat="1" applyFont="1" applyAlignment="1">
      <x:alignment horizontal="center" vertical="center"/>
    </x:xf>
    <x:xf numFmtId="14" fontId="11" fillId="0" borderId="0" xfId="0" applyNumberFormat="1" applyFont="1" applyAlignment="1">
      <x:alignment horizontal="left"/>
    </x:xf>
    <x:xf numFmtId="0" fontId="7" fillId="0" borderId="0" xfId="0" applyFont="1" applyAlignment="1">
      <x:alignment vertical="center"/>
    </x:xf>
    <x:xf numFmtId="0" fontId="5" fillId="0" borderId="0" xfId="0" applyFont="1"/>
    <x:xf numFmtId="0" fontId="9" fillId="0" borderId="0" xfId="0" applyFont="1"/>
    <x:xf numFmtId="0" fontId="7" fillId="0" borderId="0" xfId="0" applyFont="1"/>
    <x:xf numFmtId="0" fontId="9" fillId="0" borderId="0" xfId="0" applyFont="1" applyAlignment="1">
      <x:alignment vertical="center"/>
    </x:xf>
    <x:xf numFmtId="0" fontId="7" fillId="0" borderId="0" xfId="0" applyFont="1" applyAlignment="1">
      <x:alignment horizontal="center"/>
    </x:xf>
    <x:xf numFmtId="0" fontId="7" fillId="0" borderId="0" xfId="0" applyFont="1" applyAlignment="1">
      <x:alignment horizontal="right"/>
    </x:xf>
    <x:xf numFmtId="1" fontId="7" fillId="0" borderId="0" xfId="0" applyNumberFormat="1" applyFont="1" applyAlignment="1">
      <x:alignment horizontal="left" vertical="center" indent="1"/>
    </x:xf>
    <x:xf numFmtId="0" fontId="6" fillId="0" borderId="0" xfId="0" applyFont="1" applyAlignment="1">
      <x:alignment vertical="center" wrapText="1"/>
    </x:xf>
    <x:xf numFmtId="49" fontId="4" fillId="0" borderId="0" xfId="0" applyNumberFormat="1" applyFont="1" applyAlignment="1">
      <x:alignment horizontal="center"/>
    </x:xf>
    <x:xf numFmtId="0" fontId="5" fillId="0" borderId="0" xfId="0" applyFont="1" applyAlignment="1">
      <x:alignment vertical="center"/>
    </x:xf>
    <x:xf numFmtId="0" fontId="7" fillId="0" borderId="0" xfId="0" applyFont="1" applyAlignment="1">
      <x:alignment horizontal="right" vertical="center"/>
    </x:xf>
    <x:xf numFmtId="1" fontId="12" fillId="0" borderId="0" xfId="0" applyNumberFormat="1" applyFont="1" applyAlignment="1">
      <x:alignment vertical="center"/>
    </x:xf>
    <x:xf numFmtId="49" fontId="4" fillId="0" borderId="0" xfId="0" applyNumberFormat="1" applyFont="1" applyAlignment="1">
      <x:alignment vertical="center"/>
    </x:xf>
    <x:xf numFmtId="0" fontId="6" fillId="0" borderId="0" xfId="0" applyFont="1" applyAlignment="1">
      <x:alignment vertical="center"/>
    </x:xf>
    <x:xf numFmtId="164" fontId="9" fillId="0" borderId="0" xfId="0" applyNumberFormat="1" applyFont="1" applyAlignment="1">
      <x:alignment vertical="center"/>
    </x:xf>
    <x:xf numFmtId="0" fontId="5" fillId="0" borderId="0" xfId="0" applyFont="1" applyAlignment="1">
      <x:alignment horizontal="right"/>
    </x:xf>
    <x:xf numFmtId="1" fontId="7" fillId="0" borderId="0" xfId="0" applyNumberFormat="1" applyFont="1" applyAlignment="1">
      <x:alignment horizontal="left" vertical="center" indent="2"/>
    </x:xf>
    <x:xf numFmtId="0" fontId="10" fillId="0" borderId="0" xfId="0" applyFont="1"/>
    <x:xf numFmtId="0" fontId="5" fillId="0" borderId="0" xfId="0" applyFont="1" applyAlignment="1">
      <x:alignment horizontal="center"/>
    </x:xf>
    <x:xf numFmtId="0" fontId="9" fillId="0" borderId="0" xfId="0" applyFont="1" applyAlignment="1">
      <x:alignment horizontal="center"/>
    </x:xf>
    <x:xf numFmtId="1" fontId="8" fillId="0" borderId="0" xfId="0" applyNumberFormat="1" applyFont="1"/>
    <x:xf numFmtId="166" fontId="10" fillId="0" borderId="0" xfId="0" applyNumberFormat="1" applyFont="1" applyProtection="1">
      <x:protection locked="0"/>
    </x:xf>
    <x:xf numFmtId="0" fontId="11" fillId="0" borderId="0" xfId="0" applyFont="1"/>
    <x:xf numFmtId="1" fontId="7" fillId="0" borderId="0" xfId="0" applyNumberFormat="1" applyFont="1"/>
    <x:xf numFmtId="49" fontId="7" fillId="0" borderId="0" xfId="0" applyNumberFormat="1" applyFont="1" applyProtection="1">
      <x:protection locked="0"/>
    </x:xf>
    <x:xf numFmtId="49" fontId="7" fillId="0" borderId="0" xfId="0" applyNumberFormat="1" applyFont="1"/>
    <x:xf numFmtId="1" fontId="10" fillId="0" borderId="0" xfId="0" applyNumberFormat="1" applyFont="1"/>
    <x:xf numFmtId="0" fontId="13" fillId="0" borderId="0" xfId="0" applyFont="1"/>
    <x:xf numFmtId="1" fontId="14" fillId="0" borderId="0" xfId="0" applyNumberFormat="1" applyFont="1"/>
    <x:xf numFmtId="14" fontId="9" fillId="0" borderId="0" xfId="0" applyNumberFormat="1" applyFont="1" applyAlignment="1">
      <x:alignment wrapText="1"/>
    </x:xf>
    <x:xf numFmtId="49" fontId="17" fillId="0" borderId="0" xfId="0" applyNumberFormat="1" applyFont="1" applyProtection="1">
      <x:protection locked="0"/>
    </x:xf>
    <x:xf numFmtId="2" fontId="5" fillId="0" borderId="0" xfId="0" applyNumberFormat="1" applyFont="1" applyAlignment="1">
      <x:alignment vertical="center"/>
    </x:xf>
    <x:xf numFmtId="2" fontId="5" fillId="0" borderId="0" xfId="0" applyNumberFormat="1" applyFont="1"/>
    <x:xf numFmtId="2" fontId="9" fillId="0" borderId="0" xfId="0" applyNumberFormat="1" applyFont="1"/>
    <x:xf numFmtId="2" fontId="7" fillId="0" borderId="0" xfId="0" applyNumberFormat="1" applyFont="1"/>
    <x:xf numFmtId="2" fontId="7" fillId="0" borderId="0" xfId="0" applyNumberFormat="1" applyFont="1" applyAlignment="1">
      <x:alignment vertical="center"/>
    </x:xf>
    <x:xf numFmtId="2" fontId="9" fillId="0" borderId="0" xfId="0" applyNumberFormat="1" applyFont="1" applyAlignment="1">
      <x:alignment horizontal="center"/>
    </x:xf>
    <x:xf numFmtId="0" fontId="5" fillId="0" borderId="0" xfId="0" applyFont="1" applyAlignment="1">
      <x:alignment horizontal="center" vertical="center"/>
    </x:xf>
    <x:xf numFmtId="0" fontId="7" fillId="0" borderId="0" xfId="0" applyFont="1" applyAlignment="1">
      <x:alignment horizontal="center" vertical="center"/>
    </x:xf>
    <x:xf numFmtId="2" fontId="5" fillId="0" borderId="0" xfId="0" applyNumberFormat="1" applyFont="1" applyAlignment="1">
      <x:alignment horizontal="center" vertical="center"/>
    </x:xf>
    <x:xf numFmtId="2" fontId="7" fillId="0" borderId="0" xfId="0" applyNumberFormat="1" applyFont="1" applyAlignment="1">
      <x:alignment horizontal="center"/>
    </x:xf>
    <x:xf numFmtId="2" fontId="7" fillId="0" borderId="0" xfId="0" applyNumberFormat="1" applyFont="1" applyAlignment="1">
      <x:alignment horizontal="center" vertical="center"/>
    </x:xf>
    <x:xf numFmtId="9" fontId="7" fillId="0" borderId="0" xfId="0" applyNumberFormat="1" applyFont="1" applyAlignment="1" applyProtection="1">
      <x:alignment horizontal="center"/>
      <x:protection locked="0"/>
    </x:xf>
    <x:xf numFmtId="3" fontId="10" fillId="0" borderId="0" xfId="0" applyNumberFormat="1" applyFont="1" applyAlignment="1">
      <x:alignment horizontal="center"/>
    </x:xf>
    <x:xf numFmtId="0" fontId="8" fillId="0" borderId="0" xfId="0" applyFont="1" applyAlignment="1">
      <x:alignment horizontal="center"/>
    </x:xf>
    <x:xf numFmtId="1" fontId="7" fillId="0" borderId="0" xfId="0" applyNumberFormat="1" applyFont="1" applyAlignment="1">
      <x:alignment horizontal="center" vertical="center"/>
    </x:xf>
    <x:xf numFmtId="1" fontId="7" fillId="0" borderId="2" xfId="0" applyNumberFormat="1" applyFont="1" applyBorder="1" applyAlignment="1">
      <x:alignment horizontal="center"/>
    </x:xf>
    <x:xf numFmtId="44" fontId="7" fillId="0" borderId="2" xfId="0" applyNumberFormat="1" applyFont="1" applyBorder="1" applyAlignment="1">
      <x:alignment horizontal="center"/>
    </x:xf>
    <x:xf numFmtId="1" fontId="12" fillId="0" borderId="0" xfId="0" applyNumberFormat="1" applyFont="1" applyAlignment="1">
      <x:alignment horizontal="left"/>
    </x:xf>
    <x:xf numFmtId="1" fontId="7" fillId="0" borderId="0" xfId="0" applyNumberFormat="1" applyFont="1" applyAlignment="1">
      <x:alignment vertical="center"/>
    </x:xf>
    <x:xf numFmtId="1" fontId="10" fillId="2" borderId="2" xfId="0" applyNumberFormat="1" applyFont="1" applyFill="1" applyBorder="1" applyAlignment="1">
      <x:alignment vertical="center"/>
    </x:xf>
    <x:xf numFmtId="0" fontId="10" fillId="2" borderId="1" xfId="0" applyFont="1" applyFill="1" applyBorder="1" applyAlignment="1">
      <x:alignment horizontal="center" vertical="center"/>
    </x:xf>
    <x:xf numFmtId="2" fontId="10" fillId="2" borderId="2" xfId="0" applyNumberFormat="1" applyFont="1" applyFill="1" applyBorder="1" applyAlignment="1">
      <x:alignment horizontal="center" vertical="center"/>
    </x:xf>
    <x:xf numFmtId="1" fontId="10" fillId="2" borderId="2" xfId="0" applyNumberFormat="1" applyFont="1" applyFill="1" applyBorder="1" applyAlignment="1">
      <x:alignment horizontal="left" vertical="center" indent="2"/>
    </x:xf>
    <x:xf numFmtId="1" fontId="10" fillId="2" borderId="2" xfId="0" applyNumberFormat="1" applyFont="1" applyFill="1" applyBorder="1" applyAlignment="1">
      <x:alignment horizontal="center" vertical="center"/>
    </x:xf>
    <x:xf numFmtId="0" fontId="10" fillId="2" borderId="2" xfId="0" applyFont="1" applyFill="1" applyBorder="1" applyAlignment="1">
      <x:alignment horizontal="center" vertical="center"/>
    </x:xf>
    <x:xf numFmtId="1" fontId="7" fillId="0" borderId="0" xfId="0" applyNumberFormat="1" applyFont="1" applyAlignment="1">
      <x:alignment horizontal="center"/>
    </x:xf>
    <x:xf numFmtId="44" fontId="7" fillId="0" borderId="0" xfId="3" applyFont="1" applyFill="1" applyAlignment="1" applyProtection="1">
      <x:alignment horizontal="center"/>
    </x:xf>
    <x:xf numFmtId="44" fontId="9" fillId="0" borderId="0" xfId="0" applyNumberFormat="1" applyFont="1"/>
    <x:xf numFmtId="1" fontId="10" fillId="2" borderId="2" xfId="0" applyNumberFormat="1" applyFont="1" applyFill="1" applyBorder="1" applyAlignment="1">
      <x:alignment horizontal="center"/>
    </x:xf>
    <x:xf numFmtId="1" fontId="7" fillId="0" borderId="0" xfId="0" applyNumberFormat="1" applyFont="1" applyAlignment="1">
      <x:alignment horizontal="left" vertical="center"/>
    </x:xf>
    <x:xf numFmtId="0" fontId="16" fillId="2" borderId="2" xfId="0" applyFont="1" applyFill="1" applyBorder="1" applyAlignment="1">
      <x:alignment horizontal="center" vertical="center"/>
    </x:xf>
    <x:xf numFmtId="1" fontId="11" fillId="0" borderId="0" xfId="0" applyNumberFormat="1" applyFont="1" applyAlignment="1">
      <x:alignment horizontal="center"/>
    </x:xf>
    <x:xf numFmtId="1" fontId="7" fillId="0" borderId="0" xfId="0" applyNumberFormat="1" applyFont="1" applyAlignment="1" applyProtection="1">
      <x:alignment horizontal="center"/>
      <x:protection locked="0"/>
    </x:xf>
    <x:xf numFmtId="1" fontId="10" fillId="0" borderId="0" xfId="0" applyNumberFormat="1" applyFont="1" applyAlignment="1">
      <x:alignment horizontal="left"/>
    </x:xf>
    <x:xf numFmtId="1" fontId="7" fillId="0" borderId="0" xfId="0" applyNumberFormat="1" applyFont="1" applyAlignment="1" applyProtection="1">
      <x:alignment horizontal="left"/>
      <x:protection locked="0"/>
    </x:xf>
    <x:xf numFmtId="0" fontId="7" fillId="0" borderId="2" xfId="2" applyFont="1" applyBorder="1" applyAlignment="1">
      <x:alignment horizontal="center"/>
    </x:xf>
    <x:xf numFmtId="0" fontId="19" fillId="0" borderId="2" xfId="0" applyFont="1" applyBorder="1" applyAlignment="1">
      <x:alignment horizontal="center"/>
    </x:xf>
    <x:xf numFmtId="2" fontId="9" fillId="0" borderId="0" xfId="0" applyNumberFormat="1" applyFont="1" applyAlignment="1">
      <x:alignment horizontal="center" wrapText="1"/>
    </x:xf>
    <x:xf numFmtId="2" fontId="5" fillId="0" borderId="0" xfId="0" applyNumberFormat="1" applyFont="1" applyAlignment="1">
      <x:alignment horizontal="center"/>
    </x:xf>
    <x:xf numFmtId="2" fontId="11" fillId="0" borderId="0" xfId="0" applyNumberFormat="1" applyFont="1" applyAlignment="1">
      <x:alignment horizontal="center"/>
    </x:xf>
    <x:xf numFmtId="0" fontId="13" fillId="0" borderId="0" xfId="0" applyFont="1" applyAlignment="1">
      <x:alignment horizontal="center"/>
    </x:xf>
    <x:xf numFmtId="0" fontId="10" fillId="0" borderId="0" xfId="0" applyFont="1" applyAlignment="1">
      <x:alignment horizontal="center"/>
    </x:xf>
    <x:xf numFmtId="0" fontId="10" fillId="0" borderId="0" xfId="0" applyFont="1" applyAlignment="1">
      <x:alignment horizontal="center" vertical="center"/>
    </x:xf>
    <x:xf numFmtId="49" fontId="10" fillId="0" borderId="0" xfId="0" applyNumberFormat="1" applyFont="1" applyAlignment="1">
      <x:alignment horizontal="center"/>
    </x:xf>
    <x:xf numFmtId="3" fontId="7" fillId="0" borderId="0" xfId="0" applyNumberFormat="1" applyFont="1"/>
    <x:xf numFmtId="1" fontId="10" fillId="0" borderId="0" xfId="0" applyNumberFormat="1" applyFont="1" applyAlignment="1">
      <x:alignment horizontal="center" vertical="center"/>
    </x:xf>
    <x:xf numFmtId="0" fontId="16" fillId="0" borderId="0" xfId="0" applyFont="1" applyAlignment="1">
      <x:alignment horizontal="center"/>
    </x:xf>
    <x:xf numFmtId="49" fontId="16" fillId="2" borderId="2" xfId="0" applyNumberFormat="1" applyFont="1" applyFill="1" applyBorder="1" applyAlignment="1">
      <x:alignment horizontal="center" vertical="center"/>
    </x:xf>
    <x:xf numFmtId="0" fontId="0" fillId="0" borderId="2" xfId="0" applyBorder="1"/>
    <x:xf numFmtId="2" fontId="0" fillId="0" borderId="2" xfId="3" applyNumberFormat="1" applyFont="1" applyFill="1" applyBorder="1" applyAlignment="1">
      <x:alignment horizontal="center"/>
    </x:xf>
    <x:xf numFmtId="0" fontId="9" fillId="0" borderId="2" xfId="0" applyFont="1" applyBorder="1"/>
    <x:xf numFmtId="2" fontId="9" fillId="0" borderId="2" xfId="3" applyNumberFormat="1" applyFont="1" applyFill="1" applyBorder="1" applyAlignment="1">
      <x:alignment horizontal="center"/>
    </x:xf>
    <x:xf numFmtId="1" fontId="7" fillId="0" borderId="2" xfId="0" applyNumberFormat="1" applyFont="1" applyBorder="1" applyAlignment="1">
      <x:alignment horizontal="center" vertical="center"/>
    </x:xf>
    <x:xf numFmtId="0" fontId="19" fillId="2" borderId="2" xfId="0" applyFont="1" applyFill="1" applyBorder="1" applyAlignment="1">
      <x:alignment horizontal="center"/>
    </x:xf>
    <x:xf numFmtId="0" fontId="21" fillId="2" borderId="2" xfId="0" applyFont="1" applyFill="1" applyBorder="1" applyAlignment="1" applyProtection="1">
      <x:alignment horizontal="center" vertical="center"/>
      <x:protection locked="0"/>
    </x:xf>
    <x:xf numFmtId="9" fontId="22" fillId="2" borderId="2" xfId="0" applyNumberFormat="1" applyFont="1" applyFill="1" applyBorder="1" applyAlignment="1" applyProtection="1">
      <x:alignment horizontal="center" vertical="center"/>
      <x:protection locked="0"/>
    </x:xf>
    <x:xf numFmtId="49" fontId="7" fillId="0" borderId="0" xfId="0" applyNumberFormat="1" applyFont="1" applyAlignment="1">
      <x:alignment horizontal="left" vertical="center" indent="1"/>
    </x:xf>
    <x:xf numFmtId="0" fontId="23" fillId="2" borderId="2" xfId="0" applyFont="1" applyFill="1" applyBorder="1" applyAlignment="1">
      <x:alignment horizontal="center" vertical="center"/>
    </x:xf>
    <x:xf numFmtId="49" fontId="24" fillId="2" borderId="2" xfId="0" applyNumberFormat="1" applyFont="1" applyFill="1" applyBorder="1" applyAlignment="1">
      <x:alignment horizontal="center" vertical="center"/>
    </x:xf>
    <x:xf numFmtId="49" fontId="23" fillId="2" borderId="2" xfId="0" applyNumberFormat="1" applyFont="1" applyFill="1" applyBorder="1" applyAlignment="1">
      <x:alignment horizontal="center"/>
    </x:xf>
    <x:xf numFmtId="44" fontId="9" fillId="0" borderId="0" xfId="0" applyNumberFormat="1" applyFont="1" applyAlignment="1">
      <x:alignment horizontal="center"/>
    </x:xf>
    <x:xf numFmtId="0" fontId="9" fillId="2" borderId="0" xfId="0" applyFont="1" applyFill="1"/>
    <x:xf numFmtId="2" fontId="9" fillId="2" borderId="0" xfId="0" applyNumberFormat="1" applyFont="1" applyFill="1" applyAlignment="1">
      <x:alignment horizontal="center"/>
    </x:xf>
    <x:xf numFmtId="2" fontId="9" fillId="2" borderId="0" xfId="0" applyNumberFormat="1" applyFont="1" applyFill="1"/>
    <x:xf numFmtId="2" fontId="10" fillId="0" borderId="0" xfId="0" applyNumberFormat="1" applyFont="1" applyAlignment="1">
      <x:alignment horizontal="center"/>
    </x:xf>
    <x:xf numFmtId="2" fontId="10" fillId="0" borderId="0" xfId="0" applyNumberFormat="1" applyFont="1" applyAlignment="1">
      <x:alignment vertical="center"/>
    </x:xf>
    <x:xf numFmtId="44" fontId="9" fillId="2" borderId="0" xfId="0" applyNumberFormat="1" applyFont="1" applyFill="1" applyAlignment="1">
      <x:alignment horizontal="center"/>
    </x:xf>
    <x:xf numFmtId="0" fontId="7" fillId="2" borderId="2" xfId="0" applyFont="1" applyFill="1" applyBorder="1" applyAlignment="1">
      <x:alignment horizontal="center"/>
    </x:xf>
    <x:xf numFmtId="1" fontId="6" fillId="2" borderId="2" xfId="0" applyNumberFormat="1" applyFont="1" applyFill="1" applyBorder="1" applyAlignment="1">
      <x:alignment horizontal="center"/>
    </x:xf>
    <x:xf numFmtId="0" fontId="9" fillId="0" borderId="2" xfId="0" applyFont="1" applyBorder="1" applyAlignment="1">
      <x:alignment horizontal="right"/>
    </x:xf>
    <x:xf numFmtId="0" fontId="9" fillId="0" borderId="2" xfId="0" applyFont="1" applyBorder="1" applyAlignment="1">
      <x:alignment horizontal="center"/>
    </x:xf>
    <x:xf numFmtId="44" fontId="9" fillId="0" borderId="2" xfId="0" applyNumberFormat="1" applyFont="1" applyBorder="1" applyAlignment="1">
      <x:alignment horizontal="center"/>
    </x:xf>
    <x:xf numFmtId="0" fontId="9" fillId="2" borderId="2" xfId="0" applyFont="1" applyFill="1" applyBorder="1"/>
    <x:xf numFmtId="0" fontId="9" fillId="2" borderId="2" xfId="0" applyFont="1" applyFill="1" applyBorder="1" applyAlignment="1">
      <x:alignment horizontal="right"/>
    </x:xf>
    <x:xf numFmtId="1" fontId="7" fillId="0" borderId="0" xfId="0" applyNumberFormat="1" applyFont="1" applyProtection="1">
      <x:protection locked="0"/>
    </x:xf>
    <x:xf numFmtId="0" fontId="9" fillId="2" borderId="2" xfId="0" applyFont="1" applyFill="1" applyBorder="1" applyAlignment="1">
      <x:alignment horizontal="center"/>
    </x:xf>
    <x:xf numFmtId="164" fontId="9" fillId="0" borderId="0" xfId="0" applyNumberFormat="1" applyFont="1" applyAlignment="1">
      <x:alignment horizontal="center" vertical="center" wrapText="1"/>
    </x:xf>
    <x:xf numFmtId="0" fontId="15" fillId="0" borderId="0" xfId="0" applyFont="1" applyProtection="1">
      <x:protection locked="0"/>
    </x:xf>
    <x:xf numFmtId="44" fontId="10" fillId="0" borderId="0" xfId="0" applyNumberFormat="1" applyFont="1" applyAlignment="1">
      <x:alignment horizontal="center" vertical="center"/>
    </x:xf>
    <x:xf numFmtId="49" fontId="23" fillId="2" borderId="2" xfId="0" applyNumberFormat="1" applyFont="1" applyFill="1" applyBorder="1" applyAlignment="1" applyProtection="1">
      <x:alignment horizontal="center"/>
      <x:protection locked="0"/>
    </x:xf>
    <x:xf numFmtId="49" fontId="23" fillId="2" borderId="2" xfId="0" applyNumberFormat="1" applyFont="1" applyFill="1" applyBorder="1" applyProtection="1">
      <x:protection locked="0"/>
    </x:xf>
    <x:xf numFmtId="49" fontId="23" fillId="2" borderId="1" xfId="0" applyNumberFormat="1" applyFont="1" applyFill="1" applyBorder="1" applyProtection="1">
      <x:protection locked="0"/>
    </x:xf>
    <x:xf numFmtId="0" fontId="25" fillId="0" borderId="0" xfId="6"/>
    <x:xf numFmtId="1" fontId="10" fillId="2" borderId="2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49" fontId="23" fillId="2" borderId="2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49" fontId="23" fillId="2" borderId="2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0" hidden="0"/>
    </x:xf>
    <x:xf numFmtId="49" fontId="23" fillId="2" borderId="2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0" hidden="0"/>
    </x:xf>
    <x:xf numFmtId="49" fontId="23" fillId="2" borderId="1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0" hidden="0"/>
    </x:xf>
    <x:xf numFmtId="0" fontId="16" fillId="2" borderId="2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23" fillId="2" borderId="2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49" fontId="16" fillId="2" borderId="2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49" fontId="24" fillId="2" borderId="2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21" fillId="2" borderId="2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0" hidden="0"/>
    </x:xf>
    <x:xf numFmtId="9" fontId="22" fillId="2" borderId="2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0" hidden="0"/>
    </x:xf>
    <x:xf numFmtId="1" fontId="10" fillId="2" borderId="2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1" fontId="6" fillId="2" borderId="2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49" fontId="23" fillId="2" borderId="3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0" hidden="0"/>
    </x:xf>
    <x:xf numFmtId="49" fontId="23" fillId="2" borderId="1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0" hidden="0"/>
    </x:xf>
    <x:xf numFmtId="0" fontId="9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2" fontId="9" fillId="2" borderId="0" xfId="0" applyNumberFormat="1" applyFill="0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2" fontId="9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44" fontId="9" fillId="2" borderId="0" xfId="0" applyNumberFormat="1" applyFill="0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0" fillId="2" borderId="2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1" fontId="10" fillId="2" borderId="2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1" fontId="10" fillId="2" borderId="2" xfId="0" applyNumberFormat="1" applyFill="0" applyBorder="1" applyAlignment="1" applyProtection="1">
      <x:alignment horizontal="left" vertical="center" textRotation="0" wrapText="0" indent="2" relativeIndent="0" justifyLastLine="0" shrinkToFit="0" readingOrder="0"/>
      <x:protection locked="1" hidden="0"/>
    </x:xf>
    <x:xf numFmtId="2" fontId="10" fillId="2" borderId="2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10" fillId="2" borderId="1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19" fillId="2" borderId="2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7" fillId="2" borderId="2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9" fillId="2" borderId="2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9" fillId="2" borderId="2" xfId="0" applyNumberFormat="1" applyFill="0" applyBorder="1" applyAlignment="1" applyProtection="1">
      <x:alignment horizontal="right" vertical="bottom" textRotation="0" wrapText="0" indent="0" relativeIndent="0" justifyLastLine="0" shrinkToFit="0" readingOrder="0"/>
      <x:protection locked="1" hidden="0"/>
    </x:xf>
    <x:xf numFmtId="0" fontId="9" fillId="2" borderId="2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</x:cellXfs>
  <x:cellStyles count="7">
    <x:cellStyle name="Currency" xfId="3" builtinId="4"/>
    <x:cellStyle name="Euro" xfId="1" xr:uid="{00000000-0005-0000-0000-000000000000}"/>
    <x:cellStyle name="Hyperlink" xfId="6" builtinId="8"/>
    <x:cellStyle name="Normal" xfId="0" builtinId="0"/>
    <x:cellStyle name="Standard 2" xfId="2" xr:uid="{00000000-0005-0000-0000-000003000000}"/>
    <x:cellStyle name="Standard 3" xfId="4" xr:uid="{00000000-0005-0000-0000-000004000000}"/>
    <x:cellStyle name="Währung 2" xfId="5" xr:uid="{00000000-0005-0000-0000-000006000000}"/>
  </x:cellStyles>
  <x:tableStyles count="0" defaultTableStyle="TableStyleMedium9" defaultPivotStyle="PivotStyleLight16"/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../printerSettings/printerSettings1.bin" Id="rId2" /><Relationship Type="http://schemas.openxmlformats.org/officeDocument/2006/relationships/hyperlink" Target="mailto:test@test.com" TargetMode="External" Id="rId1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sheetPr filterMode="1">
    <x:outlinePr summaryBelow="1" summaryRight="1"/>
  </x:sheetPr>
  <x:dimension ref="A1:AD466"/>
  <x:sheetViews>
    <x:sheetView tabSelected="1" workbookViewId="0">
      <x:selection activeCell="D124" sqref="D124"/>
    </x:sheetView>
  </x:sheetViews>
  <x:sheetFormatPr defaultColWidth="12.139196" defaultRowHeight="13.8" outlineLevelCol="1" x14ac:dyDescent="0.3"/>
  <x:cols>
    <x:col min="1" max="1" width="9.886719" style="10" customWidth="1"/>
    <x:col min="2" max="2" width="31.554688" style="55" customWidth="1" outlineLevel="1"/>
    <x:col min="3" max="3" width="18.886719" style="12" customWidth="1" outlineLevel="1"/>
    <x:col min="4" max="4" width="10.554688" style="12" customWidth="1" outlineLevel="1"/>
    <x:col min="5" max="12" width="4.886719" style="8" customWidth="1" outlineLevel="1"/>
    <x:col min="13" max="14" width="4.886719" style="8" customWidth="1"/>
    <x:col min="15" max="18" width="4.886719" style="11" customWidth="1"/>
    <x:col min="19" max="19" width="9.554688" style="10" customWidth="1"/>
    <x:col min="20" max="20" width="7.554688" style="46" customWidth="1"/>
    <x:col min="21" max="21" width="8.441406" style="40" customWidth="1"/>
    <x:col min="22" max="22" width="14.886719" style="46" customWidth="1"/>
    <x:col min="23" max="23" width="13.554688" style="46" customWidth="1"/>
    <x:col min="24" max="24" width="12.109375" style="10" customWidth="1"/>
    <x:col min="25" max="25" width="15.441406" style="40" customWidth="1"/>
    <x:col min="26" max="26" width="14.441406" style="8" customWidth="1"/>
    <x:col min="27" max="27" width="9.109375" style="8" customWidth="1"/>
    <x:col min="28" max="28" width="10" style="8" customWidth="1"/>
    <x:col min="29" max="29" width="10.441406" style="8" customWidth="1"/>
    <x:col min="30" max="30" width="10.109375" style="8" customWidth="1"/>
    <x:col min="31" max="31" width="12.109375" style="0" customWidth="1"/>
  </x:cols>
  <x:sheetData>
    <x:row r="1" spans="1:31" ht="20.25" customHeight="1" s="15" customFormat="1" x14ac:dyDescent="0.4">
      <x:c r="A1" s="54" t="s">
        <x:v>0</x:v>
      </x:c>
      <x:c r="B1" s="17"/>
      <x:c r="C1" s="18"/>
      <x:c r="D1" s="18"/>
      <x:c r="G1" s="19"/>
      <x:c r="H1" s="20"/>
      <x:c r="I1" s="20"/>
      <x:c r="J1" s="20"/>
      <x:c r="K1" s="20"/>
      <x:c r="L1" s="20"/>
      <x:c r="O1" s="35"/>
      <x:c r="P1" s="35"/>
      <x:c r="Q1" s="35"/>
      <x:c r="R1" s="35"/>
      <x:c r="S1" s="35"/>
      <x:c r="T1" s="74"/>
      <x:c r="U1" s="37"/>
      <x:c r="V1" s="45"/>
      <x:c r="W1" s="45"/>
      <x:c r="X1" s="43"/>
      <x:c r="Y1" s="37"/>
    </x:row>
    <x:row r="2" spans="1:31" ht="20.25" customHeight="1" s="6" customFormat="1" x14ac:dyDescent="0.3">
      <x:c r="A2" s="24"/>
      <x:c r="C2" s="14"/>
      <x:c r="D2" s="14"/>
      <x:c r="G2" s="13"/>
      <x:c r="H2" s="113"/>
      <x:c r="I2" s="113"/>
      <x:c r="J2" s="113"/>
      <x:c r="K2" s="113"/>
      <x:c r="L2" s="113"/>
      <x:c r="M2" s="9"/>
      <x:c r="N2" s="9"/>
      <x:c r="O2" s="21"/>
      <x:c r="P2" s="21"/>
      <x:c r="Q2" s="21"/>
      <x:c r="R2" s="21"/>
      <x:c r="S2" s="24"/>
      <x:c r="T2" s="75"/>
      <x:c r="U2" s="4"/>
      <x:c r="V2" s="4"/>
      <x:c r="W2" s="4"/>
      <x:c r="X2" s="24"/>
      <x:c r="Y2" s="38"/>
    </x:row>
    <x:row r="3" spans="1:31" ht="19.35" customHeight="1" s="7" customFormat="1" x14ac:dyDescent="0.3">
      <x:c r="A3" s="68" t="s">
        <x:v>1</x:v>
      </x:c>
      <x:c r="B3" s="26"/>
      <x:c r="C3" s="50"/>
      <x:c r="D3" s="23"/>
      <x:c r="E3" s="36"/>
      <x:c r="G3" s="27"/>
      <x:c r="H3" s="30"/>
      <x:c r="I3" s="30"/>
      <x:c r="J3" s="30"/>
      <x:c r="K3" s="30"/>
      <x:c r="L3" s="30"/>
      <x:c r="M3" s="28"/>
      <x:c r="N3" s="28"/>
      <x:c r="S3" s="25"/>
      <x:c r="T3" s="76"/>
      <x:c r="U3" s="4"/>
      <x:c r="V3" s="4"/>
      <x:c r="W3" s="4"/>
      <x:c r="X3" s="25"/>
      <x:c r="Y3" s="39"/>
    </x:row>
    <x:row r="4" spans="1:31" ht="19.35" customHeight="1" x14ac:dyDescent="0.3">
      <x:c r="A4" s="62" t="s">
        <x:v>2</x:v>
      </x:c>
      <x:c r="B4" s="111" t="s">
        <x:v>3</x:v>
      </x:c>
      <x:c r="C4" s="10"/>
      <x:c r="D4" s="10" t="s">
        <x:v>4</x:v>
      </x:c>
      <x:c r="E4" s="8" t="s">
        <x:v>5</x:v>
      </x:c>
      <x:c r="O4" s="8"/>
      <x:c r="P4" s="8"/>
      <x:c r="Q4" s="8"/>
      <x:c r="R4" s="8"/>
    </x:row>
    <x:row r="5" spans="1:31" ht="19.35" customHeight="1" x14ac:dyDescent="0.3">
      <x:c r="A5" s="62" t="s">
        <x:v>6</x:v>
      </x:c>
      <x:c r="B5" s="111" t="s">
        <x:v>7</x:v>
      </x:c>
      <x:c r="C5" s="10"/>
      <x:c r="D5" s="10" t="s">
        <x:v>8</x:v>
      </x:c>
      <x:c r="E5" s="119" t="s">
        <x:v>9</x:v>
      </x:c>
      <x:c r="O5" s="8"/>
      <x:c r="P5" s="8"/>
      <x:c r="Q5" s="8"/>
      <x:c r="R5" s="8"/>
    </x:row>
    <x:row r="6" spans="1:31" ht="19.35" customHeight="1" x14ac:dyDescent="0.3">
      <x:c r="A6" s="62" t="s">
        <x:v>10</x:v>
      </x:c>
      <x:c r="B6" s="111" t="s">
        <x:v>11</x:v>
      </x:c>
      <x:c r="C6" s="10"/>
      <x:c r="D6" s="31" t="s">
        <x:v>12</x:v>
      </x:c>
      <x:c r="E6" s="114"/>
      <x:c r="O6" s="8"/>
      <x:c r="P6" s="8"/>
      <x:c r="Q6" s="8"/>
      <x:c r="R6" s="8"/>
      <x:c r="V6" s="63"/>
      <x:c r="W6" s="63"/>
    </x:row>
    <x:row r="7" spans="1:31" ht="19.35" customHeight="1" x14ac:dyDescent="0.3">
      <x:c r="A7" s="62"/>
      <x:c r="B7" s="30"/>
      <x:c r="C7" s="8"/>
      <x:c r="D7" s="33" t="s">
        <x:v>13</x:v>
      </x:c>
      <x:c r="E7" s="23"/>
      <x:c r="F7" s="5"/>
      <x:c r="O7" s="8"/>
      <x:c r="P7" s="8"/>
      <x:c r="Q7" s="8"/>
      <x:c r="R7" s="8"/>
      <x:c r="S7" s="76" t="s">
        <x:v>14</x:v>
      </x:c>
      <x:c r="T7" s="3">
        <x:v>46170</x:v>
      </x:c>
      <x:c r="U7" s="3"/>
      <x:c r="V7" s="51"/>
      <x:c r="W7" s="62"/>
    </x:row>
    <x:row r="8" spans="1:31" ht="15.6" customHeight="1" s="5" customFormat="1" x14ac:dyDescent="0.3">
      <x:c r="A8" s="70" t="s">
        <x:v>15</x:v>
      </x:c>
      <x:c r="B8" s="32"/>
      <x:c r="C8" s="23"/>
      <x:c r="D8" s="82"/>
      <x:c r="E8" s="83"/>
      <x:c r="F8" s="83"/>
      <x:c r="G8" s="83"/>
      <x:c r="H8" s="83"/>
      <x:c r="I8" s="8"/>
      <x:c r="J8" s="8"/>
      <x:c r="K8" s="8"/>
      <x:c r="L8" s="8"/>
      <x:c r="M8" s="8"/>
      <x:c r="N8" s="8"/>
      <x:c r="O8" s="23"/>
      <x:c r="P8" s="23"/>
      <x:c r="Q8" s="23"/>
      <x:c r="R8" s="23"/>
      <x:c r="S8" s="23"/>
      <x:c r="T8" s="101"/>
      <x:c r="U8" s="102"/>
      <x:c r="V8" s="115"/>
      <x:c r="W8" s="115"/>
      <x:c r="X8" s="44"/>
      <x:c r="Y8" s="41"/>
    </x:row>
    <x:row r="9" spans="1:31" ht="15" customHeight="1" s="5" customFormat="1" x14ac:dyDescent="0.3">
      <x:c r="A9" s="71" t="s">
        <x:v>16</x:v>
      </x:c>
      <x:c r="B9" s="29"/>
      <x:c r="C9" s="23"/>
      <x:c r="D9" s="77"/>
      <x:c r="E9" s="78"/>
      <x:c r="F9" s="78"/>
      <x:c r="G9" s="79"/>
      <x:c r="H9" s="80"/>
      <x:c r="I9" s="78"/>
      <x:c r="J9" s="78"/>
      <x:c r="K9" s="8"/>
      <x:c r="L9" s="8"/>
      <x:c r="M9" s="8"/>
      <x:c r="N9" s="8"/>
      <x:c r="O9" s="81"/>
      <x:c r="P9" s="81"/>
      <x:c r="Q9" s="81"/>
      <x:c r="R9" s="81"/>
      <x:c r="S9" s="49"/>
      <x:c r="T9" s="46"/>
      <x:c r="U9" s="41"/>
      <x:c r="V9" s="47"/>
      <x:c r="W9" s="47"/>
      <x:c r="X9" s="44"/>
      <x:c r="Y9" s="41"/>
    </x:row>
    <x:row r="10" spans="1:31" ht="15.6" customHeight="1" s="5" customFormat="1" x14ac:dyDescent="0.3">
      <x:c r="A10" s="69"/>
      <x:c r="B10" s="29"/>
      <x:c r="C10" s="23"/>
      <x:c r="D10" s="120" t="s">
        <x:v>17</x:v>
      </x:c>
      <x:c r="E10" s="121" t="s">
        <x:v>18</x:v>
      </x:c>
      <x:c r="F10" s="121" t="s">
        <x:v>19</x:v>
      </x:c>
      <x:c r="G10" s="121" t="s">
        <x:v>20</x:v>
      </x:c>
      <x:c r="H10" s="121" t="s">
        <x:v>21</x:v>
      </x:c>
      <x:c r="I10" s="121" t="s">
        <x:v>22</x:v>
      </x:c>
      <x:c r="J10" s="121" t="s">
        <x:v>23</x:v>
      </x:c>
      <x:c r="K10" s="121" t="s">
        <x:v>24</x:v>
      </x:c>
      <x:c r="L10" s="121" t="s">
        <x:v>25</x:v>
      </x:c>
      <x:c r="M10" s="122" t="s">
        <x:v>26</x:v>
      </x:c>
      <x:c r="N10" s="122"/>
      <x:c r="O10" s="122"/>
      <x:c r="P10" s="122"/>
      <x:c r="Q10" s="123"/>
      <x:c r="R10" s="124"/>
      <x:c r="S10" s="48"/>
      <x:c r="T10" s="46"/>
      <x:c r="U10" s="41"/>
      <x:c r="V10" s="51"/>
      <x:c r="W10" s="51"/>
      <x:c r="X10" s="44"/>
      <x:c r="Y10" s="41"/>
      <x:c r="Z10" s="41">
        <x:f>V11/100*V12</x:f>
      </x:c>
    </x:row>
    <x:row r="11" spans="1:31" ht="16.35" customHeight="1" s="7" customFormat="1" x14ac:dyDescent="0.3">
      <x:c r="A11" s="25"/>
      <x:c r="B11" s="34"/>
      <x:c r="C11" s="29"/>
      <x:c r="D11" s="125" t="s">
        <x:v>27</x:v>
      </x:c>
      <x:c r="E11" s="126" t="s">
        <x:v>28</x:v>
      </x:c>
      <x:c r="F11" s="125">
        <x:v>48</x:v>
      </x:c>
      <x:c r="G11" s="125">
        <x:v>50</x:v>
      </x:c>
      <x:c r="H11" s="127">
        <x:v>52</x:v>
      </x:c>
      <x:c r="I11" s="125">
        <x:v>54</x:v>
      </x:c>
      <x:c r="J11" s="125">
        <x:v>56</x:v>
      </x:c>
      <x:c r="K11" s="128" t="s">
        <x:v>29</x:v>
      </x:c>
      <x:c r="L11" s="128" t="s">
        <x:v>30</x:v>
      </x:c>
      <x:c r="M11" s="128" t="s">
        <x:v>31</x:v>
      </x:c>
      <x:c r="N11" s="129"/>
      <x:c r="O11" s="130"/>
      <x:c r="P11" s="130"/>
      <x:c r="Q11" s="130"/>
      <x:c r="R11" s="130"/>
      <x:c r="T11" s="42" t="s">
        <x:v>32</x:v>
      </x:c>
      <x:c r="U11" s="39"/>
      <x:c r="V11" s="97">
        <x:f>SUM(V18:V459)</x:f>
      </x:c>
      <x:c r="W11" s="39"/>
      <x:c r="Z11" s="64">
        <x:f>V11-Z10</x:f>
      </x:c>
    </x:row>
    <x:row r="12" spans="1:31" ht="16.5" customHeight="1" s="7" customFormat="1" x14ac:dyDescent="0.3">
      <x:c r="A12" s="25"/>
      <x:c r="B12" s="34"/>
      <x:c r="C12" s="29"/>
      <x:c r="D12" s="131" t="s">
        <x:v>33</x:v>
      </x:c>
      <x:c r="E12" s="125" t="s">
        <x:v>34</x:v>
      </x:c>
      <x:c r="F12" s="125" t="s">
        <x:v>35</x:v>
      </x:c>
      <x:c r="G12" s="125" t="s">
        <x:v>36</x:v>
      </x:c>
      <x:c r="H12" s="125" t="s">
        <x:v>37</x:v>
      </x:c>
      <x:c r="I12" s="125" t="s">
        <x:v>38</x:v>
      </x:c>
      <x:c r="J12" s="125" t="s">
        <x:v>39</x:v>
      </x:c>
      <x:c r="K12" s="125" t="s">
        <x:v>40</x:v>
      </x:c>
      <x:c r="L12" s="125" t="s">
        <x:v>41</x:v>
      </x:c>
      <x:c r="M12" s="125" t="s">
        <x:v>42</x:v>
      </x:c>
      <x:c r="N12" s="125" t="s">
        <x:v>43</x:v>
      </x:c>
      <x:c r="O12" s="125"/>
      <x:c r="P12" s="125"/>
      <x:c r="Q12" s="125"/>
      <x:c r="R12" s="125"/>
      <x:c r="T12" s="42" t="s">
        <x:v>44</x:v>
      </x:c>
      <x:c r="U12" s="39"/>
      <x:c r="V12" s="25">
        <x:v>8</x:v>
      </x:c>
      <x:c r="W12" s="39"/>
    </x:row>
    <x:row r="13" spans="1:31" ht="16.5" customHeight="1" s="7" customFormat="1" x14ac:dyDescent="0.3">
      <x:c r="A13" s="25"/>
      <x:c r="B13" s="34"/>
      <x:c r="C13" s="29"/>
      <x:c r="D13" s="132" t="s">
        <x:v>45</x:v>
      </x:c>
      <x:c r="E13" s="125" t="s">
        <x:v>46</x:v>
      </x:c>
      <x:c r="F13" s="125" t="s">
        <x:v>47</x:v>
      </x:c>
      <x:c r="G13" s="125" t="s">
        <x:v>48</x:v>
      </x:c>
      <x:c r="H13" s="125" t="s">
        <x:v>49</x:v>
      </x:c>
      <x:c r="I13" s="125" t="s">
        <x:v>50</x:v>
      </x:c>
      <x:c r="J13" s="125"/>
      <x:c r="K13" s="133" t="s">
        <x:v>51</x:v>
      </x:c>
      <x:c r="L13" s="134"/>
      <x:c r="M13" s="133" t="s">
        <x:v>52</x:v>
      </x:c>
      <x:c r="N13" s="134"/>
      <x:c r="O13" s="133" t="s">
        <x:v>53</x:v>
      </x:c>
      <x:c r="P13" s="134"/>
      <x:c r="Q13" s="133" t="s">
        <x:v>54</x:v>
      </x:c>
      <x:c r="R13" s="134"/>
      <x:c r="S13" s="135"/>
      <x:c r="T13" s="136" t="s">
        <x:v>55</x:v>
      </x:c>
      <x:c r="U13" s="137"/>
      <x:c r="V13" s="138">
        <x:f>ROUNDUP(Z11,1)</x:f>
      </x:c>
      <x:c r="W13" s="39"/>
    </x:row>
    <x:row r="14" spans="1:31" ht="18" customHeight="1" s="5" customFormat="1" x14ac:dyDescent="0.3">
      <x:c r="A14" s="44"/>
      <x:c r="B14" s="55"/>
      <x:c r="C14" s="22"/>
      <x:c r="D14" s="131" t="s">
        <x:v>56</x:v>
      </x:c>
      <x:c r="E14" s="125">
        <x:v>20</x:v>
      </x:c>
      <x:c r="F14" s="125">
        <x:v>21</x:v>
      </x:c>
      <x:c r="G14" s="125">
        <x:v>22</x:v>
      </x:c>
      <x:c r="H14" s="125">
        <x:v>23</x:v>
      </x:c>
      <x:c r="I14" s="125">
        <x:v>24</x:v>
      </x:c>
      <x:c r="J14" s="125">
        <x:v>25</x:v>
      </x:c>
      <x:c r="K14" s="125">
        <x:v>26</x:v>
      </x:c>
      <x:c r="L14" s="125">
        <x:v>27</x:v>
      </x:c>
      <x:c r="M14" s="125">
        <x:v>28</x:v>
      </x:c>
      <x:c r="N14" s="125">
        <x:v>29</x:v>
      </x:c>
      <x:c r="O14" s="125">
        <x:v>30</x:v>
      </x:c>
      <x:c r="P14" s="125">
        <x:v>31</x:v>
      </x:c>
      <x:c r="Q14" s="125"/>
      <x:c r="R14" s="125"/>
      <x:c r="S14" s="16"/>
      <x:c r="T14" s="47"/>
      <x:c r="U14" s="41"/>
      <x:c r="V14" s="44"/>
      <x:c r="W14" s="41"/>
    </x:row>
    <x:row r="15" spans="1:31" ht="18" customHeight="1" s="5" customFormat="1" x14ac:dyDescent="0.25">
      <x:c r="A15" s="44"/>
      <x:c r="B15" s="55"/>
      <x:c r="C15" s="66"/>
      <x:c r="D15" s="120" t="s">
        <x:v>57</x:v>
      </x:c>
      <x:c r="E15" s="125">
        <x:v>32</x:v>
      </x:c>
      <x:c r="F15" s="125">
        <x:v>33</x:v>
      </x:c>
      <x:c r="G15" s="125">
        <x:v>34</x:v>
      </x:c>
      <x:c r="H15" s="125">
        <x:v>35</x:v>
      </x:c>
      <x:c r="I15" s="125">
        <x:v>36</x:v>
      </x:c>
      <x:c r="J15" s="125">
        <x:v>37</x:v>
      </x:c>
      <x:c r="K15" s="125">
        <x:v>38</x:v>
      </x:c>
      <x:c r="L15" s="125">
        <x:v>39</x:v>
      </x:c>
      <x:c r="M15" s="125">
        <x:v>40</x:v>
      </x:c>
      <x:c r="N15" s="125">
        <x:v>41</x:v>
      </x:c>
      <x:c r="O15" s="125">
        <x:v>42</x:v>
      </x:c>
      <x:c r="P15" s="125"/>
      <x:c r="Q15" s="125"/>
      <x:c r="R15" s="125"/>
      <x:c r="S15" s="16"/>
      <x:c r="T15" s="47" t="s">
        <x:v>58</x:v>
      </x:c>
      <x:c r="U15" s="41"/>
      <x:c r="V15" s="51">
        <x:f>SUM(S18:S459)</x:f>
      </x:c>
      <x:c r="W15" s="41"/>
    </x:row>
    <x:row r="16" spans="1:31" ht="18" customHeight="1" s="5" customFormat="1" x14ac:dyDescent="0.25">
      <x:c r="A16" s="44"/>
      <x:c r="B16" s="55"/>
      <x:c r="C16" s="66"/>
      <x:c r="D16" s="120" t="s">
        <x:v>59</x:v>
      </x:c>
      <x:c r="E16" s="125">
        <x:v>62</x:v>
      </x:c>
      <x:c r="F16" s="125">
        <x:v>68</x:v>
      </x:c>
      <x:c r="G16" s="125">
        <x:v>74</x:v>
      </x:c>
      <x:c r="H16" s="125">
        <x:v>80</x:v>
      </x:c>
      <x:c r="I16" s="125">
        <x:v>86</x:v>
      </x:c>
      <x:c r="J16" s="125">
        <x:v>92</x:v>
      </x:c>
      <x:c r="K16" s="125">
        <x:v>98</x:v>
      </x:c>
      <x:c r="L16" s="125">
        <x:v>104</x:v>
      </x:c>
      <x:c r="M16" s="125">
        <x:v>110</x:v>
      </x:c>
      <x:c r="N16" s="125">
        <x:v>116</x:v>
      </x:c>
      <x:c r="O16" s="125"/>
      <x:c r="P16" s="125"/>
      <x:c r="Q16" s="125"/>
      <x:c r="R16" s="125"/>
      <x:c r="S16" s="16"/>
      <x:c r="T16" s="47"/>
      <x:c r="U16" s="41"/>
      <x:c r="V16" s="44"/>
      <x:c r="W16" s="41"/>
    </x:row>
    <x:row r="17" spans="1:31" ht="33" customHeight="1" s="5" customFormat="1" x14ac:dyDescent="0.25">
      <x:c r="A17" s="139" t="s">
        <x:v>60</x:v>
      </x:c>
      <x:c r="B17" s="140" t="s">
        <x:v>61</x:v>
      </x:c>
      <x:c r="C17" s="141" t="s">
        <x:v>62</x:v>
      </x:c>
      <x:c r="D17" s="120" t="s">
        <x:v>63</x:v>
      </x:c>
      <x:c r="E17" s="125">
        <x:v>92</x:v>
      </x:c>
      <x:c r="F17" s="125">
        <x:v>98</x:v>
      </x:c>
      <x:c r="G17" s="125">
        <x:v>104</x:v>
      </x:c>
      <x:c r="H17" s="125">
        <x:v>110</x:v>
      </x:c>
      <x:c r="I17" s="125">
        <x:v>116</x:v>
      </x:c>
      <x:c r="J17" s="125">
        <x:v>122</x:v>
      </x:c>
      <x:c r="K17" s="125">
        <x:v>128</x:v>
      </x:c>
      <x:c r="L17" s="125">
        <x:v>134</x:v>
      </x:c>
      <x:c r="M17" s="125">
        <x:v>140</x:v>
      </x:c>
      <x:c r="N17" s="125">
        <x:v>146</x:v>
      </x:c>
      <x:c r="O17" s="125">
        <x:v>152</x:v>
      </x:c>
      <x:c r="P17" s="125">
        <x:v>158</x:v>
      </x:c>
      <x:c r="Q17" s="125">
        <x:v>164</x:v>
      </x:c>
      <x:c r="R17" s="125">
        <x:v>176</x:v>
      </x:c>
      <x:c r="S17" s="139" t="s">
        <x:v>64</x:v>
      </x:c>
      <x:c r="T17" s="142" t="s">
        <x:v>65</x:v>
      </x:c>
      <x:c r="U17" s="142" t="s">
        <x:v>66</x:v>
      </x:c>
      <x:c r="V17" s="143" t="s">
        <x:v>67</x:v>
      </x:c>
      <x:c r="W17" s="47" t="s">
        <x:v>68</x:v>
      </x:c>
    </x:row>
    <x:row r="18" spans="1:31" ht="15" customHeight="1" hidden="1" x14ac:dyDescent="0.3">
      <x:c r="A18" s="85">
        <x:v>5437</x:v>
      </x:c>
      <x:c r="B18" s="85" t="s">
        <x:v>69</x:v>
      </x:c>
      <x:c r="C18" s="85" t="s">
        <x:v>70</x:v>
      </x:c>
      <x:c r="D18" s="73" t="s">
        <x:v>59</x:v>
      </x:c>
      <x:c r="E18" s="144"/>
      <x:c r="F18" s="144"/>
      <x:c r="G18" s="144"/>
      <x:c r="H18" s="73"/>
      <x:c r="I18" s="73"/>
      <x:c r="J18" s="144"/>
      <x:c r="K18" s="144"/>
      <x:c r="L18" s="144"/>
      <x:c r="M18" s="144"/>
      <x:c r="N18" s="144"/>
      <x:c r="O18" s="144"/>
      <x:c r="P18" s="144"/>
      <x:c r="Q18" s="144"/>
      <x:c r="R18" s="144"/>
      <x:c r="S18" s="52">
        <x:f>SUM(E18:R18)</x:f>
      </x:c>
      <x:c r="T18" s="86">
        <x:v>27.4</x:v>
      </x:c>
      <x:c r="U18" s="86">
        <x:v>59.9</x:v>
      </x:c>
      <x:c r="V18" s="53">
        <x:f>S18*T18</x:f>
      </x:c>
    </x:row>
    <x:row r="19" spans="1:31" ht="15" customHeight="1" hidden="1" x14ac:dyDescent="0.3">
      <x:c r="A19" s="85">
        <x:v>5437</x:v>
      </x:c>
      <x:c r="B19" s="85" t="s">
        <x:v>71</x:v>
      </x:c>
      <x:c r="C19" s="85" t="s">
        <x:v>70</x:v>
      </x:c>
      <x:c r="D19" s="73" t="s">
        <x:v>63</x:v>
      </x:c>
      <x:c r="E19" s="73"/>
      <x:c r="F19" s="73"/>
      <x:c r="G19" s="73"/>
      <x:c r="H19" s="73"/>
      <x:c r="I19" s="73"/>
      <x:c r="J19" s="73"/>
      <x:c r="K19" s="73"/>
      <x:c r="L19" s="73"/>
      <x:c r="M19" s="73"/>
      <x:c r="N19" s="144"/>
      <x:c r="O19" s="73"/>
      <x:c r="P19" s="144"/>
      <x:c r="Q19" s="73"/>
      <x:c r="R19" s="144"/>
      <x:c r="S19" s="52">
        <x:f>SUM(E19:R19)</x:f>
      </x:c>
      <x:c r="T19" s="86">
        <x:v>27.4</x:v>
      </x:c>
      <x:c r="U19" s="86">
        <x:v>59.9</x:v>
      </x:c>
      <x:c r="V19" s="53">
        <x:f>S19*T19</x:f>
      </x:c>
    </x:row>
    <x:row r="20" spans="1:31" ht="15" customHeight="1" hidden="1" x14ac:dyDescent="0.3">
      <x:c r="A20" s="85">
        <x:v>5437</x:v>
      </x:c>
      <x:c r="B20" s="85" t="s">
        <x:v>72</x:v>
      </x:c>
      <x:c r="C20" s="85" t="s">
        <x:v>73</x:v>
      </x:c>
      <x:c r="D20" s="73" t="s">
        <x:v>59</x:v>
      </x:c>
      <x:c r="E20" s="144"/>
      <x:c r="F20" s="144"/>
      <x:c r="G20" s="144"/>
      <x:c r="H20" s="73"/>
      <x:c r="I20" s="73"/>
      <x:c r="J20" s="144"/>
      <x:c r="K20" s="144"/>
      <x:c r="L20" s="144"/>
      <x:c r="M20" s="144"/>
      <x:c r="N20" s="144"/>
      <x:c r="O20" s="144"/>
      <x:c r="P20" s="144"/>
      <x:c r="Q20" s="144"/>
      <x:c r="R20" s="144"/>
      <x:c r="S20" s="52">
        <x:f>SUM(E20:R20)</x:f>
      </x:c>
      <x:c r="T20" s="86">
        <x:v>27.4</x:v>
      </x:c>
      <x:c r="U20" s="86">
        <x:v>59.9</x:v>
      </x:c>
      <x:c r="V20" s="53">
        <x:f>S20*T20</x:f>
      </x:c>
    </x:row>
    <x:row r="21" spans="1:31" ht="15" customHeight="1" hidden="1" x14ac:dyDescent="0.3">
      <x:c r="A21" s="85">
        <x:v>5437</x:v>
      </x:c>
      <x:c r="B21" s="85" t="s">
        <x:v>74</x:v>
      </x:c>
      <x:c r="C21" s="85" t="s">
        <x:v>73</x:v>
      </x:c>
      <x:c r="D21" s="73" t="s">
        <x:v>63</x:v>
      </x:c>
      <x:c r="E21" s="73"/>
      <x:c r="F21" s="73"/>
      <x:c r="G21" s="73"/>
      <x:c r="H21" s="73"/>
      <x:c r="I21" s="73"/>
      <x:c r="J21" s="73"/>
      <x:c r="K21" s="73"/>
      <x:c r="L21" s="73"/>
      <x:c r="M21" s="73"/>
      <x:c r="N21" s="144"/>
      <x:c r="O21" s="73"/>
      <x:c r="P21" s="144"/>
      <x:c r="Q21" s="73"/>
      <x:c r="R21" s="144"/>
      <x:c r="S21" s="52">
        <x:f>SUM(E21:R21)</x:f>
      </x:c>
      <x:c r="T21" s="86">
        <x:v>27.4</x:v>
      </x:c>
      <x:c r="U21" s="86">
        <x:v>59.9</x:v>
      </x:c>
      <x:c r="V21" s="53">
        <x:f>S21*T21</x:f>
      </x:c>
    </x:row>
    <x:row r="22" spans="1:31" ht="15" customHeight="1" hidden="1" x14ac:dyDescent="0.3">
      <x:c r="A22" s="85">
        <x:v>5438</x:v>
      </x:c>
      <x:c r="B22" s="85" t="s">
        <x:v>75</x:v>
      </x:c>
      <x:c r="C22" s="85" t="s">
        <x:v>70</x:v>
      </x:c>
      <x:c r="D22" s="73" t="s">
        <x:v>59</x:v>
      </x:c>
      <x:c r="E22" s="144"/>
      <x:c r="F22" s="144"/>
      <x:c r="G22" s="144"/>
      <x:c r="H22" s="73"/>
      <x:c r="I22" s="73"/>
      <x:c r="J22" s="144"/>
      <x:c r="K22" s="144"/>
      <x:c r="L22" s="144"/>
      <x:c r="M22" s="144"/>
      <x:c r="N22" s="144"/>
      <x:c r="O22" s="144"/>
      <x:c r="P22" s="144"/>
      <x:c r="Q22" s="144"/>
      <x:c r="R22" s="144"/>
      <x:c r="S22" s="52">
        <x:f>SUM(E22:R22)</x:f>
      </x:c>
      <x:c r="T22" s="86">
        <x:v>20.9</x:v>
      </x:c>
      <x:c r="U22" s="86">
        <x:v>45.9</x:v>
      </x:c>
      <x:c r="V22" s="53">
        <x:f>S22*T22</x:f>
      </x:c>
    </x:row>
    <x:row r="23" spans="1:31" ht="15" customHeight="1" hidden="1" x14ac:dyDescent="0.3">
      <x:c r="A23" s="85">
        <x:v>5438</x:v>
      </x:c>
      <x:c r="B23" s="85" t="s">
        <x:v>76</x:v>
      </x:c>
      <x:c r="C23" s="85" t="s">
        <x:v>70</x:v>
      </x:c>
      <x:c r="D23" s="73" t="s">
        <x:v>63</x:v>
      </x:c>
      <x:c r="E23" s="73"/>
      <x:c r="F23" s="73"/>
      <x:c r="G23" s="73"/>
      <x:c r="H23" s="73"/>
      <x:c r="I23" s="73"/>
      <x:c r="J23" s="73"/>
      <x:c r="K23" s="73"/>
      <x:c r="L23" s="73"/>
      <x:c r="M23" s="73"/>
      <x:c r="N23" s="144"/>
      <x:c r="O23" s="73"/>
      <x:c r="P23" s="144"/>
      <x:c r="Q23" s="73"/>
      <x:c r="R23" s="144"/>
      <x:c r="S23" s="52">
        <x:f>SUM(E23:R23)</x:f>
      </x:c>
      <x:c r="T23" s="86">
        <x:v>20.9</x:v>
      </x:c>
      <x:c r="U23" s="86">
        <x:v>45.9</x:v>
      </x:c>
      <x:c r="V23" s="53">
        <x:f>S23*T23</x:f>
      </x:c>
    </x:row>
    <x:row r="24" spans="1:31" ht="15" customHeight="1" hidden="1" x14ac:dyDescent="0.3">
      <x:c r="A24" s="85">
        <x:v>5438</x:v>
      </x:c>
      <x:c r="B24" s="85" t="s">
        <x:v>77</x:v>
      </x:c>
      <x:c r="C24" s="85" t="s">
        <x:v>78</x:v>
      </x:c>
      <x:c r="D24" s="73" t="s">
        <x:v>59</x:v>
      </x:c>
      <x:c r="E24" s="144"/>
      <x:c r="F24" s="144"/>
      <x:c r="G24" s="144"/>
      <x:c r="H24" s="73"/>
      <x:c r="I24" s="73"/>
      <x:c r="J24" s="144"/>
      <x:c r="K24" s="144"/>
      <x:c r="L24" s="144"/>
      <x:c r="M24" s="144"/>
      <x:c r="N24" s="144"/>
      <x:c r="O24" s="144"/>
      <x:c r="P24" s="144"/>
      <x:c r="Q24" s="144"/>
      <x:c r="R24" s="144"/>
      <x:c r="S24" s="52">
        <x:f>SUM(E24:R24)</x:f>
      </x:c>
      <x:c r="T24" s="86">
        <x:v>20.9</x:v>
      </x:c>
      <x:c r="U24" s="86">
        <x:v>45.9</x:v>
      </x:c>
      <x:c r="V24" s="53">
        <x:f>S24*T24</x:f>
      </x:c>
    </x:row>
    <x:row r="25" spans="1:31" ht="15" customHeight="1" hidden="1" x14ac:dyDescent="0.3">
      <x:c r="A25" s="85">
        <x:v>5438</x:v>
      </x:c>
      <x:c r="B25" s="85" t="s">
        <x:v>79</x:v>
      </x:c>
      <x:c r="C25" s="85" t="s">
        <x:v>78</x:v>
      </x:c>
      <x:c r="D25" s="73" t="s">
        <x:v>63</x:v>
      </x:c>
      <x:c r="E25" s="73"/>
      <x:c r="F25" s="73"/>
      <x:c r="G25" s="73"/>
      <x:c r="H25" s="73"/>
      <x:c r="I25" s="73"/>
      <x:c r="J25" s="73"/>
      <x:c r="K25" s="73"/>
      <x:c r="L25" s="73"/>
      <x:c r="M25" s="73"/>
      <x:c r="N25" s="144"/>
      <x:c r="O25" s="73"/>
      <x:c r="P25" s="144"/>
      <x:c r="Q25" s="73"/>
      <x:c r="R25" s="144"/>
      <x:c r="S25" s="52">
        <x:f>SUM(E25:R25)</x:f>
      </x:c>
      <x:c r="T25" s="86">
        <x:v>20.9</x:v>
      </x:c>
      <x:c r="U25" s="86">
        <x:v>45.9</x:v>
      </x:c>
      <x:c r="V25" s="53">
        <x:f>S25*T25</x:f>
      </x:c>
    </x:row>
    <x:row r="26" spans="1:31" ht="15" customHeight="1" hidden="1" x14ac:dyDescent="0.3">
      <x:c r="A26" s="85">
        <x:v>5438</x:v>
      </x:c>
      <x:c r="B26" s="85" t="s">
        <x:v>80</x:v>
      </x:c>
      <x:c r="C26" s="85" t="s">
        <x:v>73</x:v>
      </x:c>
      <x:c r="D26" s="73" t="s">
        <x:v>59</x:v>
      </x:c>
      <x:c r="E26" s="144"/>
      <x:c r="F26" s="144"/>
      <x:c r="G26" s="144"/>
      <x:c r="H26" s="73"/>
      <x:c r="I26" s="73"/>
      <x:c r="J26" s="144"/>
      <x:c r="K26" s="144"/>
      <x:c r="L26" s="144"/>
      <x:c r="M26" s="144"/>
      <x:c r="N26" s="144"/>
      <x:c r="O26" s="144"/>
      <x:c r="P26" s="144"/>
      <x:c r="Q26" s="144"/>
      <x:c r="R26" s="144"/>
      <x:c r="S26" s="52">
        <x:f>SUM(E26:R26)</x:f>
      </x:c>
      <x:c r="T26" s="86">
        <x:v>20.9</x:v>
      </x:c>
      <x:c r="U26" s="86">
        <x:v>45.9</x:v>
      </x:c>
      <x:c r="V26" s="53">
        <x:f>S26*T26</x:f>
      </x:c>
    </x:row>
    <x:row r="27" spans="1:31" ht="15" customHeight="1" hidden="1" x14ac:dyDescent="0.3">
      <x:c r="A27" s="85">
        <x:v>5438</x:v>
      </x:c>
      <x:c r="B27" s="85" t="s">
        <x:v>81</x:v>
      </x:c>
      <x:c r="C27" s="85" t="s">
        <x:v>73</x:v>
      </x:c>
      <x:c r="D27" s="73" t="s">
        <x:v>63</x:v>
      </x:c>
      <x:c r="E27" s="73"/>
      <x:c r="F27" s="73"/>
      <x:c r="G27" s="73"/>
      <x:c r="H27" s="73"/>
      <x:c r="I27" s="73"/>
      <x:c r="J27" s="73"/>
      <x:c r="K27" s="73"/>
      <x:c r="L27" s="73"/>
      <x:c r="M27" s="73"/>
      <x:c r="N27" s="144"/>
      <x:c r="O27" s="73"/>
      <x:c r="P27" s="144"/>
      <x:c r="Q27" s="73"/>
      <x:c r="R27" s="144"/>
      <x:c r="S27" s="52">
        <x:f>SUM(E27:R27)</x:f>
      </x:c>
      <x:c r="T27" s="86">
        <x:v>20.9</x:v>
      </x:c>
      <x:c r="U27" s="86">
        <x:v>45.9</x:v>
      </x:c>
      <x:c r="V27" s="53">
        <x:f>S27*T27</x:f>
      </x:c>
    </x:row>
    <x:row r="28" spans="1:31" ht="15" customHeight="1" hidden="1" x14ac:dyDescent="0.3">
      <x:c r="A28" s="85">
        <x:v>5583</x:v>
      </x:c>
      <x:c r="B28" s="85" t="s">
        <x:v>82</x:v>
      </x:c>
      <x:c r="C28" s="85" t="s">
        <x:v>83</x:v>
      </x:c>
      <x:c r="D28" s="73" t="s">
        <x:v>63</x:v>
      </x:c>
      <x:c r="E28" s="73"/>
      <x:c r="F28" s="73"/>
      <x:c r="G28" s="73"/>
      <x:c r="H28" s="73"/>
      <x:c r="I28" s="73"/>
      <x:c r="J28" s="73"/>
      <x:c r="K28" s="73"/>
      <x:c r="L28" s="73"/>
      <x:c r="M28" s="73"/>
      <x:c r="N28" s="144"/>
      <x:c r="O28" s="73"/>
      <x:c r="P28" s="144"/>
      <x:c r="Q28" s="73"/>
      <x:c r="R28" s="144"/>
      <x:c r="S28" s="52">
        <x:f>SUM(E28:R28)</x:f>
      </x:c>
      <x:c r="T28" s="86">
        <x:v>13.6</x:v>
      </x:c>
      <x:c r="U28" s="86">
        <x:v>29.9</x:v>
      </x:c>
      <x:c r="V28" s="53">
        <x:f>S28*T28</x:f>
      </x:c>
    </x:row>
    <x:row r="29" spans="1:31" ht="15" customHeight="1" hidden="1" x14ac:dyDescent="0.3">
      <x:c r="A29" s="85">
        <x:v>5583</x:v>
      </x:c>
      <x:c r="B29" s="85" t="s">
        <x:v>84</x:v>
      </x:c>
      <x:c r="C29" s="85" t="s">
        <x:v>73</x:v>
      </x:c>
      <x:c r="D29" s="73" t="s">
        <x:v>63</x:v>
      </x:c>
      <x:c r="E29" s="73"/>
      <x:c r="F29" s="73"/>
      <x:c r="G29" s="73"/>
      <x:c r="H29" s="73"/>
      <x:c r="I29" s="73"/>
      <x:c r="J29" s="73"/>
      <x:c r="K29" s="73"/>
      <x:c r="L29" s="73"/>
      <x:c r="M29" s="73"/>
      <x:c r="N29" s="144"/>
      <x:c r="O29" s="73"/>
      <x:c r="P29" s="144"/>
      <x:c r="Q29" s="73"/>
      <x:c r="R29" s="144"/>
      <x:c r="S29" s="52">
        <x:f>SUM(E29:R29)</x:f>
      </x:c>
      <x:c r="T29" s="86">
        <x:v>13.6</x:v>
      </x:c>
      <x:c r="U29" s="86">
        <x:v>29.9</x:v>
      </x:c>
      <x:c r="V29" s="53">
        <x:f>S29*T29</x:f>
      </x:c>
    </x:row>
    <x:row r="30" spans="1:31" ht="15" customHeight="1" hidden="1" x14ac:dyDescent="0.3">
      <x:c r="A30" s="85">
        <x:v>5583</x:v>
      </x:c>
      <x:c r="B30" s="85" t="s">
        <x:v>85</x:v>
      </x:c>
      <x:c r="C30" s="85" t="s">
        <x:v>86</x:v>
      </x:c>
      <x:c r="D30" s="73" t="s">
        <x:v>63</x:v>
      </x:c>
      <x:c r="E30" s="73"/>
      <x:c r="F30" s="73"/>
      <x:c r="G30" s="73"/>
      <x:c r="H30" s="73"/>
      <x:c r="I30" s="73"/>
      <x:c r="J30" s="73"/>
      <x:c r="K30" s="73"/>
      <x:c r="L30" s="73"/>
      <x:c r="M30" s="73"/>
      <x:c r="N30" s="144"/>
      <x:c r="O30" s="73"/>
      <x:c r="P30" s="144"/>
      <x:c r="Q30" s="73"/>
      <x:c r="R30" s="144"/>
      <x:c r="S30" s="52">
        <x:f>SUM(E30:R30)</x:f>
      </x:c>
      <x:c r="T30" s="86">
        <x:v>13.6</x:v>
      </x:c>
      <x:c r="U30" s="86">
        <x:v>29.9</x:v>
      </x:c>
      <x:c r="V30" s="53">
        <x:f>S30*T30</x:f>
      </x:c>
    </x:row>
    <x:row r="31" spans="1:31" ht="15" customHeight="1" hidden="1" x14ac:dyDescent="0.3">
      <x:c r="A31" s="85">
        <x:v>5584</x:v>
      </x:c>
      <x:c r="B31" s="85" t="s">
        <x:v>87</x:v>
      </x:c>
      <x:c r="C31" s="85" t="s">
        <x:v>83</x:v>
      </x:c>
      <x:c r="D31" s="73" t="s">
        <x:v>63</x:v>
      </x:c>
      <x:c r="E31" s="73"/>
      <x:c r="F31" s="73"/>
      <x:c r="G31" s="73"/>
      <x:c r="H31" s="73"/>
      <x:c r="I31" s="73"/>
      <x:c r="J31" s="73"/>
      <x:c r="K31" s="73"/>
      <x:c r="L31" s="73"/>
      <x:c r="M31" s="73"/>
      <x:c r="N31" s="144"/>
      <x:c r="O31" s="73"/>
      <x:c r="P31" s="144"/>
      <x:c r="Q31" s="73"/>
      <x:c r="R31" s="144"/>
      <x:c r="S31" s="52">
        <x:f>SUM(E31:R31)</x:f>
      </x:c>
      <x:c r="T31" s="86">
        <x:v>13.6</x:v>
      </x:c>
      <x:c r="U31" s="86">
        <x:v>29.9</x:v>
      </x:c>
      <x:c r="V31" s="53">
        <x:f>S31*T31</x:f>
      </x:c>
    </x:row>
    <x:row r="32" spans="1:31" ht="15" customHeight="1" hidden="1" x14ac:dyDescent="0.3">
      <x:c r="A32" s="85">
        <x:v>5584</x:v>
      </x:c>
      <x:c r="B32" s="85" t="s">
        <x:v>88</x:v>
      </x:c>
      <x:c r="C32" s="85" t="s">
        <x:v>73</x:v>
      </x:c>
      <x:c r="D32" s="73" t="s">
        <x:v>63</x:v>
      </x:c>
      <x:c r="E32" s="73"/>
      <x:c r="F32" s="73"/>
      <x:c r="G32" s="73"/>
      <x:c r="H32" s="73"/>
      <x:c r="I32" s="73"/>
      <x:c r="J32" s="73"/>
      <x:c r="K32" s="73"/>
      <x:c r="L32" s="73"/>
      <x:c r="M32" s="73"/>
      <x:c r="N32" s="144"/>
      <x:c r="O32" s="73"/>
      <x:c r="P32" s="144"/>
      <x:c r="Q32" s="73"/>
      <x:c r="R32" s="144"/>
      <x:c r="S32" s="52">
        <x:f>SUM(E32:R32)</x:f>
      </x:c>
      <x:c r="T32" s="86">
        <x:v>13.6</x:v>
      </x:c>
      <x:c r="U32" s="86">
        <x:v>29.9</x:v>
      </x:c>
      <x:c r="V32" s="53">
        <x:f>S32*T32</x:f>
      </x:c>
    </x:row>
    <x:row r="33" spans="1:31" ht="15" customHeight="1" hidden="1" x14ac:dyDescent="0.3">
      <x:c r="A33" s="85">
        <x:v>5586</x:v>
      </x:c>
      <x:c r="B33" s="85" t="s">
        <x:v>89</x:v>
      </x:c>
      <x:c r="C33" s="85" t="s">
        <x:v>73</x:v>
      </x:c>
      <x:c r="D33" s="73" t="s">
        <x:v>90</x:v>
      </x:c>
      <x:c r="E33" s="73"/>
      <x:c r="F33" s="73"/>
      <x:c r="G33" s="73"/>
      <x:c r="H33" s="73"/>
      <x:c r="I33" s="73"/>
      <x:c r="J33" s="73"/>
      <x:c r="K33" s="73"/>
      <x:c r="L33" s="73"/>
      <x:c r="M33" s="73"/>
      <x:c r="N33" s="144"/>
      <x:c r="O33" s="73"/>
      <x:c r="P33" s="144"/>
      <x:c r="Q33" s="73"/>
      <x:c r="R33" s="144"/>
      <x:c r="S33" s="52">
        <x:f>SUM(E33:R33)</x:f>
      </x:c>
      <x:c r="T33" s="86">
        <x:v>9.1</x:v>
      </x:c>
      <x:c r="U33" s="86">
        <x:v>19.9</x:v>
      </x:c>
      <x:c r="V33" s="53">
        <x:f>S33*T33</x:f>
      </x:c>
    </x:row>
    <x:row r="34" spans="1:31" ht="15" customHeight="1" hidden="1" x14ac:dyDescent="0.3">
      <x:c r="A34" s="85">
        <x:v>5586</x:v>
      </x:c>
      <x:c r="B34" s="85" t="s">
        <x:v>91</x:v>
      </x:c>
      <x:c r="C34" s="85" t="s">
        <x:v>86</x:v>
      </x:c>
      <x:c r="D34" s="73" t="s">
        <x:v>90</x:v>
      </x:c>
      <x:c r="E34" s="73"/>
      <x:c r="F34" s="73"/>
      <x:c r="G34" s="73"/>
      <x:c r="H34" s="73"/>
      <x:c r="I34" s="73"/>
      <x:c r="J34" s="73"/>
      <x:c r="K34" s="73"/>
      <x:c r="L34" s="73"/>
      <x:c r="M34" s="73"/>
      <x:c r="N34" s="144"/>
      <x:c r="O34" s="73"/>
      <x:c r="P34" s="144"/>
      <x:c r="Q34" s="73"/>
      <x:c r="R34" s="144"/>
      <x:c r="S34" s="52">
        <x:f>SUM(E34:R34)</x:f>
      </x:c>
      <x:c r="T34" s="86">
        <x:v>9.1</x:v>
      </x:c>
      <x:c r="U34" s="86">
        <x:v>19.9</x:v>
      </x:c>
      <x:c r="V34" s="53">
        <x:f>S34*T34</x:f>
      </x:c>
    </x:row>
    <x:row r="35" spans="1:31" ht="15" customHeight="1" hidden="1" x14ac:dyDescent="0.3">
      <x:c r="A35" s="85">
        <x:v>5587</x:v>
      </x:c>
      <x:c r="B35" s="85" t="s">
        <x:v>92</x:v>
      </x:c>
      <x:c r="C35" s="85" t="s">
        <x:v>83</x:v>
      </x:c>
      <x:c r="D35" s="73" t="s">
        <x:v>90</x:v>
      </x:c>
      <x:c r="E35" s="144"/>
      <x:c r="F35" s="73"/>
      <x:c r="G35" s="73"/>
      <x:c r="H35" s="73"/>
      <x:c r="I35" s="144"/>
      <x:c r="J35" s="144"/>
      <x:c r="K35" s="144"/>
      <x:c r="L35" s="144"/>
      <x:c r="M35" s="144"/>
      <x:c r="N35" s="144"/>
      <x:c r="O35" s="144"/>
      <x:c r="P35" s="144"/>
      <x:c r="Q35" s="144"/>
      <x:c r="R35" s="144"/>
      <x:c r="S35" s="52">
        <x:f>SUM(E35:R35)</x:f>
      </x:c>
      <x:c r="T35" s="86">
        <x:v>11.8</x:v>
      </x:c>
      <x:c r="U35" s="86">
        <x:v>25.9</x:v>
      </x:c>
      <x:c r="V35" s="53">
        <x:f>S35*T35</x:f>
      </x:c>
    </x:row>
    <x:row r="36" spans="1:31" ht="15" customHeight="1" hidden="1" x14ac:dyDescent="0.3">
      <x:c r="A36" s="85">
        <x:v>5587</x:v>
      </x:c>
      <x:c r="B36" s="85" t="s">
        <x:v>93</x:v>
      </x:c>
      <x:c r="C36" s="85" t="s">
        <x:v>73</x:v>
      </x:c>
      <x:c r="D36" s="73" t="s">
        <x:v>90</x:v>
      </x:c>
      <x:c r="E36" s="144"/>
      <x:c r="F36" s="73"/>
      <x:c r="G36" s="73"/>
      <x:c r="H36" s="73"/>
      <x:c r="I36" s="144"/>
      <x:c r="J36" s="144"/>
      <x:c r="K36" s="144"/>
      <x:c r="L36" s="144"/>
      <x:c r="M36" s="144"/>
      <x:c r="N36" s="144"/>
      <x:c r="O36" s="144"/>
      <x:c r="P36" s="144"/>
      <x:c r="Q36" s="144"/>
      <x:c r="R36" s="144"/>
      <x:c r="S36" s="52">
        <x:f>SUM(E36:R36)</x:f>
      </x:c>
      <x:c r="T36" s="86">
        <x:v>11.8</x:v>
      </x:c>
      <x:c r="U36" s="86">
        <x:v>25.9</x:v>
      </x:c>
      <x:c r="V36" s="53">
        <x:f>S36*T36</x:f>
      </x:c>
    </x:row>
    <x:row r="37" spans="1:31" ht="15" customHeight="1" hidden="1" x14ac:dyDescent="0.3">
      <x:c r="A37" s="85">
        <x:v>5587</x:v>
      </x:c>
      <x:c r="B37" s="85" t="s">
        <x:v>94</x:v>
      </x:c>
      <x:c r="C37" s="85" t="s">
        <x:v>86</x:v>
      </x:c>
      <x:c r="D37" s="73" t="s">
        <x:v>90</x:v>
      </x:c>
      <x:c r="E37" s="144"/>
      <x:c r="F37" s="73"/>
      <x:c r="G37" s="73"/>
      <x:c r="H37" s="73"/>
      <x:c r="I37" s="144"/>
      <x:c r="J37" s="144"/>
      <x:c r="K37" s="144"/>
      <x:c r="L37" s="144"/>
      <x:c r="M37" s="144"/>
      <x:c r="N37" s="144"/>
      <x:c r="O37" s="144"/>
      <x:c r="P37" s="144"/>
      <x:c r="Q37" s="144"/>
      <x:c r="R37" s="144"/>
      <x:c r="S37" s="52">
        <x:f>SUM(E37:R37)</x:f>
      </x:c>
      <x:c r="T37" s="86">
        <x:v>11.8</x:v>
      </x:c>
      <x:c r="U37" s="86">
        <x:v>25.9</x:v>
      </x:c>
      <x:c r="V37" s="53">
        <x:f>S37*T37</x:f>
      </x:c>
    </x:row>
    <x:row r="38" spans="1:31" ht="15" customHeight="1" hidden="1" x14ac:dyDescent="0.3">
      <x:c r="A38" s="85">
        <x:v>5817</x:v>
      </x:c>
      <x:c r="B38" s="85" t="s">
        <x:v>95</x:v>
      </x:c>
      <x:c r="C38" s="85" t="s">
        <x:v>70</x:v>
      </x:c>
      <x:c r="D38" s="73" t="s">
        <x:v>63</x:v>
      </x:c>
      <x:c r="E38" s="73"/>
      <x:c r="F38" s="73"/>
      <x:c r="G38" s="73"/>
      <x:c r="H38" s="73"/>
      <x:c r="I38" s="73"/>
      <x:c r="J38" s="73"/>
      <x:c r="K38" s="73"/>
      <x:c r="L38" s="73"/>
      <x:c r="M38" s="73"/>
      <x:c r="N38" s="144"/>
      <x:c r="O38" s="73"/>
      <x:c r="P38" s="144"/>
      <x:c r="Q38" s="73"/>
      <x:c r="R38" s="144"/>
      <x:c r="S38" s="52">
        <x:f>SUM(E38:R38)</x:f>
      </x:c>
      <x:c r="T38" s="86">
        <x:v>13.6</x:v>
      </x:c>
      <x:c r="U38" s="86">
        <x:v>29.9</x:v>
      </x:c>
      <x:c r="V38" s="53">
        <x:f>S38*T38</x:f>
      </x:c>
    </x:row>
    <x:row r="39" spans="1:31" ht="15" customHeight="1" hidden="1" x14ac:dyDescent="0.3">
      <x:c r="A39" s="85">
        <x:v>5817</x:v>
      </x:c>
      <x:c r="B39" s="85" t="s">
        <x:v>96</x:v>
      </x:c>
      <x:c r="C39" s="85" t="s">
        <x:v>97</x:v>
      </x:c>
      <x:c r="D39" s="73" t="s">
        <x:v>63</x:v>
      </x:c>
      <x:c r="E39" s="73"/>
      <x:c r="F39" s="73"/>
      <x:c r="G39" s="73"/>
      <x:c r="H39" s="73"/>
      <x:c r="I39" s="73"/>
      <x:c r="J39" s="73"/>
      <x:c r="K39" s="73"/>
      <x:c r="L39" s="73"/>
      <x:c r="M39" s="73"/>
      <x:c r="N39" s="144"/>
      <x:c r="O39" s="73"/>
      <x:c r="P39" s="144"/>
      <x:c r="Q39" s="73"/>
      <x:c r="R39" s="144"/>
      <x:c r="S39" s="52">
        <x:f>SUM(E39:R39)</x:f>
      </x:c>
      <x:c r="T39" s="86">
        <x:v>13.6</x:v>
      </x:c>
      <x:c r="U39" s="86">
        <x:v>29.9</x:v>
      </x:c>
      <x:c r="V39" s="53">
        <x:f>S39*T39</x:f>
      </x:c>
    </x:row>
    <x:row r="40" spans="1:31" ht="15" customHeight="1" hidden="1" x14ac:dyDescent="0.3">
      <x:c r="A40" s="85">
        <x:v>5817</x:v>
      </x:c>
      <x:c r="B40" s="85" t="s">
        <x:v>98</x:v>
      </x:c>
      <x:c r="C40" s="85" t="s">
        <x:v>99</x:v>
      </x:c>
      <x:c r="D40" s="73" t="s">
        <x:v>63</x:v>
      </x:c>
      <x:c r="E40" s="73"/>
      <x:c r="F40" s="73"/>
      <x:c r="G40" s="73"/>
      <x:c r="H40" s="73"/>
      <x:c r="I40" s="73"/>
      <x:c r="J40" s="73"/>
      <x:c r="K40" s="73"/>
      <x:c r="L40" s="73"/>
      <x:c r="M40" s="73"/>
      <x:c r="N40" s="144"/>
      <x:c r="O40" s="73"/>
      <x:c r="P40" s="144"/>
      <x:c r="Q40" s="73"/>
      <x:c r="R40" s="144"/>
      <x:c r="S40" s="52">
        <x:f>SUM(E40:R40)</x:f>
      </x:c>
      <x:c r="T40" s="86">
        <x:v>13.6</x:v>
      </x:c>
      <x:c r="U40" s="86">
        <x:v>29.9</x:v>
      </x:c>
      <x:c r="V40" s="53">
        <x:f>S40*T40</x:f>
      </x:c>
    </x:row>
    <x:row r="41" spans="1:31" ht="15" customHeight="1" hidden="1" x14ac:dyDescent="0.3">
      <x:c r="A41" s="85">
        <x:v>5817</x:v>
      </x:c>
      <x:c r="B41" s="85" t="s">
        <x:v>100</x:v>
      </x:c>
      <x:c r="C41" s="85" t="s">
        <x:v>101</x:v>
      </x:c>
      <x:c r="D41" s="73" t="s">
        <x:v>63</x:v>
      </x:c>
      <x:c r="E41" s="73"/>
      <x:c r="F41" s="73"/>
      <x:c r="G41" s="73"/>
      <x:c r="H41" s="73"/>
      <x:c r="I41" s="73"/>
      <x:c r="J41" s="73"/>
      <x:c r="K41" s="73"/>
      <x:c r="L41" s="73"/>
      <x:c r="M41" s="73"/>
      <x:c r="N41" s="144"/>
      <x:c r="O41" s="73"/>
      <x:c r="P41" s="144"/>
      <x:c r="Q41" s="73"/>
      <x:c r="R41" s="144"/>
      <x:c r="S41" s="52">
        <x:f>SUM(E41:R41)</x:f>
      </x:c>
      <x:c r="T41" s="86">
        <x:v>13.6</x:v>
      </x:c>
      <x:c r="U41" s="86">
        <x:v>29.9</x:v>
      </x:c>
      <x:c r="V41" s="53">
        <x:f>S41*T41</x:f>
      </x:c>
    </x:row>
    <x:row r="42" spans="1:31" ht="15" customHeight="1" hidden="1" x14ac:dyDescent="0.3">
      <x:c r="A42" s="85">
        <x:v>5853</x:v>
      </x:c>
      <x:c r="B42" s="85" t="s">
        <x:v>102</x:v>
      </x:c>
      <x:c r="C42" s="85" t="s">
        <x:v>101</x:v>
      </x:c>
      <x:c r="D42" s="73" t="s">
        <x:v>63</x:v>
      </x:c>
      <x:c r="E42" s="73"/>
      <x:c r="F42" s="73"/>
      <x:c r="G42" s="73"/>
      <x:c r="H42" s="73"/>
      <x:c r="I42" s="73"/>
      <x:c r="J42" s="73"/>
      <x:c r="K42" s="73"/>
      <x:c r="L42" s="73"/>
      <x:c r="M42" s="73"/>
      <x:c r="N42" s="144"/>
      <x:c r="O42" s="73"/>
      <x:c r="P42" s="144"/>
      <x:c r="Q42" s="73"/>
      <x:c r="R42" s="144"/>
      <x:c r="S42" s="52">
        <x:f>SUM(E42:R42)</x:f>
      </x:c>
      <x:c r="T42" s="86">
        <x:v>22.7</x:v>
      </x:c>
      <x:c r="U42" s="86">
        <x:v>49.9</x:v>
      </x:c>
      <x:c r="V42" s="53">
        <x:f>S42*T42</x:f>
      </x:c>
    </x:row>
    <x:row r="43" spans="1:31" ht="15" customHeight="1" hidden="1" x14ac:dyDescent="0.3">
      <x:c r="A43" s="85">
        <x:v>5968</x:v>
      </x:c>
      <x:c r="B43" s="85" t="s">
        <x:v>103</x:v>
      </x:c>
      <x:c r="C43" s="85" t="s">
        <x:v>104</x:v>
      </x:c>
      <x:c r="D43" s="73" t="s">
        <x:v>63</x:v>
      </x:c>
      <x:c r="E43" s="73"/>
      <x:c r="F43" s="144"/>
      <x:c r="G43" s="73"/>
      <x:c r="H43" s="144"/>
      <x:c r="I43" s="73"/>
      <x:c r="J43" s="144"/>
      <x:c r="K43" s="73"/>
      <x:c r="L43" s="144"/>
      <x:c r="M43" s="73"/>
      <x:c r="N43" s="144"/>
      <x:c r="O43" s="73"/>
      <x:c r="P43" s="144"/>
      <x:c r="Q43" s="73"/>
      <x:c r="R43" s="144"/>
      <x:c r="S43" s="52">
        <x:f>SUM(E43:R43)</x:f>
      </x:c>
      <x:c r="T43" s="86">
        <x:v>31.8</x:v>
      </x:c>
      <x:c r="U43" s="86">
        <x:v>69.9</x:v>
      </x:c>
      <x:c r="V43" s="53">
        <x:f>S43*T43</x:f>
      </x:c>
    </x:row>
    <x:row r="44" spans="1:31" ht="15" customHeight="1" hidden="1" x14ac:dyDescent="0.3">
      <x:c r="A44" s="85">
        <x:v>5968</x:v>
      </x:c>
      <x:c r="B44" s="85" t="s">
        <x:v>105</x:v>
      </x:c>
      <x:c r="C44" s="85" t="s">
        <x:v>106</x:v>
      </x:c>
      <x:c r="D44" s="73" t="s">
        <x:v>63</x:v>
      </x:c>
      <x:c r="E44" s="73"/>
      <x:c r="F44" s="144"/>
      <x:c r="G44" s="73"/>
      <x:c r="H44" s="144"/>
      <x:c r="I44" s="73"/>
      <x:c r="J44" s="144"/>
      <x:c r="K44" s="73"/>
      <x:c r="L44" s="144"/>
      <x:c r="M44" s="73"/>
      <x:c r="N44" s="144"/>
      <x:c r="O44" s="73"/>
      <x:c r="P44" s="144"/>
      <x:c r="Q44" s="73"/>
      <x:c r="R44" s="144"/>
      <x:c r="S44" s="52">
        <x:f>SUM(E44:R44)</x:f>
      </x:c>
      <x:c r="T44" s="86">
        <x:v>31.8</x:v>
      </x:c>
      <x:c r="U44" s="86">
        <x:v>69.9</x:v>
      </x:c>
      <x:c r="V44" s="53">
        <x:f>S44*T44</x:f>
      </x:c>
    </x:row>
    <x:row r="45" spans="1:31" ht="15" customHeight="1" hidden="1" x14ac:dyDescent="0.3">
      <x:c r="A45" s="85">
        <x:v>5968</x:v>
      </x:c>
      <x:c r="B45" s="85" t="s">
        <x:v>107</x:v>
      </x:c>
      <x:c r="C45" s="85" t="s">
        <x:v>97</x:v>
      </x:c>
      <x:c r="D45" s="73" t="s">
        <x:v>63</x:v>
      </x:c>
      <x:c r="E45" s="73"/>
      <x:c r="F45" s="144"/>
      <x:c r="G45" s="73"/>
      <x:c r="H45" s="144"/>
      <x:c r="I45" s="73"/>
      <x:c r="J45" s="144"/>
      <x:c r="K45" s="73"/>
      <x:c r="L45" s="144"/>
      <x:c r="M45" s="73"/>
      <x:c r="N45" s="144"/>
      <x:c r="O45" s="73"/>
      <x:c r="P45" s="144"/>
      <x:c r="Q45" s="73"/>
      <x:c r="R45" s="144"/>
      <x:c r="S45" s="52">
        <x:f>SUM(E45:R45)</x:f>
      </x:c>
      <x:c r="T45" s="86">
        <x:v>31.8</x:v>
      </x:c>
      <x:c r="U45" s="86">
        <x:v>69.9</x:v>
      </x:c>
      <x:c r="V45" s="53">
        <x:f>S45*T45</x:f>
      </x:c>
    </x:row>
    <x:row r="46" spans="1:31" ht="15" customHeight="1" hidden="1" x14ac:dyDescent="0.3">
      <x:c r="A46" s="85">
        <x:v>5968</x:v>
      </x:c>
      <x:c r="B46" s="85" t="s">
        <x:v>108</x:v>
      </x:c>
      <x:c r="C46" s="85" t="s">
        <x:v>109</x:v>
      </x:c>
      <x:c r="D46" s="73" t="s">
        <x:v>63</x:v>
      </x:c>
      <x:c r="E46" s="73"/>
      <x:c r="F46" s="144"/>
      <x:c r="G46" s="73"/>
      <x:c r="H46" s="144"/>
      <x:c r="I46" s="73"/>
      <x:c r="J46" s="144"/>
      <x:c r="K46" s="73"/>
      <x:c r="L46" s="144"/>
      <x:c r="M46" s="73"/>
      <x:c r="N46" s="144"/>
      <x:c r="O46" s="73"/>
      <x:c r="P46" s="144"/>
      <x:c r="Q46" s="73"/>
      <x:c r="R46" s="144"/>
      <x:c r="S46" s="52">
        <x:f>SUM(E46:R46)</x:f>
      </x:c>
      <x:c r="T46" s="86">
        <x:v>31.8</x:v>
      </x:c>
      <x:c r="U46" s="86">
        <x:v>69.9</x:v>
      </x:c>
      <x:c r="V46" s="53">
        <x:f>S46*T46</x:f>
      </x:c>
    </x:row>
    <x:row r="47" spans="1:31" ht="15" customHeight="1" hidden="1" x14ac:dyDescent="0.3">
      <x:c r="A47" s="85">
        <x:v>5968</x:v>
      </x:c>
      <x:c r="B47" s="85" t="s">
        <x:v>110</x:v>
      </x:c>
      <x:c r="C47" s="85" t="s">
        <x:v>101</x:v>
      </x:c>
      <x:c r="D47" s="73" t="s">
        <x:v>63</x:v>
      </x:c>
      <x:c r="E47" s="73"/>
      <x:c r="F47" s="144"/>
      <x:c r="G47" s="73"/>
      <x:c r="H47" s="144"/>
      <x:c r="I47" s="73"/>
      <x:c r="J47" s="144"/>
      <x:c r="K47" s="73"/>
      <x:c r="L47" s="144"/>
      <x:c r="M47" s="73"/>
      <x:c r="N47" s="144"/>
      <x:c r="O47" s="73"/>
      <x:c r="P47" s="144"/>
      <x:c r="Q47" s="73"/>
      <x:c r="R47" s="144"/>
      <x:c r="S47" s="52">
        <x:f>SUM(E47:R47)</x:f>
      </x:c>
      <x:c r="T47" s="86">
        <x:v>31.8</x:v>
      </x:c>
      <x:c r="U47" s="86">
        <x:v>69.9</x:v>
      </x:c>
      <x:c r="V47" s="53">
        <x:f>S47*T47</x:f>
      </x:c>
    </x:row>
    <x:row r="48" spans="1:31" ht="15" customHeight="1" hidden="1" x14ac:dyDescent="0.3">
      <x:c r="A48" s="85">
        <x:v>5969</x:v>
      </x:c>
      <x:c r="B48" s="85" t="s">
        <x:v>111</x:v>
      </x:c>
      <x:c r="C48" s="85" t="s">
        <x:v>112</x:v>
      </x:c>
      <x:c r="D48" s="73" t="s">
        <x:v>63</x:v>
      </x:c>
      <x:c r="E48" s="73"/>
      <x:c r="F48" s="144"/>
      <x:c r="G48" s="73"/>
      <x:c r="H48" s="144"/>
      <x:c r="I48" s="73"/>
      <x:c r="J48" s="144"/>
      <x:c r="K48" s="73"/>
      <x:c r="L48" s="144"/>
      <x:c r="M48" s="73"/>
      <x:c r="N48" s="144"/>
      <x:c r="O48" s="73"/>
      <x:c r="P48" s="144"/>
      <x:c r="Q48" s="73"/>
      <x:c r="R48" s="144"/>
      <x:c r="S48" s="52">
        <x:f>SUM(E48:R48)</x:f>
      </x:c>
      <x:c r="T48" s="86">
        <x:v>22.7</x:v>
      </x:c>
      <x:c r="U48" s="86">
        <x:v>49.9</x:v>
      </x:c>
      <x:c r="V48" s="53">
        <x:f>S48*T48</x:f>
      </x:c>
    </x:row>
    <x:row r="49" spans="1:31" ht="15" customHeight="1" hidden="1" x14ac:dyDescent="0.3">
      <x:c r="A49" s="85">
        <x:v>5969</x:v>
      </x:c>
      <x:c r="B49" s="85" t="s">
        <x:v>113</x:v>
      </x:c>
      <x:c r="C49" s="85" t="s">
        <x:v>97</x:v>
      </x:c>
      <x:c r="D49" s="73" t="s">
        <x:v>63</x:v>
      </x:c>
      <x:c r="E49" s="73"/>
      <x:c r="F49" s="144"/>
      <x:c r="G49" s="73"/>
      <x:c r="H49" s="144"/>
      <x:c r="I49" s="73"/>
      <x:c r="J49" s="144"/>
      <x:c r="K49" s="73"/>
      <x:c r="L49" s="144"/>
      <x:c r="M49" s="73"/>
      <x:c r="N49" s="144"/>
      <x:c r="O49" s="73"/>
      <x:c r="P49" s="144"/>
      <x:c r="Q49" s="73"/>
      <x:c r="R49" s="144"/>
      <x:c r="S49" s="52">
        <x:f>SUM(E49:R49)</x:f>
      </x:c>
      <x:c r="T49" s="86">
        <x:v>22.7</x:v>
      </x:c>
      <x:c r="U49" s="86">
        <x:v>49.9</x:v>
      </x:c>
      <x:c r="V49" s="53">
        <x:f>S49*T49</x:f>
      </x:c>
    </x:row>
    <x:row r="50" spans="1:31" ht="15" customHeight="1" hidden="1" x14ac:dyDescent="0.3">
      <x:c r="A50" s="85">
        <x:v>5969</x:v>
      </x:c>
      <x:c r="B50" s="85" t="s">
        <x:v>114</x:v>
      </x:c>
      <x:c r="C50" s="85" t="s">
        <x:v>101</x:v>
      </x:c>
      <x:c r="D50" s="73" t="s">
        <x:v>63</x:v>
      </x:c>
      <x:c r="E50" s="73"/>
      <x:c r="F50" s="144"/>
      <x:c r="G50" s="73"/>
      <x:c r="H50" s="144"/>
      <x:c r="I50" s="73"/>
      <x:c r="J50" s="144"/>
      <x:c r="K50" s="73"/>
      <x:c r="L50" s="144"/>
      <x:c r="M50" s="73"/>
      <x:c r="N50" s="144"/>
      <x:c r="O50" s="73"/>
      <x:c r="P50" s="144"/>
      <x:c r="Q50" s="73"/>
      <x:c r="R50" s="144"/>
      <x:c r="S50" s="52">
        <x:f>SUM(E50:R50)</x:f>
      </x:c>
      <x:c r="T50" s="86">
        <x:v>22.7</x:v>
      </x:c>
      <x:c r="U50" s="86">
        <x:v>49.9</x:v>
      </x:c>
      <x:c r="V50" s="53">
        <x:f>S50*T50</x:f>
      </x:c>
    </x:row>
    <x:row r="51" spans="1:31" ht="15" customHeight="1" hidden="1" x14ac:dyDescent="0.3">
      <x:c r="A51" s="85">
        <x:v>5970</x:v>
      </x:c>
      <x:c r="B51" s="85" t="s">
        <x:v>115</x:v>
      </x:c>
      <x:c r="C51" s="85" t="s">
        <x:v>97</x:v>
      </x:c>
      <x:c r="D51" s="73" t="s">
        <x:v>59</x:v>
      </x:c>
      <x:c r="E51" s="144"/>
      <x:c r="F51" s="144"/>
      <x:c r="G51" s="144"/>
      <x:c r="H51" s="73"/>
      <x:c r="I51" s="73"/>
      <x:c r="J51" s="144"/>
      <x:c r="K51" s="144"/>
      <x:c r="L51" s="144"/>
      <x:c r="M51" s="144"/>
      <x:c r="N51" s="144"/>
      <x:c r="O51" s="144"/>
      <x:c r="P51" s="144"/>
      <x:c r="Q51" s="144"/>
      <x:c r="R51" s="144"/>
      <x:c r="S51" s="52">
        <x:f>SUM(E51:R51)</x:f>
      </x:c>
      <x:c r="T51" s="86">
        <x:v>31.8</x:v>
      </x:c>
      <x:c r="U51" s="86">
        <x:v>69.9</x:v>
      </x:c>
      <x:c r="V51" s="53">
        <x:f>S51*T51</x:f>
      </x:c>
    </x:row>
    <x:row r="52" spans="1:31" ht="15" customHeight="1" hidden="1" x14ac:dyDescent="0.3">
      <x:c r="A52" s="85">
        <x:v>5970</x:v>
      </x:c>
      <x:c r="B52" s="85" t="s">
        <x:v>116</x:v>
      </x:c>
      <x:c r="C52" s="85" t="s">
        <x:v>97</x:v>
      </x:c>
      <x:c r="D52" s="73" t="s">
        <x:v>63</x:v>
      </x:c>
      <x:c r="E52" s="73"/>
      <x:c r="F52" s="73"/>
      <x:c r="G52" s="73"/>
      <x:c r="H52" s="73"/>
      <x:c r="I52" s="73"/>
      <x:c r="J52" s="73"/>
      <x:c r="K52" s="73"/>
      <x:c r="L52" s="73"/>
      <x:c r="M52" s="73"/>
      <x:c r="N52" s="145"/>
      <x:c r="O52" s="73"/>
      <x:c r="P52" s="145"/>
      <x:c r="Q52" s="73"/>
      <x:c r="R52" s="144"/>
      <x:c r="S52" s="52">
        <x:f>SUM(E52:R52)</x:f>
      </x:c>
      <x:c r="T52" s="86">
        <x:v>31.8</x:v>
      </x:c>
      <x:c r="U52" s="86">
        <x:v>69.9</x:v>
      </x:c>
      <x:c r="V52" s="53">
        <x:f>S52*T52</x:f>
      </x:c>
    </x:row>
    <x:row r="53" spans="1:31" ht="15" customHeight="1" hidden="1" x14ac:dyDescent="0.3">
      <x:c r="A53" s="85">
        <x:v>5970</x:v>
      </x:c>
      <x:c r="B53" s="85" t="s">
        <x:v>117</x:v>
      </x:c>
      <x:c r="C53" s="85" t="s">
        <x:v>101</x:v>
      </x:c>
      <x:c r="D53" s="73" t="s">
        <x:v>59</x:v>
      </x:c>
      <x:c r="E53" s="144"/>
      <x:c r="F53" s="144"/>
      <x:c r="G53" s="144"/>
      <x:c r="H53" s="73"/>
      <x:c r="I53" s="73"/>
      <x:c r="J53" s="144"/>
      <x:c r="K53" s="144"/>
      <x:c r="L53" s="144"/>
      <x:c r="M53" s="144"/>
      <x:c r="N53" s="145"/>
      <x:c r="O53" s="144"/>
      <x:c r="P53" s="145"/>
      <x:c r="Q53" s="144"/>
      <x:c r="R53" s="144"/>
      <x:c r="S53" s="52">
        <x:f>SUM(E53:R53)</x:f>
      </x:c>
      <x:c r="T53" s="86">
        <x:v>31.8</x:v>
      </x:c>
      <x:c r="U53" s="86">
        <x:v>69.9</x:v>
      </x:c>
      <x:c r="V53" s="53">
        <x:f>S53*T53</x:f>
      </x:c>
    </x:row>
    <x:row r="54" spans="1:31" ht="15" customHeight="1" hidden="1" x14ac:dyDescent="0.3">
      <x:c r="A54" s="85">
        <x:v>5970</x:v>
      </x:c>
      <x:c r="B54" s="85" t="s">
        <x:v>118</x:v>
      </x:c>
      <x:c r="C54" s="85" t="s">
        <x:v>101</x:v>
      </x:c>
      <x:c r="D54" s="73" t="s">
        <x:v>63</x:v>
      </x:c>
      <x:c r="E54" s="73"/>
      <x:c r="F54" s="73"/>
      <x:c r="G54" s="73"/>
      <x:c r="H54" s="73"/>
      <x:c r="I54" s="73"/>
      <x:c r="J54" s="73"/>
      <x:c r="K54" s="73"/>
      <x:c r="L54" s="73"/>
      <x:c r="M54" s="73"/>
      <x:c r="N54" s="145"/>
      <x:c r="O54" s="73"/>
      <x:c r="P54" s="145"/>
      <x:c r="Q54" s="73"/>
      <x:c r="R54" s="144"/>
      <x:c r="S54" s="52">
        <x:f>SUM(E54:R54)</x:f>
      </x:c>
      <x:c r="T54" s="86">
        <x:v>31.8</x:v>
      </x:c>
      <x:c r="U54" s="86">
        <x:v>69.9</x:v>
      </x:c>
      <x:c r="V54" s="53">
        <x:f>S54*T54</x:f>
      </x:c>
    </x:row>
    <x:row r="55" spans="1:31" ht="15" customHeight="1" hidden="1" x14ac:dyDescent="0.3">
      <x:c r="A55" s="85">
        <x:v>5971</x:v>
      </x:c>
      <x:c r="B55" s="85" t="s">
        <x:v>119</x:v>
      </x:c>
      <x:c r="C55" s="85" t="s">
        <x:v>70</x:v>
      </x:c>
      <x:c r="D55" s="73" t="s">
        <x:v>63</x:v>
      </x:c>
      <x:c r="E55" s="73"/>
      <x:c r="F55" s="73"/>
      <x:c r="G55" s="73"/>
      <x:c r="H55" s="73"/>
      <x:c r="I55" s="73"/>
      <x:c r="J55" s="73"/>
      <x:c r="K55" s="73"/>
      <x:c r="L55" s="73"/>
      <x:c r="M55" s="73"/>
      <x:c r="N55" s="144"/>
      <x:c r="O55" s="73"/>
      <x:c r="P55" s="144"/>
      <x:c r="Q55" s="73"/>
      <x:c r="R55" s="144"/>
      <x:c r="S55" s="52">
        <x:f>SUM(E55:R55)</x:f>
      </x:c>
      <x:c r="T55" s="86">
        <x:v>13.6</x:v>
      </x:c>
      <x:c r="U55" s="86">
        <x:v>29.9</x:v>
      </x:c>
      <x:c r="V55" s="53">
        <x:f>S55*T55</x:f>
      </x:c>
    </x:row>
    <x:row r="56" spans="1:31" ht="15" customHeight="1" hidden="1" x14ac:dyDescent="0.3">
      <x:c r="A56" s="85">
        <x:v>6118</x:v>
      </x:c>
      <x:c r="B56" s="85" t="s">
        <x:v>120</x:v>
      </x:c>
      <x:c r="C56" s="85" t="s">
        <x:v>83</x:v>
      </x:c>
      <x:c r="D56" s="73" t="s">
        <x:v>59</x:v>
      </x:c>
      <x:c r="E56" s="144"/>
      <x:c r="F56" s="144"/>
      <x:c r="G56" s="73"/>
      <x:c r="H56" s="73"/>
      <x:c r="I56" s="73"/>
      <x:c r="J56" s="73"/>
      <x:c r="K56" s="73"/>
      <x:c r="L56" s="73"/>
      <x:c r="M56" s="144"/>
      <x:c r="N56" s="144"/>
      <x:c r="O56" s="144"/>
      <x:c r="P56" s="144"/>
      <x:c r="Q56" s="144"/>
      <x:c r="R56" s="144"/>
      <x:c r="S56" s="52">
        <x:f>SUM(E56:R56)</x:f>
      </x:c>
      <x:c r="T56" s="86">
        <x:v>18.2</x:v>
      </x:c>
      <x:c r="U56" s="86">
        <x:v>39.9</x:v>
      </x:c>
      <x:c r="V56" s="53">
        <x:f>S56*T56</x:f>
      </x:c>
    </x:row>
    <x:row r="57" spans="1:31" ht="15" customHeight="1" hidden="1" x14ac:dyDescent="0.3">
      <x:c r="A57" s="85">
        <x:v>6118</x:v>
      </x:c>
      <x:c r="B57" s="85" t="s">
        <x:v>121</x:v>
      </x:c>
      <x:c r="C57" s="85" t="s">
        <x:v>86</x:v>
      </x:c>
      <x:c r="D57" s="73" t="s">
        <x:v>59</x:v>
      </x:c>
      <x:c r="E57" s="144"/>
      <x:c r="F57" s="144"/>
      <x:c r="G57" s="73"/>
      <x:c r="H57" s="73"/>
      <x:c r="I57" s="73"/>
      <x:c r="J57" s="73"/>
      <x:c r="K57" s="73"/>
      <x:c r="L57" s="73"/>
      <x:c r="M57" s="144"/>
      <x:c r="N57" s="144"/>
      <x:c r="O57" s="144"/>
      <x:c r="P57" s="144"/>
      <x:c r="Q57" s="144"/>
      <x:c r="R57" s="144"/>
      <x:c r="S57" s="52">
        <x:f>SUM(E57:R57)</x:f>
      </x:c>
      <x:c r="T57" s="86">
        <x:v>18.2</x:v>
      </x:c>
      <x:c r="U57" s="86">
        <x:v>39.9</x:v>
      </x:c>
      <x:c r="V57" s="53">
        <x:f>S57*T57</x:f>
      </x:c>
    </x:row>
    <x:row r="58" spans="1:31" ht="15" customHeight="1" hidden="1" x14ac:dyDescent="0.3">
      <x:c r="A58" s="85">
        <x:v>6119</x:v>
      </x:c>
      <x:c r="B58" s="85" t="s">
        <x:v>122</x:v>
      </x:c>
      <x:c r="C58" s="85" t="s">
        <x:v>83</x:v>
      </x:c>
      <x:c r="D58" s="73" t="s">
        <x:v>59</x:v>
      </x:c>
      <x:c r="E58" s="73"/>
      <x:c r="F58" s="73"/>
      <x:c r="G58" s="73"/>
      <x:c r="H58" s="73"/>
      <x:c r="I58" s="73"/>
      <x:c r="J58" s="73"/>
      <x:c r="K58" s="144"/>
      <x:c r="L58" s="144"/>
      <x:c r="M58" s="144"/>
      <x:c r="N58" s="144"/>
      <x:c r="O58" s="144"/>
      <x:c r="P58" s="144"/>
      <x:c r="Q58" s="144"/>
      <x:c r="R58" s="144"/>
      <x:c r="S58" s="52">
        <x:f>SUM(E58:R58)</x:f>
      </x:c>
      <x:c r="T58" s="86">
        <x:v>10.9</x:v>
      </x:c>
      <x:c r="U58" s="86">
        <x:v>23.9</x:v>
      </x:c>
      <x:c r="V58" s="53">
        <x:f>S58*T58</x:f>
      </x:c>
    </x:row>
    <x:row r="59" spans="1:31" ht="15" customHeight="1" hidden="1" x14ac:dyDescent="0.3">
      <x:c r="A59" s="85">
        <x:v>6120</x:v>
      </x:c>
      <x:c r="B59" s="85" t="s">
        <x:v>123</x:v>
      </x:c>
      <x:c r="C59" s="85" t="s">
        <x:v>86</x:v>
      </x:c>
      <x:c r="D59" s="73" t="s">
        <x:v>59</x:v>
      </x:c>
      <x:c r="E59" s="73"/>
      <x:c r="F59" s="73"/>
      <x:c r="G59" s="73"/>
      <x:c r="H59" s="73"/>
      <x:c r="I59" s="73"/>
      <x:c r="J59" s="73"/>
      <x:c r="K59" s="144"/>
      <x:c r="L59" s="144"/>
      <x:c r="M59" s="144"/>
      <x:c r="N59" s="144"/>
      <x:c r="O59" s="144"/>
      <x:c r="P59" s="144"/>
      <x:c r="Q59" s="144"/>
      <x:c r="R59" s="144"/>
      <x:c r="S59" s="52">
        <x:f>SUM(E59:R59)</x:f>
      </x:c>
      <x:c r="T59" s="86">
        <x:v>10.9</x:v>
      </x:c>
      <x:c r="U59" s="86">
        <x:v>23.9</x:v>
      </x:c>
      <x:c r="V59" s="53">
        <x:f>S59*T59</x:f>
      </x:c>
    </x:row>
    <x:row r="60" spans="1:31" ht="15" customHeight="1" hidden="1" x14ac:dyDescent="0.3">
      <x:c r="A60" s="85">
        <x:v>6141</x:v>
      </x:c>
      <x:c r="B60" s="85" t="s">
        <x:v>124</x:v>
      </x:c>
      <x:c r="C60" s="85" t="s">
        <x:v>83</x:v>
      </x:c>
      <x:c r="D60" s="73" t="s">
        <x:v>63</x:v>
      </x:c>
      <x:c r="E60" s="73"/>
      <x:c r="F60" s="73"/>
      <x:c r="G60" s="73"/>
      <x:c r="H60" s="73"/>
      <x:c r="I60" s="73"/>
      <x:c r="J60" s="73"/>
      <x:c r="K60" s="73"/>
      <x:c r="L60" s="73"/>
      <x:c r="M60" s="73"/>
      <x:c r="N60" s="144"/>
      <x:c r="O60" s="73"/>
      <x:c r="P60" s="144"/>
      <x:c r="Q60" s="73"/>
      <x:c r="R60" s="144"/>
      <x:c r="S60" s="52">
        <x:f>SUM(E60:R60)</x:f>
      </x:c>
      <x:c r="T60" s="86">
        <x:v>13.6</x:v>
      </x:c>
      <x:c r="U60" s="86">
        <x:v>29.9</x:v>
      </x:c>
      <x:c r="V60" s="53">
        <x:f>S60*T60</x:f>
      </x:c>
    </x:row>
    <x:row r="61" spans="1:31" ht="15" customHeight="1" hidden="1" x14ac:dyDescent="0.3">
      <x:c r="A61" s="85">
        <x:v>6141</x:v>
      </x:c>
      <x:c r="B61" s="85" t="s">
        <x:v>125</x:v>
      </x:c>
      <x:c r="C61" s="85" t="s">
        <x:v>73</x:v>
      </x:c>
      <x:c r="D61" s="73" t="s">
        <x:v>63</x:v>
      </x:c>
      <x:c r="E61" s="73"/>
      <x:c r="F61" s="73"/>
      <x:c r="G61" s="73"/>
      <x:c r="H61" s="73"/>
      <x:c r="I61" s="73"/>
      <x:c r="J61" s="73"/>
      <x:c r="K61" s="73"/>
      <x:c r="L61" s="73"/>
      <x:c r="M61" s="73"/>
      <x:c r="N61" s="144"/>
      <x:c r="O61" s="73"/>
      <x:c r="P61" s="144"/>
      <x:c r="Q61" s="73"/>
      <x:c r="R61" s="144"/>
      <x:c r="S61" s="52">
        <x:f>SUM(E61:R61)</x:f>
      </x:c>
      <x:c r="T61" s="86">
        <x:v>13.6</x:v>
      </x:c>
      <x:c r="U61" s="86">
        <x:v>29.9</x:v>
      </x:c>
      <x:c r="V61" s="53">
        <x:f>S61*T61</x:f>
      </x:c>
    </x:row>
    <x:row r="62" spans="1:31" ht="15" customHeight="1" hidden="1" x14ac:dyDescent="0.3">
      <x:c r="A62" s="85">
        <x:v>6141</x:v>
      </x:c>
      <x:c r="B62" s="85" t="s">
        <x:v>126</x:v>
      </x:c>
      <x:c r="C62" s="85" t="s">
        <x:v>86</x:v>
      </x:c>
      <x:c r="D62" s="73" t="s">
        <x:v>63</x:v>
      </x:c>
      <x:c r="E62" s="73"/>
      <x:c r="F62" s="73"/>
      <x:c r="G62" s="73"/>
      <x:c r="H62" s="73"/>
      <x:c r="I62" s="73"/>
      <x:c r="J62" s="73"/>
      <x:c r="K62" s="73"/>
      <x:c r="L62" s="73"/>
      <x:c r="M62" s="73"/>
      <x:c r="N62" s="144"/>
      <x:c r="O62" s="73"/>
      <x:c r="P62" s="144"/>
      <x:c r="Q62" s="73"/>
      <x:c r="R62" s="144"/>
      <x:c r="S62" s="52">
        <x:f>SUM(E62:R62)</x:f>
      </x:c>
      <x:c r="T62" s="86">
        <x:v>13.6</x:v>
      </x:c>
      <x:c r="U62" s="86">
        <x:v>29.9</x:v>
      </x:c>
      <x:c r="V62" s="53">
        <x:f>S62*T62</x:f>
      </x:c>
    </x:row>
    <x:row r="63" spans="1:31" ht="15" customHeight="1" hidden="1" x14ac:dyDescent="0.3">
      <x:c r="A63" s="85">
        <x:v>6145</x:v>
      </x:c>
      <x:c r="B63" s="85" t="s">
        <x:v>127</x:v>
      </x:c>
      <x:c r="C63" s="85" t="s">
        <x:v>83</x:v>
      </x:c>
      <x:c r="D63" s="73" t="s">
        <x:v>33</x:v>
      </x:c>
      <x:c r="E63" s="73"/>
      <x:c r="F63" s="73"/>
      <x:c r="G63" s="73"/>
      <x:c r="H63" s="73"/>
      <x:c r="I63" s="73"/>
      <x:c r="J63" s="73"/>
      <x:c r="K63" s="73"/>
      <x:c r="L63" s="73"/>
      <x:c r="M63" s="73"/>
      <x:c r="N63" s="73"/>
      <x:c r="O63" s="144"/>
      <x:c r="P63" s="144"/>
      <x:c r="Q63" s="144"/>
      <x:c r="R63" s="144"/>
      <x:c r="S63" s="52">
        <x:f>SUM(E63:R63)</x:f>
      </x:c>
      <x:c r="T63" s="86">
        <x:v>9.1</x:v>
      </x:c>
      <x:c r="U63" s="86">
        <x:v>19.9</x:v>
      </x:c>
      <x:c r="V63" s="53">
        <x:f>S63*T63</x:f>
      </x:c>
    </x:row>
    <x:row r="64" spans="1:31" ht="15" customHeight="1" hidden="1" x14ac:dyDescent="0.3">
      <x:c r="A64" s="85">
        <x:v>6145</x:v>
      </x:c>
      <x:c r="B64" s="85" t="s">
        <x:v>128</x:v>
      </x:c>
      <x:c r="C64" s="85" t="s">
        <x:v>73</x:v>
      </x:c>
      <x:c r="D64" s="73" t="s">
        <x:v>33</x:v>
      </x:c>
      <x:c r="E64" s="73"/>
      <x:c r="F64" s="73"/>
      <x:c r="G64" s="73"/>
      <x:c r="H64" s="73"/>
      <x:c r="I64" s="73"/>
      <x:c r="J64" s="73"/>
      <x:c r="K64" s="73"/>
      <x:c r="L64" s="73"/>
      <x:c r="M64" s="73"/>
      <x:c r="N64" s="73"/>
      <x:c r="O64" s="144"/>
      <x:c r="P64" s="144"/>
      <x:c r="Q64" s="144"/>
      <x:c r="R64" s="144"/>
      <x:c r="S64" s="52">
        <x:f>SUM(E64:R64)</x:f>
      </x:c>
      <x:c r="T64" s="86">
        <x:v>9.1</x:v>
      </x:c>
      <x:c r="U64" s="86">
        <x:v>19.9</x:v>
      </x:c>
      <x:c r="V64" s="53">
        <x:f>S64*T64</x:f>
      </x:c>
    </x:row>
    <x:row r="65" spans="1:31" ht="15" customHeight="1" hidden="1" x14ac:dyDescent="0.3">
      <x:c r="A65" s="85">
        <x:v>6147</x:v>
      </x:c>
      <x:c r="B65" s="85" t="s">
        <x:v>129</x:v>
      </x:c>
      <x:c r="C65" s="85" t="s">
        <x:v>73</x:v>
      </x:c>
      <x:c r="D65" s="73" t="s">
        <x:v>63</x:v>
      </x:c>
      <x:c r="E65" s="73"/>
      <x:c r="F65" s="73"/>
      <x:c r="G65" s="73"/>
      <x:c r="H65" s="73"/>
      <x:c r="I65" s="73"/>
      <x:c r="J65" s="73"/>
      <x:c r="K65" s="73"/>
      <x:c r="L65" s="73"/>
      <x:c r="M65" s="73"/>
      <x:c r="N65" s="144"/>
      <x:c r="O65" s="73"/>
      <x:c r="P65" s="144"/>
      <x:c r="Q65" s="73"/>
      <x:c r="R65" s="144"/>
      <x:c r="S65" s="52">
        <x:f>SUM(E65:R65)</x:f>
      </x:c>
      <x:c r="T65" s="86">
        <x:v>10.9</x:v>
      </x:c>
      <x:c r="U65" s="86">
        <x:v>23.9</x:v>
      </x:c>
      <x:c r="V65" s="53">
        <x:f>S65*T65</x:f>
      </x:c>
    </x:row>
    <x:row r="66" spans="1:31" ht="15" customHeight="1" hidden="1" x14ac:dyDescent="0.3">
      <x:c r="A66" s="85">
        <x:v>6343</x:v>
      </x:c>
      <x:c r="B66" s="85" t="s">
        <x:v>130</x:v>
      </x:c>
      <x:c r="C66" s="85" t="s">
        <x:v>112</x:v>
      </x:c>
      <x:c r="D66" s="73" t="s">
        <x:v>63</x:v>
      </x:c>
      <x:c r="E66" s="144"/>
      <x:c r="F66" s="144"/>
      <x:c r="G66" s="73"/>
      <x:c r="H66" s="73"/>
      <x:c r="I66" s="73"/>
      <x:c r="J66" s="73"/>
      <x:c r="K66" s="73"/>
      <x:c r="L66" s="73"/>
      <x:c r="M66" s="73"/>
      <x:c r="N66" s="144"/>
      <x:c r="O66" s="73"/>
      <x:c r="P66" s="144"/>
      <x:c r="Q66" s="73"/>
      <x:c r="R66" s="73"/>
      <x:c r="S66" s="52">
        <x:f>SUM(E66:R66)</x:f>
      </x:c>
      <x:c r="T66" s="86">
        <x:v>13.6</x:v>
      </x:c>
      <x:c r="U66" s="86">
        <x:v>29.9</x:v>
      </x:c>
      <x:c r="V66" s="53">
        <x:f>S66*T66</x:f>
      </x:c>
    </x:row>
    <x:row r="67" spans="1:31" ht="15" customHeight="1" hidden="1" x14ac:dyDescent="0.3">
      <x:c r="A67" s="85">
        <x:v>6344</x:v>
      </x:c>
      <x:c r="B67" s="85" t="s">
        <x:v>131</x:v>
      </x:c>
      <x:c r="C67" s="85" t="s">
        <x:v>112</x:v>
      </x:c>
      <x:c r="D67" s="73" t="s">
        <x:v>63</x:v>
      </x:c>
      <x:c r="E67" s="144"/>
      <x:c r="F67" s="144"/>
      <x:c r="G67" s="73"/>
      <x:c r="H67" s="73"/>
      <x:c r="I67" s="73"/>
      <x:c r="J67" s="73"/>
      <x:c r="K67" s="73"/>
      <x:c r="L67" s="73"/>
      <x:c r="M67" s="73"/>
      <x:c r="N67" s="144"/>
      <x:c r="O67" s="73"/>
      <x:c r="P67" s="144"/>
      <x:c r="Q67" s="73"/>
      <x:c r="R67" s="73"/>
      <x:c r="S67" s="52">
        <x:f>SUM(E67:R67)</x:f>
      </x:c>
      <x:c r="T67" s="86">
        <x:v>13.6</x:v>
      </x:c>
      <x:c r="U67" s="86">
        <x:v>29.9</x:v>
      </x:c>
      <x:c r="V67" s="53">
        <x:f>S67*T67</x:f>
      </x:c>
    </x:row>
    <x:row r="68" spans="1:31" ht="15" customHeight="1" hidden="1" x14ac:dyDescent="0.3">
      <x:c r="A68" s="85">
        <x:v>6520</x:v>
      </x:c>
      <x:c r="B68" s="85" t="s">
        <x:v>132</x:v>
      </x:c>
      <x:c r="C68" s="85" t="s">
        <x:v>104</x:v>
      </x:c>
      <x:c r="D68" s="73" t="s">
        <x:v>33</x:v>
      </x:c>
      <x:c r="E68" s="73"/>
      <x:c r="F68" s="73"/>
      <x:c r="G68" s="73"/>
      <x:c r="H68" s="73"/>
      <x:c r="I68" s="73"/>
      <x:c r="J68" s="73"/>
      <x:c r="K68" s="73"/>
      <x:c r="L68" s="144"/>
      <x:c r="M68" s="144"/>
      <x:c r="N68" s="144"/>
      <x:c r="O68" s="144"/>
      <x:c r="P68" s="144"/>
      <x:c r="Q68" s="144"/>
      <x:c r="R68" s="144"/>
      <x:c r="S68" s="52">
        <x:f>SUM(E68:R68)</x:f>
      </x:c>
      <x:c r="T68" s="86">
        <x:v>7.7</x:v>
      </x:c>
      <x:c r="U68" s="86">
        <x:v>16.9</x:v>
      </x:c>
      <x:c r="V68" s="53">
        <x:f>S68*T68</x:f>
      </x:c>
    </x:row>
    <x:row r="69" spans="1:31" ht="15" customHeight="1" hidden="1" x14ac:dyDescent="0.3">
      <x:c r="A69" s="85">
        <x:v>6534</x:v>
      </x:c>
      <x:c r="B69" s="85" t="s">
        <x:v>133</x:v>
      </x:c>
      <x:c r="C69" s="85" t="s">
        <x:v>104</x:v>
      </x:c>
      <x:c r="D69" s="73" t="s">
        <x:v>63</x:v>
      </x:c>
      <x:c r="E69" s="73"/>
      <x:c r="F69" s="73"/>
      <x:c r="G69" s="73"/>
      <x:c r="H69" s="73"/>
      <x:c r="I69" s="73"/>
      <x:c r="J69" s="73"/>
      <x:c r="K69" s="73"/>
      <x:c r="L69" s="73"/>
      <x:c r="M69" s="73"/>
      <x:c r="N69" s="144"/>
      <x:c r="O69" s="73"/>
      <x:c r="P69" s="144"/>
      <x:c r="Q69" s="73"/>
      <x:c r="R69" s="73"/>
      <x:c r="S69" s="52">
        <x:f>SUM(E69:R69)</x:f>
      </x:c>
      <x:c r="T69" s="86">
        <x:v>13.6</x:v>
      </x:c>
      <x:c r="U69" s="86">
        <x:v>29.9</x:v>
      </x:c>
      <x:c r="V69" s="53">
        <x:f>S69*T69</x:f>
      </x:c>
    </x:row>
    <x:row r="70" spans="1:31" ht="15" customHeight="1" hidden="1" x14ac:dyDescent="0.3">
      <x:c r="A70" s="85">
        <x:v>6534</x:v>
      </x:c>
      <x:c r="B70" s="85" t="s">
        <x:v>134</x:v>
      </x:c>
      <x:c r="C70" s="85" t="s">
        <x:v>135</x:v>
      </x:c>
      <x:c r="D70" s="73" t="s">
        <x:v>63</x:v>
      </x:c>
      <x:c r="E70" s="73"/>
      <x:c r="F70" s="73"/>
      <x:c r="G70" s="73"/>
      <x:c r="H70" s="73"/>
      <x:c r="I70" s="73"/>
      <x:c r="J70" s="73"/>
      <x:c r="K70" s="73"/>
      <x:c r="L70" s="73"/>
      <x:c r="M70" s="73"/>
      <x:c r="N70" s="144"/>
      <x:c r="O70" s="73"/>
      <x:c r="P70" s="144"/>
      <x:c r="Q70" s="73"/>
      <x:c r="R70" s="73"/>
      <x:c r="S70" s="52">
        <x:f>SUM(E70:R70)</x:f>
      </x:c>
      <x:c r="T70" s="86">
        <x:v>13.6</x:v>
      </x:c>
      <x:c r="U70" s="86">
        <x:v>29.9</x:v>
      </x:c>
      <x:c r="V70" s="53">
        <x:f>S70*T70</x:f>
      </x:c>
    </x:row>
    <x:row r="71" spans="1:31" ht="15" customHeight="1" hidden="1" x14ac:dyDescent="0.3">
      <x:c r="A71" s="85">
        <x:v>6722</x:v>
      </x:c>
      <x:c r="B71" s="85" t="s">
        <x:v>136</x:v>
      </x:c>
      <x:c r="C71" s="85" t="s">
        <x:v>97</x:v>
      </x:c>
      <x:c r="D71" s="73" t="s">
        <x:v>63</x:v>
      </x:c>
      <x:c r="E71" s="73"/>
      <x:c r="F71" s="73"/>
      <x:c r="G71" s="73"/>
      <x:c r="H71" s="73"/>
      <x:c r="I71" s="73"/>
      <x:c r="J71" s="73"/>
      <x:c r="K71" s="73"/>
      <x:c r="L71" s="144"/>
      <x:c r="M71" s="144"/>
      <x:c r="N71" s="144"/>
      <x:c r="O71" s="144"/>
      <x:c r="P71" s="144"/>
      <x:c r="Q71" s="144"/>
      <x:c r="R71" s="144"/>
      <x:c r="S71" s="52">
        <x:f>SUM(E71:R71)</x:f>
      </x:c>
      <x:c r="T71" s="86">
        <x:v>31.8</x:v>
      </x:c>
      <x:c r="U71" s="86">
        <x:v>69.9</x:v>
      </x:c>
      <x:c r="V71" s="53">
        <x:f>S71*T71</x:f>
      </x:c>
    </x:row>
    <x:row r="72" spans="1:31" ht="15" customHeight="1" hidden="1" x14ac:dyDescent="0.3">
      <x:c r="A72" s="85">
        <x:v>6722</x:v>
      </x:c>
      <x:c r="B72" s="85" t="s">
        <x:v>137</x:v>
      </x:c>
      <x:c r="C72" s="85" t="s">
        <x:v>101</x:v>
      </x:c>
      <x:c r="D72" s="73" t="s">
        <x:v>63</x:v>
      </x:c>
      <x:c r="E72" s="73"/>
      <x:c r="F72" s="73"/>
      <x:c r="G72" s="73"/>
      <x:c r="H72" s="73"/>
      <x:c r="I72" s="73"/>
      <x:c r="J72" s="73"/>
      <x:c r="K72" s="73"/>
      <x:c r="L72" s="144"/>
      <x:c r="M72" s="144"/>
      <x:c r="N72" s="144"/>
      <x:c r="O72" s="144"/>
      <x:c r="P72" s="144"/>
      <x:c r="Q72" s="144"/>
      <x:c r="R72" s="144"/>
      <x:c r="S72" s="52">
        <x:f>SUM(E72:R72)</x:f>
      </x:c>
      <x:c r="T72" s="86">
        <x:v>31.8</x:v>
      </x:c>
      <x:c r="U72" s="86">
        <x:v>69.9</x:v>
      </x:c>
      <x:c r="V72" s="53">
        <x:f>S72*T72</x:f>
      </x:c>
    </x:row>
    <x:row r="73" spans="1:31" ht="15" customHeight="1" hidden="1" x14ac:dyDescent="0.3">
      <x:c r="A73" s="87">
        <x:v>6846</x:v>
      </x:c>
      <x:c r="B73" s="87" t="s">
        <x:v>138</x:v>
      </x:c>
      <x:c r="C73" s="85" t="s">
        <x:v>106</x:v>
      </x:c>
      <x:c r="D73" s="73" t="s">
        <x:v>63</x:v>
      </x:c>
      <x:c r="E73" s="73"/>
      <x:c r="F73" s="73"/>
      <x:c r="G73" s="73"/>
      <x:c r="H73" s="73"/>
      <x:c r="I73" s="73"/>
      <x:c r="J73" s="73"/>
      <x:c r="K73" s="73"/>
      <x:c r="L73" s="73"/>
      <x:c r="M73" s="73"/>
      <x:c r="N73" s="144"/>
      <x:c r="O73" s="144"/>
      <x:c r="P73" s="144"/>
      <x:c r="Q73" s="144"/>
      <x:c r="R73" s="144"/>
      <x:c r="S73" s="52">
        <x:f>SUM(E73:R73)</x:f>
      </x:c>
      <x:c r="T73" s="88">
        <x:v>20.9</x:v>
      </x:c>
      <x:c r="U73" s="88">
        <x:v>45.9</x:v>
      </x:c>
      <x:c r="V73" s="53">
        <x:f>S73*T73</x:f>
      </x:c>
    </x:row>
    <x:row r="74" spans="1:31" ht="15" customHeight="1" hidden="1" x14ac:dyDescent="0.3">
      <x:c r="A74" s="87">
        <x:v>6846</x:v>
      </x:c>
      <x:c r="B74" s="87" t="s">
        <x:v>139</x:v>
      </x:c>
      <x:c r="C74" s="87" t="s">
        <x:v>140</x:v>
      </x:c>
      <x:c r="D74" s="73" t="s">
        <x:v>63</x:v>
      </x:c>
      <x:c r="E74" s="73"/>
      <x:c r="F74" s="73"/>
      <x:c r="G74" s="73"/>
      <x:c r="H74" s="73"/>
      <x:c r="I74" s="73"/>
      <x:c r="J74" s="73"/>
      <x:c r="K74" s="73"/>
      <x:c r="L74" s="73"/>
      <x:c r="M74" s="73"/>
      <x:c r="N74" s="144"/>
      <x:c r="O74" s="144"/>
      <x:c r="P74" s="144"/>
      <x:c r="Q74" s="144"/>
      <x:c r="R74" s="144"/>
      <x:c r="S74" s="52">
        <x:f>SUM(E74:R74)</x:f>
      </x:c>
      <x:c r="T74" s="88">
        <x:v>20.9</x:v>
      </x:c>
      <x:c r="U74" s="88">
        <x:v>45.9</x:v>
      </x:c>
      <x:c r="V74" s="53">
        <x:f>S74*T74</x:f>
      </x:c>
    </x:row>
    <x:row r="75" spans="1:31" ht="15" customHeight="1" hidden="1" x14ac:dyDescent="0.3">
      <x:c r="A75" s="85">
        <x:v>6847</x:v>
      </x:c>
      <x:c r="B75" s="85" t="s">
        <x:v>141</x:v>
      </x:c>
      <x:c r="C75" s="85" t="s">
        <x:v>142</x:v>
      </x:c>
      <x:c r="D75" s="73" t="s">
        <x:v>63</x:v>
      </x:c>
      <x:c r="E75" s="73"/>
      <x:c r="F75" s="73"/>
      <x:c r="G75" s="73"/>
      <x:c r="H75" s="73"/>
      <x:c r="I75" s="73"/>
      <x:c r="J75" s="73"/>
      <x:c r="K75" s="73"/>
      <x:c r="L75" s="73"/>
      <x:c r="M75" s="73"/>
      <x:c r="N75" s="144"/>
      <x:c r="O75" s="144"/>
      <x:c r="P75" s="144"/>
      <x:c r="Q75" s="144"/>
      <x:c r="R75" s="144"/>
      <x:c r="S75" s="52">
        <x:f>SUM(E75:R75)</x:f>
      </x:c>
      <x:c r="T75" s="86">
        <x:v>18.2</x:v>
      </x:c>
      <x:c r="U75" s="86">
        <x:v>39.9</x:v>
      </x:c>
      <x:c r="V75" s="53">
        <x:f>S75*T75</x:f>
      </x:c>
    </x:row>
    <x:row r="76" spans="1:31" ht="15" customHeight="1" hidden="1" x14ac:dyDescent="0.3">
      <x:c r="A76" s="85">
        <x:v>6847</x:v>
      </x:c>
      <x:c r="B76" s="85" t="s">
        <x:v>143</x:v>
      </x:c>
      <x:c r="C76" s="85" t="s">
        <x:v>144</x:v>
      </x:c>
      <x:c r="D76" s="73" t="s">
        <x:v>63</x:v>
      </x:c>
      <x:c r="E76" s="73"/>
      <x:c r="F76" s="73"/>
      <x:c r="G76" s="73"/>
      <x:c r="H76" s="73"/>
      <x:c r="I76" s="73"/>
      <x:c r="J76" s="73"/>
      <x:c r="K76" s="73"/>
      <x:c r="L76" s="73"/>
      <x:c r="M76" s="73"/>
      <x:c r="N76" s="144"/>
      <x:c r="O76" s="144"/>
      <x:c r="P76" s="144"/>
      <x:c r="Q76" s="144"/>
      <x:c r="R76" s="144"/>
      <x:c r="S76" s="52">
        <x:f>SUM(E76:R76)</x:f>
      </x:c>
      <x:c r="T76" s="86">
        <x:v>18.2</x:v>
      </x:c>
      <x:c r="U76" s="86">
        <x:v>39.9</x:v>
      </x:c>
      <x:c r="V76" s="53">
        <x:f>S76*T76</x:f>
      </x:c>
    </x:row>
    <x:row r="77" spans="1:31" ht="15" customHeight="1" hidden="1" x14ac:dyDescent="0.3">
      <x:c r="A77" s="85">
        <x:v>6847</x:v>
      </x:c>
      <x:c r="B77" s="85" t="s">
        <x:v>145</x:v>
      </x:c>
      <x:c r="C77" s="85" t="s">
        <x:v>106</x:v>
      </x:c>
      <x:c r="D77" s="73" t="s">
        <x:v>63</x:v>
      </x:c>
      <x:c r="E77" s="73"/>
      <x:c r="F77" s="73"/>
      <x:c r="G77" s="73"/>
      <x:c r="H77" s="73"/>
      <x:c r="I77" s="73"/>
      <x:c r="J77" s="73"/>
      <x:c r="K77" s="73"/>
      <x:c r="L77" s="73"/>
      <x:c r="M77" s="73"/>
      <x:c r="N77" s="144"/>
      <x:c r="O77" s="144"/>
      <x:c r="P77" s="144"/>
      <x:c r="Q77" s="144"/>
      <x:c r="R77" s="144"/>
      <x:c r="S77" s="52">
        <x:f>SUM(E77:R77)</x:f>
      </x:c>
      <x:c r="T77" s="86">
        <x:v>18.2</x:v>
      </x:c>
      <x:c r="U77" s="86">
        <x:v>39.9</x:v>
      </x:c>
      <x:c r="V77" s="53">
        <x:f>S77*T77</x:f>
      </x:c>
    </x:row>
    <x:row r="78" spans="1:31" ht="15" customHeight="1" hidden="1" x14ac:dyDescent="0.3">
      <x:c r="A78" s="85">
        <x:v>6847</x:v>
      </x:c>
      <x:c r="B78" s="85" t="s">
        <x:v>146</x:v>
      </x:c>
      <x:c r="C78" s="85" t="s">
        <x:v>147</x:v>
      </x:c>
      <x:c r="D78" s="73" t="s">
        <x:v>63</x:v>
      </x:c>
      <x:c r="E78" s="73"/>
      <x:c r="F78" s="73"/>
      <x:c r="G78" s="73"/>
      <x:c r="H78" s="73"/>
      <x:c r="I78" s="73"/>
      <x:c r="J78" s="73"/>
      <x:c r="K78" s="73"/>
      <x:c r="L78" s="73"/>
      <x:c r="M78" s="73"/>
      <x:c r="N78" s="144"/>
      <x:c r="O78" s="144"/>
      <x:c r="P78" s="144"/>
      <x:c r="Q78" s="144"/>
      <x:c r="R78" s="144"/>
      <x:c r="S78" s="52">
        <x:f>SUM(E78:R78)</x:f>
      </x:c>
      <x:c r="T78" s="86">
        <x:v>18.2</x:v>
      </x:c>
      <x:c r="U78" s="86">
        <x:v>39.9</x:v>
      </x:c>
      <x:c r="V78" s="53">
        <x:f>S78*T78</x:f>
      </x:c>
    </x:row>
    <x:row r="79" spans="1:31" ht="15" customHeight="1" hidden="1" x14ac:dyDescent="0.3">
      <x:c r="A79" s="85">
        <x:v>6847</x:v>
      </x:c>
      <x:c r="B79" s="85" t="s">
        <x:v>148</x:v>
      </x:c>
      <x:c r="C79" s="87" t="s">
        <x:v>140</x:v>
      </x:c>
      <x:c r="D79" s="73" t="s">
        <x:v>63</x:v>
      </x:c>
      <x:c r="E79" s="73"/>
      <x:c r="F79" s="73"/>
      <x:c r="G79" s="73"/>
      <x:c r="H79" s="73"/>
      <x:c r="I79" s="73"/>
      <x:c r="J79" s="73"/>
      <x:c r="K79" s="73"/>
      <x:c r="L79" s="73"/>
      <x:c r="M79" s="73"/>
      <x:c r="N79" s="144"/>
      <x:c r="O79" s="144"/>
      <x:c r="P79" s="144"/>
      <x:c r="Q79" s="144"/>
      <x:c r="R79" s="144"/>
      <x:c r="S79" s="52">
        <x:f>SUM(E79:R79)</x:f>
      </x:c>
      <x:c r="T79" s="86">
        <x:v>18.2</x:v>
      </x:c>
      <x:c r="U79" s="86">
        <x:v>39.9</x:v>
      </x:c>
      <x:c r="V79" s="53">
        <x:f>S79*T79</x:f>
      </x:c>
    </x:row>
    <x:row r="80" spans="1:31" ht="15" customHeight="1" hidden="1" x14ac:dyDescent="0.3">
      <x:c r="A80" s="85">
        <x:v>6847</x:v>
      </x:c>
      <x:c r="B80" s="85" t="s">
        <x:v>149</x:v>
      </x:c>
      <x:c r="C80" s="85" t="s">
        <x:v>150</x:v>
      </x:c>
      <x:c r="D80" s="73" t="s">
        <x:v>63</x:v>
      </x:c>
      <x:c r="E80" s="73"/>
      <x:c r="F80" s="73"/>
      <x:c r="G80" s="73"/>
      <x:c r="H80" s="73"/>
      <x:c r="I80" s="73"/>
      <x:c r="J80" s="73"/>
      <x:c r="K80" s="73"/>
      <x:c r="L80" s="73"/>
      <x:c r="M80" s="73"/>
      <x:c r="N80" s="144"/>
      <x:c r="O80" s="144"/>
      <x:c r="P80" s="144"/>
      <x:c r="Q80" s="144"/>
      <x:c r="R80" s="144"/>
      <x:c r="S80" s="52">
        <x:f>SUM(E80:R80)</x:f>
      </x:c>
      <x:c r="T80" s="86">
        <x:v>18.2</x:v>
      </x:c>
      <x:c r="U80" s="86">
        <x:v>39.9</x:v>
      </x:c>
      <x:c r="V80" s="53">
        <x:f>S80*T80</x:f>
      </x:c>
    </x:row>
    <x:row r="81" spans="1:31" ht="15" customHeight="1" hidden="1" x14ac:dyDescent="0.3">
      <x:c r="A81" s="85">
        <x:v>6848</x:v>
      </x:c>
      <x:c r="B81" s="85" t="s">
        <x:v>151</x:v>
      </x:c>
      <x:c r="C81" s="85" t="s">
        <x:v>142</x:v>
      </x:c>
      <x:c r="D81" s="73" t="s">
        <x:v>63</x:v>
      </x:c>
      <x:c r="E81" s="73"/>
      <x:c r="F81" s="73"/>
      <x:c r="G81" s="73"/>
      <x:c r="H81" s="73"/>
      <x:c r="I81" s="73"/>
      <x:c r="J81" s="73"/>
      <x:c r="K81" s="73"/>
      <x:c r="L81" s="73"/>
      <x:c r="M81" s="73"/>
      <x:c r="N81" s="144"/>
      <x:c r="O81" s="144"/>
      <x:c r="P81" s="144"/>
      <x:c r="Q81" s="144"/>
      <x:c r="R81" s="144"/>
      <x:c r="S81" s="52">
        <x:f>SUM(E81:R81)</x:f>
      </x:c>
      <x:c r="T81" s="86">
        <x:v>13.6</x:v>
      </x:c>
      <x:c r="U81" s="86">
        <x:v>29.9</x:v>
      </x:c>
      <x:c r="V81" s="53">
        <x:f>S81*T81</x:f>
      </x:c>
    </x:row>
    <x:row r="82" spans="1:31" ht="15" customHeight="1" hidden="1" x14ac:dyDescent="0.3">
      <x:c r="A82" s="85">
        <x:v>6848</x:v>
      </x:c>
      <x:c r="B82" s="85" t="s">
        <x:v>152</x:v>
      </x:c>
      <x:c r="C82" s="85" t="s">
        <x:v>144</x:v>
      </x:c>
      <x:c r="D82" s="73" t="s">
        <x:v>63</x:v>
      </x:c>
      <x:c r="E82" s="73"/>
      <x:c r="F82" s="73"/>
      <x:c r="G82" s="73"/>
      <x:c r="H82" s="73"/>
      <x:c r="I82" s="73"/>
      <x:c r="J82" s="73"/>
      <x:c r="K82" s="73"/>
      <x:c r="L82" s="73"/>
      <x:c r="M82" s="73"/>
      <x:c r="N82" s="144"/>
      <x:c r="O82" s="144"/>
      <x:c r="P82" s="144"/>
      <x:c r="Q82" s="144"/>
      <x:c r="R82" s="144"/>
      <x:c r="S82" s="52">
        <x:f>SUM(E82:R82)</x:f>
      </x:c>
      <x:c r="T82" s="86">
        <x:v>13.6</x:v>
      </x:c>
      <x:c r="U82" s="86">
        <x:v>29.9</x:v>
      </x:c>
      <x:c r="V82" s="53">
        <x:f>S82*T82</x:f>
      </x:c>
    </x:row>
    <x:row r="83" spans="1:31" ht="15" customHeight="1" hidden="1" x14ac:dyDescent="0.3">
      <x:c r="A83" s="85">
        <x:v>6848</x:v>
      </x:c>
      <x:c r="B83" s="85" t="s">
        <x:v>153</x:v>
      </x:c>
      <x:c r="C83" s="85" t="s">
        <x:v>106</x:v>
      </x:c>
      <x:c r="D83" s="73" t="s">
        <x:v>63</x:v>
      </x:c>
      <x:c r="E83" s="73"/>
      <x:c r="F83" s="73"/>
      <x:c r="G83" s="73"/>
      <x:c r="H83" s="73"/>
      <x:c r="I83" s="73"/>
      <x:c r="J83" s="73"/>
      <x:c r="K83" s="73"/>
      <x:c r="L83" s="73"/>
      <x:c r="M83" s="73"/>
      <x:c r="N83" s="144"/>
      <x:c r="O83" s="144"/>
      <x:c r="P83" s="144"/>
      <x:c r="Q83" s="144"/>
      <x:c r="R83" s="144"/>
      <x:c r="S83" s="52">
        <x:f>SUM(E83:R83)</x:f>
      </x:c>
      <x:c r="T83" s="86">
        <x:v>13.6</x:v>
      </x:c>
      <x:c r="U83" s="86">
        <x:v>29.9</x:v>
      </x:c>
      <x:c r="V83" s="53">
        <x:f>S83*T83</x:f>
      </x:c>
    </x:row>
    <x:row r="84" spans="1:31" ht="15" customHeight="1" hidden="1" x14ac:dyDescent="0.3">
      <x:c r="A84" s="85">
        <x:v>6848</x:v>
      </x:c>
      <x:c r="B84" s="85" t="s">
        <x:v>154</x:v>
      </x:c>
      <x:c r="C84" s="85" t="s">
        <x:v>147</x:v>
      </x:c>
      <x:c r="D84" s="73" t="s">
        <x:v>63</x:v>
      </x:c>
      <x:c r="E84" s="73"/>
      <x:c r="F84" s="73"/>
      <x:c r="G84" s="73"/>
      <x:c r="H84" s="73"/>
      <x:c r="I84" s="73"/>
      <x:c r="J84" s="73"/>
      <x:c r="K84" s="73"/>
      <x:c r="L84" s="73"/>
      <x:c r="M84" s="73"/>
      <x:c r="N84" s="144"/>
      <x:c r="O84" s="144"/>
      <x:c r="P84" s="144"/>
      <x:c r="Q84" s="144"/>
      <x:c r="R84" s="144"/>
      <x:c r="S84" s="52">
        <x:f>SUM(E84:R84)</x:f>
      </x:c>
      <x:c r="T84" s="86">
        <x:v>13.6</x:v>
      </x:c>
      <x:c r="U84" s="86">
        <x:v>29.9</x:v>
      </x:c>
      <x:c r="V84" s="53">
        <x:f>S84*T84</x:f>
      </x:c>
    </x:row>
    <x:row r="85" spans="1:31" ht="15" customHeight="1" hidden="1" x14ac:dyDescent="0.3">
      <x:c r="A85" s="85">
        <x:v>6848</x:v>
      </x:c>
      <x:c r="B85" s="85" t="s">
        <x:v>155</x:v>
      </x:c>
      <x:c r="C85" s="87" t="s">
        <x:v>140</x:v>
      </x:c>
      <x:c r="D85" s="73" t="s">
        <x:v>63</x:v>
      </x:c>
      <x:c r="E85" s="73"/>
      <x:c r="F85" s="73"/>
      <x:c r="G85" s="73"/>
      <x:c r="H85" s="73"/>
      <x:c r="I85" s="73"/>
      <x:c r="J85" s="73"/>
      <x:c r="K85" s="73"/>
      <x:c r="L85" s="73"/>
      <x:c r="M85" s="73"/>
      <x:c r="N85" s="144"/>
      <x:c r="O85" s="144"/>
      <x:c r="P85" s="144"/>
      <x:c r="Q85" s="144"/>
      <x:c r="R85" s="144"/>
      <x:c r="S85" s="52">
        <x:f>SUM(E85:R85)</x:f>
      </x:c>
      <x:c r="T85" s="86">
        <x:v>13.6</x:v>
      </x:c>
      <x:c r="U85" s="86">
        <x:v>29.9</x:v>
      </x:c>
      <x:c r="V85" s="53">
        <x:f>S85*T85</x:f>
      </x:c>
    </x:row>
    <x:row r="86" spans="1:31" ht="15" customHeight="1" hidden="1" x14ac:dyDescent="0.3">
      <x:c r="A86" s="85">
        <x:v>6848</x:v>
      </x:c>
      <x:c r="B86" s="85" t="s">
        <x:v>156</x:v>
      </x:c>
      <x:c r="C86" s="85" t="s">
        <x:v>150</x:v>
      </x:c>
      <x:c r="D86" s="73" t="s">
        <x:v>63</x:v>
      </x:c>
      <x:c r="E86" s="73"/>
      <x:c r="F86" s="73"/>
      <x:c r="G86" s="73"/>
      <x:c r="H86" s="73"/>
      <x:c r="I86" s="73"/>
      <x:c r="J86" s="73"/>
      <x:c r="K86" s="73"/>
      <x:c r="L86" s="73"/>
      <x:c r="M86" s="73"/>
      <x:c r="N86" s="144"/>
      <x:c r="O86" s="144"/>
      <x:c r="P86" s="144"/>
      <x:c r="Q86" s="144"/>
      <x:c r="R86" s="144"/>
      <x:c r="S86" s="52">
        <x:f>SUM(E86:R86)</x:f>
      </x:c>
      <x:c r="T86" s="86">
        <x:v>13.6</x:v>
      </x:c>
      <x:c r="U86" s="86">
        <x:v>29.9</x:v>
      </x:c>
      <x:c r="V86" s="53">
        <x:f>S86*T86</x:f>
      </x:c>
    </x:row>
    <x:row r="87" spans="1:31" ht="15" customHeight="1" hidden="1" x14ac:dyDescent="0.3">
      <x:c r="A87" s="85">
        <x:v>6849</x:v>
      </x:c>
      <x:c r="B87" s="85" t="s">
        <x:v>157</x:v>
      </x:c>
      <x:c r="C87" s="85" t="s">
        <x:v>142</x:v>
      </x:c>
      <x:c r="D87" s="73" t="s">
        <x:v>63</x:v>
      </x:c>
      <x:c r="E87" s="73"/>
      <x:c r="F87" s="73"/>
      <x:c r="G87" s="73"/>
      <x:c r="H87" s="73"/>
      <x:c r="I87" s="73"/>
      <x:c r="J87" s="73"/>
      <x:c r="K87" s="73"/>
      <x:c r="L87" s="73"/>
      <x:c r="M87" s="73"/>
      <x:c r="N87" s="144"/>
      <x:c r="O87" s="144"/>
      <x:c r="P87" s="144"/>
      <x:c r="Q87" s="144"/>
      <x:c r="R87" s="144"/>
      <x:c r="S87" s="52">
        <x:f>SUM(E87:R87)</x:f>
      </x:c>
      <x:c r="T87" s="86">
        <x:v>12.7</x:v>
      </x:c>
      <x:c r="U87" s="86">
        <x:v>27.9</x:v>
      </x:c>
      <x:c r="V87" s="53">
        <x:f>S87*T87</x:f>
      </x:c>
    </x:row>
    <x:row r="88" spans="1:31" ht="15" customHeight="1" hidden="1" x14ac:dyDescent="0.3">
      <x:c r="A88" s="85">
        <x:v>6850</x:v>
      </x:c>
      <x:c r="B88" s="85" t="s">
        <x:v>158</x:v>
      </x:c>
      <x:c r="C88" s="85" t="s">
        <x:v>142</x:v>
      </x:c>
      <x:c r="D88" s="73" t="s">
        <x:v>159</x:v>
      </x:c>
      <x:c r="E88" s="144"/>
      <x:c r="F88" s="144"/>
      <x:c r="G88" s="73"/>
      <x:c r="H88" s="73"/>
      <x:c r="I88" s="73"/>
      <x:c r="J88" s="144"/>
      <x:c r="K88" s="144"/>
      <x:c r="L88" s="144"/>
      <x:c r="M88" s="144"/>
      <x:c r="N88" s="144"/>
      <x:c r="O88" s="144"/>
      <x:c r="P88" s="144"/>
      <x:c r="Q88" s="144"/>
      <x:c r="R88" s="144"/>
      <x:c r="S88" s="52">
        <x:f>SUM(E88:R88)</x:f>
      </x:c>
      <x:c r="T88" s="86">
        <x:v>9.1</x:v>
      </x:c>
      <x:c r="U88" s="86">
        <x:v>19.9</x:v>
      </x:c>
      <x:c r="V88" s="53">
        <x:f>S88*T88</x:f>
      </x:c>
    </x:row>
    <x:row r="89" spans="1:31" ht="15" customHeight="1" hidden="1" x14ac:dyDescent="0.3">
      <x:c r="A89" s="85">
        <x:v>6850</x:v>
      </x:c>
      <x:c r="B89" s="85" t="s">
        <x:v>160</x:v>
      </x:c>
      <x:c r="C89" s="85" t="s">
        <x:v>144</x:v>
      </x:c>
      <x:c r="D89" s="73" t="s">
        <x:v>159</x:v>
      </x:c>
      <x:c r="E89" s="144"/>
      <x:c r="F89" s="144"/>
      <x:c r="G89" s="73"/>
      <x:c r="H89" s="73"/>
      <x:c r="I89" s="73"/>
      <x:c r="J89" s="144"/>
      <x:c r="K89" s="144"/>
      <x:c r="L89" s="144"/>
      <x:c r="M89" s="144"/>
      <x:c r="N89" s="144"/>
      <x:c r="O89" s="144"/>
      <x:c r="P89" s="144"/>
      <x:c r="Q89" s="144"/>
      <x:c r="R89" s="144"/>
      <x:c r="S89" s="52">
        <x:f>SUM(E89:R89)</x:f>
      </x:c>
      <x:c r="T89" s="86">
        <x:v>9.1</x:v>
      </x:c>
      <x:c r="U89" s="86">
        <x:v>19.9</x:v>
      </x:c>
      <x:c r="V89" s="53">
        <x:f>S89*T89</x:f>
      </x:c>
    </x:row>
    <x:row r="90" spans="1:31" ht="15" customHeight="1" hidden="1" x14ac:dyDescent="0.3">
      <x:c r="A90" s="85">
        <x:v>6850</x:v>
      </x:c>
      <x:c r="B90" s="85" t="s">
        <x:v>161</x:v>
      </x:c>
      <x:c r="C90" s="85" t="s">
        <x:v>106</x:v>
      </x:c>
      <x:c r="D90" s="73" t="s">
        <x:v>159</x:v>
      </x:c>
      <x:c r="E90" s="144"/>
      <x:c r="F90" s="144"/>
      <x:c r="G90" s="73"/>
      <x:c r="H90" s="73"/>
      <x:c r="I90" s="73"/>
      <x:c r="J90" s="144"/>
      <x:c r="K90" s="144"/>
      <x:c r="L90" s="144"/>
      <x:c r="M90" s="144"/>
      <x:c r="N90" s="144"/>
      <x:c r="O90" s="144"/>
      <x:c r="P90" s="144"/>
      <x:c r="Q90" s="144"/>
      <x:c r="R90" s="144"/>
      <x:c r="S90" s="52">
        <x:f>SUM(E90:R90)</x:f>
      </x:c>
      <x:c r="T90" s="86">
        <x:v>9.1</x:v>
      </x:c>
      <x:c r="U90" s="86">
        <x:v>19.9</x:v>
      </x:c>
      <x:c r="V90" s="53">
        <x:f>S90*T90</x:f>
      </x:c>
    </x:row>
    <x:row r="91" spans="1:31" ht="15" customHeight="1" hidden="1" x14ac:dyDescent="0.3">
      <x:c r="A91" s="85">
        <x:v>6850</x:v>
      </x:c>
      <x:c r="B91" s="85" t="s">
        <x:v>162</x:v>
      </x:c>
      <x:c r="C91" s="85" t="s">
        <x:v>147</x:v>
      </x:c>
      <x:c r="D91" s="73" t="s">
        <x:v>159</x:v>
      </x:c>
      <x:c r="E91" s="144"/>
      <x:c r="F91" s="144"/>
      <x:c r="G91" s="73"/>
      <x:c r="H91" s="73"/>
      <x:c r="I91" s="73"/>
      <x:c r="J91" s="144"/>
      <x:c r="K91" s="144"/>
      <x:c r="L91" s="144"/>
      <x:c r="M91" s="144"/>
      <x:c r="N91" s="144"/>
      <x:c r="O91" s="144"/>
      <x:c r="P91" s="144"/>
      <x:c r="Q91" s="144"/>
      <x:c r="R91" s="144"/>
      <x:c r="S91" s="52">
        <x:f>SUM(E91:R91)</x:f>
      </x:c>
      <x:c r="T91" s="86">
        <x:v>9.1</x:v>
      </x:c>
      <x:c r="U91" s="86">
        <x:v>19.9</x:v>
      </x:c>
      <x:c r="V91" s="53">
        <x:f>S91*T91</x:f>
      </x:c>
    </x:row>
    <x:row r="92" spans="1:31" ht="15" customHeight="1" hidden="1" x14ac:dyDescent="0.3">
      <x:c r="A92" s="85">
        <x:v>6850</x:v>
      </x:c>
      <x:c r="B92" s="85" t="s">
        <x:v>163</x:v>
      </x:c>
      <x:c r="C92" s="87" t="s">
        <x:v>140</x:v>
      </x:c>
      <x:c r="D92" s="73" t="s">
        <x:v>159</x:v>
      </x:c>
      <x:c r="E92" s="144"/>
      <x:c r="F92" s="144"/>
      <x:c r="G92" s="73"/>
      <x:c r="H92" s="73"/>
      <x:c r="I92" s="73"/>
      <x:c r="J92" s="144"/>
      <x:c r="K92" s="144"/>
      <x:c r="L92" s="144"/>
      <x:c r="M92" s="144"/>
      <x:c r="N92" s="144"/>
      <x:c r="O92" s="144"/>
      <x:c r="P92" s="144"/>
      <x:c r="Q92" s="144"/>
      <x:c r="R92" s="144"/>
      <x:c r="S92" s="52">
        <x:f>SUM(E92:R92)</x:f>
      </x:c>
      <x:c r="T92" s="86">
        <x:v>9.1</x:v>
      </x:c>
      <x:c r="U92" s="86">
        <x:v>19.9</x:v>
      </x:c>
      <x:c r="V92" s="53">
        <x:f>S92*T92</x:f>
      </x:c>
    </x:row>
    <x:row r="93" spans="1:31" ht="15" customHeight="1" hidden="1" x14ac:dyDescent="0.3">
      <x:c r="A93" s="85">
        <x:v>6850</x:v>
      </x:c>
      <x:c r="B93" s="85" t="s">
        <x:v>164</x:v>
      </x:c>
      <x:c r="C93" s="85" t="s">
        <x:v>150</x:v>
      </x:c>
      <x:c r="D93" s="73" t="s">
        <x:v>159</x:v>
      </x:c>
      <x:c r="E93" s="144"/>
      <x:c r="F93" s="144"/>
      <x:c r="G93" s="73"/>
      <x:c r="H93" s="73"/>
      <x:c r="I93" s="73"/>
      <x:c r="J93" s="144"/>
      <x:c r="K93" s="144"/>
      <x:c r="L93" s="144"/>
      <x:c r="M93" s="144"/>
      <x:c r="N93" s="144"/>
      <x:c r="O93" s="144"/>
      <x:c r="P93" s="144"/>
      <x:c r="Q93" s="144"/>
      <x:c r="R93" s="144"/>
      <x:c r="S93" s="52">
        <x:f>SUM(E93:R93)</x:f>
      </x:c>
      <x:c r="T93" s="86">
        <x:v>9.1</x:v>
      </x:c>
      <x:c r="U93" s="86">
        <x:v>19.9</x:v>
      </x:c>
      <x:c r="V93" s="53">
        <x:f>S93*T93</x:f>
      </x:c>
    </x:row>
    <x:row r="94" spans="1:31" ht="15" customHeight="1" hidden="1" x14ac:dyDescent="0.3">
      <x:c r="A94" s="85">
        <x:v>6851</x:v>
      </x:c>
      <x:c r="B94" s="85" t="s">
        <x:v>165</x:v>
      </x:c>
      <x:c r="C94" s="85" t="s">
        <x:v>144</x:v>
      </x:c>
      <x:c r="D94" s="52" t="s">
        <x:v>56</x:v>
      </x:c>
      <x:c r="E94" s="144"/>
      <x:c r="F94" s="144"/>
      <x:c r="G94" s="144"/>
      <x:c r="H94" s="144"/>
      <x:c r="I94" s="73"/>
      <x:c r="J94" s="73"/>
      <x:c r="K94" s="73"/>
      <x:c r="L94" s="73"/>
      <x:c r="M94" s="73"/>
      <x:c r="N94" s="73"/>
      <x:c r="O94" s="73"/>
      <x:c r="P94" s="73"/>
      <x:c r="Q94" s="144"/>
      <x:c r="R94" s="144"/>
      <x:c r="S94" s="52">
        <x:f>SUM(E94:R94)</x:f>
      </x:c>
      <x:c r="T94" s="86">
        <x:v>18.2</x:v>
      </x:c>
      <x:c r="U94" s="86">
        <x:v>39.9</x:v>
      </x:c>
      <x:c r="V94" s="53">
        <x:f>S94*T94</x:f>
      </x:c>
    </x:row>
    <x:row r="95" spans="1:31" ht="15" customHeight="1" hidden="1" x14ac:dyDescent="0.3">
      <x:c r="A95" s="85">
        <x:v>6851</x:v>
      </x:c>
      <x:c r="B95" s="85" t="s">
        <x:v>166</x:v>
      </x:c>
      <x:c r="C95" s="85" t="s">
        <x:v>144</x:v>
      </x:c>
      <x:c r="D95" s="89" t="s">
        <x:v>57</x:v>
      </x:c>
      <x:c r="E95" s="73"/>
      <x:c r="F95" s="73"/>
      <x:c r="G95" s="73"/>
      <x:c r="H95" s="73"/>
      <x:c r="I95" s="144"/>
      <x:c r="J95" s="144"/>
      <x:c r="K95" s="144"/>
      <x:c r="L95" s="144"/>
      <x:c r="M95" s="144"/>
      <x:c r="N95" s="144"/>
      <x:c r="O95" s="144"/>
      <x:c r="P95" s="144"/>
      <x:c r="Q95" s="144"/>
      <x:c r="R95" s="144"/>
      <x:c r="S95" s="52">
        <x:f>SUM(E95:R95)</x:f>
      </x:c>
      <x:c r="T95" s="86">
        <x:v>18.2</x:v>
      </x:c>
      <x:c r="U95" s="86">
        <x:v>39.9</x:v>
      </x:c>
      <x:c r="V95" s="53">
        <x:f>S95*T95</x:f>
      </x:c>
    </x:row>
    <x:row r="96" spans="1:31" ht="15" customHeight="1" hidden="1" x14ac:dyDescent="0.3">
      <x:c r="A96" s="85">
        <x:v>6851</x:v>
      </x:c>
      <x:c r="B96" s="85" t="s">
        <x:v>167</x:v>
      </x:c>
      <x:c r="C96" s="85" t="s">
        <x:v>106</x:v>
      </x:c>
      <x:c r="D96" s="52" t="s">
        <x:v>56</x:v>
      </x:c>
      <x:c r="E96" s="144"/>
      <x:c r="F96" s="144"/>
      <x:c r="G96" s="144"/>
      <x:c r="H96" s="144"/>
      <x:c r="I96" s="73"/>
      <x:c r="J96" s="73"/>
      <x:c r="K96" s="73"/>
      <x:c r="L96" s="73"/>
      <x:c r="M96" s="73"/>
      <x:c r="N96" s="73"/>
      <x:c r="O96" s="73"/>
      <x:c r="P96" s="73"/>
      <x:c r="Q96" s="144"/>
      <x:c r="R96" s="144"/>
      <x:c r="S96" s="52">
        <x:f>SUM(E96:R96)</x:f>
      </x:c>
      <x:c r="T96" s="86">
        <x:v>18.2</x:v>
      </x:c>
      <x:c r="U96" s="86">
        <x:v>39.9</x:v>
      </x:c>
      <x:c r="V96" s="53">
        <x:f>S96*T96</x:f>
      </x:c>
    </x:row>
    <x:row r="97" spans="1:31" ht="15" customHeight="1" hidden="1" x14ac:dyDescent="0.3">
      <x:c r="A97" s="85">
        <x:v>6851</x:v>
      </x:c>
      <x:c r="B97" s="85" t="s">
        <x:v>168</x:v>
      </x:c>
      <x:c r="C97" s="85" t="s">
        <x:v>106</x:v>
      </x:c>
      <x:c r="D97" s="89" t="s">
        <x:v>57</x:v>
      </x:c>
      <x:c r="E97" s="73"/>
      <x:c r="F97" s="73"/>
      <x:c r="G97" s="73"/>
      <x:c r="H97" s="73"/>
      <x:c r="I97" s="144"/>
      <x:c r="J97" s="144"/>
      <x:c r="K97" s="144"/>
      <x:c r="L97" s="144"/>
      <x:c r="M97" s="144"/>
      <x:c r="N97" s="144"/>
      <x:c r="O97" s="144"/>
      <x:c r="P97" s="144"/>
      <x:c r="Q97" s="144"/>
      <x:c r="R97" s="144"/>
      <x:c r="S97" s="52">
        <x:f>SUM(E97:R97)</x:f>
      </x:c>
      <x:c r="T97" s="86">
        <x:v>18.2</x:v>
      </x:c>
      <x:c r="U97" s="86">
        <x:v>39.9</x:v>
      </x:c>
      <x:c r="V97" s="53">
        <x:f>S97*T97</x:f>
      </x:c>
    </x:row>
    <x:row r="98" spans="1:31" ht="15" customHeight="1" hidden="1" x14ac:dyDescent="0.3">
      <x:c r="A98" s="85">
        <x:v>6851</x:v>
      </x:c>
      <x:c r="B98" s="85" t="s">
        <x:v>169</x:v>
      </x:c>
      <x:c r="C98" s="85" t="s">
        <x:v>147</x:v>
      </x:c>
      <x:c r="D98" s="52" t="s">
        <x:v>56</x:v>
      </x:c>
      <x:c r="E98" s="144"/>
      <x:c r="F98" s="144"/>
      <x:c r="G98" s="144"/>
      <x:c r="H98" s="144"/>
      <x:c r="I98" s="73"/>
      <x:c r="J98" s="73"/>
      <x:c r="K98" s="73"/>
      <x:c r="L98" s="73"/>
      <x:c r="M98" s="73"/>
      <x:c r="N98" s="73"/>
      <x:c r="O98" s="73"/>
      <x:c r="P98" s="73"/>
      <x:c r="Q98" s="144"/>
      <x:c r="R98" s="144"/>
      <x:c r="S98" s="52">
        <x:f>SUM(E98:R98)</x:f>
      </x:c>
      <x:c r="T98" s="86">
        <x:v>18.2</x:v>
      </x:c>
      <x:c r="U98" s="86">
        <x:v>39.9</x:v>
      </x:c>
      <x:c r="V98" s="53">
        <x:f>S98*T98</x:f>
      </x:c>
    </x:row>
    <x:row r="99" spans="1:31" ht="15" customHeight="1" hidden="1" x14ac:dyDescent="0.3">
      <x:c r="A99" s="85">
        <x:v>6851</x:v>
      </x:c>
      <x:c r="B99" s="85" t="s">
        <x:v>170</x:v>
      </x:c>
      <x:c r="C99" s="85" t="s">
        <x:v>147</x:v>
      </x:c>
      <x:c r="D99" s="89" t="s">
        <x:v>57</x:v>
      </x:c>
      <x:c r="E99" s="73"/>
      <x:c r="F99" s="73"/>
      <x:c r="G99" s="73"/>
      <x:c r="H99" s="73"/>
      <x:c r="I99" s="144"/>
      <x:c r="J99" s="144"/>
      <x:c r="K99" s="144"/>
      <x:c r="L99" s="144"/>
      <x:c r="M99" s="144"/>
      <x:c r="N99" s="144"/>
      <x:c r="O99" s="144"/>
      <x:c r="P99" s="144"/>
      <x:c r="Q99" s="144"/>
      <x:c r="R99" s="144"/>
      <x:c r="S99" s="52">
        <x:f>SUM(E99:R99)</x:f>
      </x:c>
      <x:c r="T99" s="86">
        <x:v>18.2</x:v>
      </x:c>
      <x:c r="U99" s="86">
        <x:v>39.9</x:v>
      </x:c>
      <x:c r="V99" s="53">
        <x:f>S99*T99</x:f>
      </x:c>
    </x:row>
    <x:row r="100" spans="1:31" ht="15" customHeight="1" hidden="1" x14ac:dyDescent="0.3">
      <x:c r="A100" s="85">
        <x:v>6851</x:v>
      </x:c>
      <x:c r="B100" s="85" t="s">
        <x:v>171</x:v>
      </x:c>
      <x:c r="C100" s="87" t="s">
        <x:v>140</x:v>
      </x:c>
      <x:c r="D100" s="52" t="s">
        <x:v>56</x:v>
      </x:c>
      <x:c r="E100" s="144"/>
      <x:c r="F100" s="144"/>
      <x:c r="G100" s="144"/>
      <x:c r="H100" s="144"/>
      <x:c r="I100" s="73"/>
      <x:c r="J100" s="73"/>
      <x:c r="K100" s="73"/>
      <x:c r="L100" s="73"/>
      <x:c r="M100" s="73"/>
      <x:c r="N100" s="73"/>
      <x:c r="O100" s="73"/>
      <x:c r="P100" s="73"/>
      <x:c r="Q100" s="144"/>
      <x:c r="R100" s="144"/>
      <x:c r="S100" s="52">
        <x:f>SUM(E100:R100)</x:f>
      </x:c>
      <x:c r="T100" s="86">
        <x:v>18.2</x:v>
      </x:c>
      <x:c r="U100" s="86">
        <x:v>39.9</x:v>
      </x:c>
      <x:c r="V100" s="53">
        <x:f>S100*T100</x:f>
      </x:c>
    </x:row>
    <x:row r="101" spans="1:31" ht="15" customHeight="1" hidden="1" x14ac:dyDescent="0.3">
      <x:c r="A101" s="85">
        <x:v>6851</x:v>
      </x:c>
      <x:c r="B101" s="85" t="s">
        <x:v>172</x:v>
      </x:c>
      <x:c r="C101" s="87" t="s">
        <x:v>140</x:v>
      </x:c>
      <x:c r="D101" s="89" t="s">
        <x:v>57</x:v>
      </x:c>
      <x:c r="E101" s="73"/>
      <x:c r="F101" s="73"/>
      <x:c r="G101" s="73"/>
      <x:c r="H101" s="73"/>
      <x:c r="I101" s="144"/>
      <x:c r="J101" s="144"/>
      <x:c r="K101" s="144"/>
      <x:c r="L101" s="144"/>
      <x:c r="M101" s="144"/>
      <x:c r="N101" s="144"/>
      <x:c r="O101" s="144"/>
      <x:c r="P101" s="144"/>
      <x:c r="Q101" s="144"/>
      <x:c r="R101" s="144"/>
      <x:c r="S101" s="52">
        <x:f>SUM(E101:R101)</x:f>
      </x:c>
      <x:c r="T101" s="86">
        <x:v>18.2</x:v>
      </x:c>
      <x:c r="U101" s="86">
        <x:v>39.9</x:v>
      </x:c>
      <x:c r="V101" s="53">
        <x:f>S101*T101</x:f>
      </x:c>
    </x:row>
    <x:row r="102" spans="1:31" ht="15" customHeight="1" hidden="1" x14ac:dyDescent="0.3">
      <x:c r="A102" s="85">
        <x:v>6851</x:v>
      </x:c>
      <x:c r="B102" s="85" t="s">
        <x:v>173</x:v>
      </x:c>
      <x:c r="C102" s="85" t="s">
        <x:v>150</x:v>
      </x:c>
      <x:c r="D102" s="52" t="s">
        <x:v>56</x:v>
      </x:c>
      <x:c r="E102" s="144"/>
      <x:c r="F102" s="144"/>
      <x:c r="G102" s="144"/>
      <x:c r="H102" s="144"/>
      <x:c r="I102" s="73"/>
      <x:c r="J102" s="73"/>
      <x:c r="K102" s="73"/>
      <x:c r="L102" s="73"/>
      <x:c r="M102" s="73"/>
      <x:c r="N102" s="73"/>
      <x:c r="O102" s="73"/>
      <x:c r="P102" s="73"/>
      <x:c r="Q102" s="144"/>
      <x:c r="R102" s="144"/>
      <x:c r="S102" s="52">
        <x:f>SUM(E102:R102)</x:f>
      </x:c>
      <x:c r="T102" s="86">
        <x:v>18.2</x:v>
      </x:c>
      <x:c r="U102" s="86">
        <x:v>39.9</x:v>
      </x:c>
      <x:c r="V102" s="53">
        <x:f>S102*T102</x:f>
      </x:c>
    </x:row>
    <x:row r="103" spans="1:31" ht="15" customHeight="1" hidden="1" x14ac:dyDescent="0.3">
      <x:c r="A103" s="85">
        <x:v>6851</x:v>
      </x:c>
      <x:c r="B103" s="85" t="s">
        <x:v>174</x:v>
      </x:c>
      <x:c r="C103" s="85" t="s">
        <x:v>150</x:v>
      </x:c>
      <x:c r="D103" s="89" t="s">
        <x:v>57</x:v>
      </x:c>
      <x:c r="E103" s="73"/>
      <x:c r="F103" s="73"/>
      <x:c r="G103" s="73"/>
      <x:c r="H103" s="73"/>
      <x:c r="I103" s="144"/>
      <x:c r="J103" s="144"/>
      <x:c r="K103" s="144"/>
      <x:c r="L103" s="144"/>
      <x:c r="M103" s="144"/>
      <x:c r="N103" s="144"/>
      <x:c r="O103" s="144"/>
      <x:c r="P103" s="144"/>
      <x:c r="Q103" s="144"/>
      <x:c r="R103" s="144"/>
      <x:c r="S103" s="52">
        <x:f>SUM(E103:R103)</x:f>
      </x:c>
      <x:c r="T103" s="86">
        <x:v>18.2</x:v>
      </x:c>
      <x:c r="U103" s="86">
        <x:v>39.9</x:v>
      </x:c>
      <x:c r="V103" s="53">
        <x:f>S103*T103</x:f>
      </x:c>
    </x:row>
    <x:row r="104" spans="1:31" ht="15" customHeight="1" hidden="1" x14ac:dyDescent="0.3">
      <x:c r="A104" s="87">
        <x:v>6852</x:v>
      </x:c>
      <x:c r="B104" s="87" t="s">
        <x:v>175</x:v>
      </x:c>
      <x:c r="C104" s="85" t="s">
        <x:v>142</x:v>
      </x:c>
      <x:c r="D104" s="72" t="s">
        <x:v>63</x:v>
      </x:c>
      <x:c r="E104" s="73"/>
      <x:c r="F104" s="73"/>
      <x:c r="G104" s="73"/>
      <x:c r="H104" s="73"/>
      <x:c r="I104" s="73"/>
      <x:c r="J104" s="73"/>
      <x:c r="K104" s="73"/>
      <x:c r="L104" s="73"/>
      <x:c r="M104" s="73"/>
      <x:c r="N104" s="73"/>
      <x:c r="O104" s="144"/>
      <x:c r="P104" s="144"/>
      <x:c r="Q104" s="144"/>
      <x:c r="R104" s="144"/>
      <x:c r="S104" s="52">
        <x:f>SUM(E104:R104)</x:f>
      </x:c>
      <x:c r="T104" s="88">
        <x:v>31.8</x:v>
      </x:c>
      <x:c r="U104" s="88">
        <x:v>69.9</x:v>
      </x:c>
      <x:c r="V104" s="53">
        <x:f>S104*T104</x:f>
      </x:c>
    </x:row>
    <x:row r="105" spans="1:31" ht="15" customHeight="1" hidden="1" x14ac:dyDescent="0.3">
      <x:c r="A105" s="87">
        <x:v>6852</x:v>
      </x:c>
      <x:c r="B105" s="87" t="s">
        <x:v>176</x:v>
      </x:c>
      <x:c r="C105" s="85" t="s">
        <x:v>144</x:v>
      </x:c>
      <x:c r="D105" s="73" t="s">
        <x:v>63</x:v>
      </x:c>
      <x:c r="E105" s="73"/>
      <x:c r="F105" s="73"/>
      <x:c r="G105" s="73"/>
      <x:c r="H105" s="73"/>
      <x:c r="I105" s="73"/>
      <x:c r="J105" s="73"/>
      <x:c r="K105" s="73"/>
      <x:c r="L105" s="73"/>
      <x:c r="M105" s="73"/>
      <x:c r="N105" s="73"/>
      <x:c r="O105" s="144"/>
      <x:c r="P105" s="144"/>
      <x:c r="Q105" s="144"/>
      <x:c r="R105" s="144"/>
      <x:c r="S105" s="52">
        <x:f>SUM(E105:R105)</x:f>
      </x:c>
      <x:c r="T105" s="88">
        <x:v>31.8</x:v>
      </x:c>
      <x:c r="U105" s="88">
        <x:v>69.9</x:v>
      </x:c>
      <x:c r="V105" s="53">
        <x:f>S105*T105</x:f>
      </x:c>
    </x:row>
    <x:row r="106" spans="1:31" ht="15" customHeight="1" hidden="1" x14ac:dyDescent="0.3">
      <x:c r="A106" s="87">
        <x:v>6852</x:v>
      </x:c>
      <x:c r="B106" s="87" t="s">
        <x:v>177</x:v>
      </x:c>
      <x:c r="C106" s="85" t="s">
        <x:v>106</x:v>
      </x:c>
      <x:c r="D106" s="73" t="s">
        <x:v>63</x:v>
      </x:c>
      <x:c r="E106" s="73"/>
      <x:c r="F106" s="73"/>
      <x:c r="G106" s="73"/>
      <x:c r="H106" s="73"/>
      <x:c r="I106" s="73"/>
      <x:c r="J106" s="73"/>
      <x:c r="K106" s="73"/>
      <x:c r="L106" s="73"/>
      <x:c r="M106" s="73"/>
      <x:c r="N106" s="73"/>
      <x:c r="O106" s="144"/>
      <x:c r="P106" s="144"/>
      <x:c r="Q106" s="144"/>
      <x:c r="R106" s="144"/>
      <x:c r="S106" s="52">
        <x:f>SUM(E106:R106)</x:f>
      </x:c>
      <x:c r="T106" s="88">
        <x:v>31.8</x:v>
      </x:c>
      <x:c r="U106" s="88">
        <x:v>69.9</x:v>
      </x:c>
      <x:c r="V106" s="53">
        <x:f>S106*T106</x:f>
      </x:c>
    </x:row>
    <x:row r="107" spans="1:31" ht="15" customHeight="1" hidden="1" x14ac:dyDescent="0.3">
      <x:c r="A107" s="87">
        <x:v>6852</x:v>
      </x:c>
      <x:c r="B107" s="87" t="s">
        <x:v>178</x:v>
      </x:c>
      <x:c r="C107" s="85" t="s">
        <x:v>147</x:v>
      </x:c>
      <x:c r="D107" s="73" t="s">
        <x:v>63</x:v>
      </x:c>
      <x:c r="E107" s="73"/>
      <x:c r="F107" s="73"/>
      <x:c r="G107" s="73"/>
      <x:c r="H107" s="73"/>
      <x:c r="I107" s="73"/>
      <x:c r="J107" s="73"/>
      <x:c r="K107" s="73"/>
      <x:c r="L107" s="73"/>
      <x:c r="M107" s="73"/>
      <x:c r="N107" s="73"/>
      <x:c r="O107" s="144"/>
      <x:c r="P107" s="144"/>
      <x:c r="Q107" s="144"/>
      <x:c r="R107" s="144"/>
      <x:c r="S107" s="52">
        <x:f>SUM(E107:R107)</x:f>
      </x:c>
      <x:c r="T107" s="88">
        <x:v>31.8</x:v>
      </x:c>
      <x:c r="U107" s="88">
        <x:v>69.9</x:v>
      </x:c>
      <x:c r="V107" s="53">
        <x:f>S107*T107</x:f>
      </x:c>
    </x:row>
    <x:row r="108" spans="1:31" ht="15" customHeight="1" hidden="1" x14ac:dyDescent="0.3">
      <x:c r="A108" s="87">
        <x:v>6852</x:v>
      </x:c>
      <x:c r="B108" s="87" t="s">
        <x:v>179</x:v>
      </x:c>
      <x:c r="C108" s="87" t="s">
        <x:v>140</x:v>
      </x:c>
      <x:c r="D108" s="73" t="s">
        <x:v>63</x:v>
      </x:c>
      <x:c r="E108" s="73"/>
      <x:c r="F108" s="73"/>
      <x:c r="G108" s="73"/>
      <x:c r="H108" s="73"/>
      <x:c r="I108" s="73"/>
      <x:c r="J108" s="73"/>
      <x:c r="K108" s="73"/>
      <x:c r="L108" s="73"/>
      <x:c r="M108" s="73"/>
      <x:c r="N108" s="73"/>
      <x:c r="O108" s="144"/>
      <x:c r="P108" s="144"/>
      <x:c r="Q108" s="144"/>
      <x:c r="R108" s="144"/>
      <x:c r="S108" s="52">
        <x:f>SUM(E108:R108)</x:f>
      </x:c>
      <x:c r="T108" s="88">
        <x:v>31.8</x:v>
      </x:c>
      <x:c r="U108" s="88">
        <x:v>69.9</x:v>
      </x:c>
      <x:c r="V108" s="53">
        <x:f>S108*T108</x:f>
      </x:c>
    </x:row>
    <x:row r="109" spans="1:31" ht="15" customHeight="1" hidden="1" x14ac:dyDescent="0.3">
      <x:c r="A109" s="87">
        <x:v>6852</x:v>
      </x:c>
      <x:c r="B109" s="87" t="s">
        <x:v>180</x:v>
      </x:c>
      <x:c r="C109" s="85" t="s">
        <x:v>150</x:v>
      </x:c>
      <x:c r="D109" s="73" t="s">
        <x:v>63</x:v>
      </x:c>
      <x:c r="E109" s="73"/>
      <x:c r="F109" s="73"/>
      <x:c r="G109" s="73"/>
      <x:c r="H109" s="73"/>
      <x:c r="I109" s="73"/>
      <x:c r="J109" s="73"/>
      <x:c r="K109" s="73"/>
      <x:c r="L109" s="73"/>
      <x:c r="M109" s="73"/>
      <x:c r="N109" s="73"/>
      <x:c r="O109" s="144"/>
      <x:c r="P109" s="144"/>
      <x:c r="Q109" s="144"/>
      <x:c r="R109" s="144"/>
      <x:c r="S109" s="52">
        <x:f>SUM(E109:R109)</x:f>
      </x:c>
      <x:c r="T109" s="88">
        <x:v>31.8</x:v>
      </x:c>
      <x:c r="U109" s="88">
        <x:v>69.9</x:v>
      </x:c>
      <x:c r="V109" s="53">
        <x:f>S109*T109</x:f>
      </x:c>
    </x:row>
    <x:row r="110" spans="1:31" ht="15" customHeight="1" hidden="1" x14ac:dyDescent="0.3">
      <x:c r="A110" s="85">
        <x:v>6925</x:v>
      </x:c>
      <x:c r="B110" s="85" t="s">
        <x:v>181</x:v>
      </x:c>
      <x:c r="C110" s="85" t="s">
        <x:v>182</x:v>
      </x:c>
      <x:c r="D110" s="73" t="s">
        <x:v>183</x:v>
      </x:c>
      <x:c r="E110" s="144"/>
      <x:c r="F110" s="73"/>
      <x:c r="G110" s="73"/>
      <x:c r="H110" s="73"/>
      <x:c r="I110" s="144"/>
      <x:c r="J110" s="144"/>
      <x:c r="K110" s="144"/>
      <x:c r="L110" s="144"/>
      <x:c r="M110" s="144"/>
      <x:c r="N110" s="144"/>
      <x:c r="O110" s="144"/>
      <x:c r="P110" s="144"/>
      <x:c r="Q110" s="144"/>
      <x:c r="R110" s="144"/>
      <x:c r="S110" s="52">
        <x:f>SUM(E110:R110)</x:f>
      </x:c>
      <x:c r="T110" s="86">
        <x:v>20.9</x:v>
      </x:c>
      <x:c r="U110" s="86">
        <x:v>45.9</x:v>
      </x:c>
      <x:c r="V110" s="53">
        <x:f>S110*T110</x:f>
      </x:c>
      <x:c r="X110" s="55"/>
      <x:c r="Y110" s="93"/>
    </x:row>
    <x:row r="111" spans="1:31" ht="15" customHeight="1" hidden="1" x14ac:dyDescent="0.3">
      <x:c r="A111" s="85">
        <x:v>6925</x:v>
      </x:c>
      <x:c r="B111" s="85" t="s">
        <x:v>184</x:v>
      </x:c>
      <x:c r="C111" s="85" t="s">
        <x:v>185</x:v>
      </x:c>
      <x:c r="D111" s="73" t="s">
        <x:v>183</x:v>
      </x:c>
      <x:c r="E111" s="144"/>
      <x:c r="F111" s="73"/>
      <x:c r="G111" s="73"/>
      <x:c r="H111" s="73"/>
      <x:c r="I111" s="144"/>
      <x:c r="J111" s="144"/>
      <x:c r="K111" s="144"/>
      <x:c r="L111" s="144"/>
      <x:c r="M111" s="144"/>
      <x:c r="N111" s="144"/>
      <x:c r="O111" s="144"/>
      <x:c r="P111" s="144"/>
      <x:c r="Q111" s="144"/>
      <x:c r="R111" s="144"/>
      <x:c r="S111" s="52">
        <x:f>SUM(E111:R111)</x:f>
      </x:c>
      <x:c r="T111" s="86">
        <x:v>20.9</x:v>
      </x:c>
      <x:c r="U111" s="86">
        <x:v>45.9</x:v>
      </x:c>
      <x:c r="V111" s="53">
        <x:f>S111*T111</x:f>
      </x:c>
      <x:c r="X111" s="55"/>
      <x:c r="Y111" s="93"/>
    </x:row>
    <x:row r="112" spans="1:31" ht="15" customHeight="1" hidden="1" x14ac:dyDescent="0.3">
      <x:c r="A112" s="87">
        <x:v>720410</x:v>
      </x:c>
      <x:c r="B112" s="87" t="s">
        <x:v>186</x:v>
      </x:c>
      <x:c r="C112" s="87" t="s">
        <x:v>187</x:v>
      </x:c>
      <x:c r="D112" s="89" t="s">
        <x:v>59</x:v>
      </x:c>
      <x:c r="E112" s="146"/>
      <x:c r="F112" s="146"/>
      <x:c r="G112" s="87"/>
      <x:c r="H112" s="87"/>
      <x:c r="I112" s="87"/>
      <x:c r="J112" s="87"/>
      <x:c r="K112" s="87"/>
      <x:c r="L112" s="87"/>
      <x:c r="M112" s="146"/>
      <x:c r="N112" s="146"/>
      <x:c r="O112" s="147"/>
      <x:c r="P112" s="147"/>
      <x:c r="Q112" s="147"/>
      <x:c r="R112" s="147"/>
      <x:c r="S112" s="107">
        <x:f>SUM(E112:R112)</x:f>
      </x:c>
      <x:c r="T112" s="88">
        <x:v>18.2</x:v>
      </x:c>
      <x:c r="U112" s="88">
        <x:v>39.9</x:v>
      </x:c>
      <x:c r="V112" s="108">
        <x:f>S112*T112</x:f>
      </x:c>
      <x:c r="X112" s="55"/>
      <x:c r="Y112" s="93"/>
    </x:row>
    <x:row r="113" spans="1:31" ht="15" customHeight="1" hidden="1" x14ac:dyDescent="0.3">
      <x:c r="A113" s="87">
        <x:v>720410</x:v>
      </x:c>
      <x:c r="B113" s="87" t="s">
        <x:v>188</x:v>
      </x:c>
      <x:c r="C113" s="87" t="s">
        <x:v>189</x:v>
      </x:c>
      <x:c r="D113" s="89" t="s">
        <x:v>59</x:v>
      </x:c>
      <x:c r="E113" s="146"/>
      <x:c r="F113" s="146"/>
      <x:c r="G113" s="87"/>
      <x:c r="H113" s="87"/>
      <x:c r="I113" s="87"/>
      <x:c r="J113" s="87"/>
      <x:c r="K113" s="87"/>
      <x:c r="L113" s="87"/>
      <x:c r="M113" s="146"/>
      <x:c r="N113" s="146"/>
      <x:c r="O113" s="147"/>
      <x:c r="P113" s="147"/>
      <x:c r="Q113" s="147"/>
      <x:c r="R113" s="147"/>
      <x:c r="S113" s="107">
        <x:f>SUM(E113:R113)</x:f>
      </x:c>
      <x:c r="T113" s="88">
        <x:v>18.2</x:v>
      </x:c>
      <x:c r="U113" s="88">
        <x:v>39.9</x:v>
      </x:c>
      <x:c r="V113" s="108">
        <x:f>S113*T113</x:f>
      </x:c>
      <x:c r="X113" s="55"/>
      <x:c r="Y113" s="93"/>
    </x:row>
    <x:row r="114" spans="1:31" ht="15" customHeight="1" hidden="1" x14ac:dyDescent="0.3">
      <x:c r="A114" s="87">
        <x:v>720410</x:v>
      </x:c>
      <x:c r="B114" s="87" t="s">
        <x:v>190</x:v>
      </x:c>
      <x:c r="C114" s="87" t="s">
        <x:v>191</x:v>
      </x:c>
      <x:c r="D114" s="89" t="s">
        <x:v>59</x:v>
      </x:c>
      <x:c r="E114" s="146"/>
      <x:c r="F114" s="146"/>
      <x:c r="G114" s="87"/>
      <x:c r="H114" s="87"/>
      <x:c r="I114" s="87"/>
      <x:c r="J114" s="87"/>
      <x:c r="K114" s="87"/>
      <x:c r="L114" s="87"/>
      <x:c r="M114" s="146"/>
      <x:c r="N114" s="146"/>
      <x:c r="O114" s="147"/>
      <x:c r="P114" s="147"/>
      <x:c r="Q114" s="147"/>
      <x:c r="R114" s="147"/>
      <x:c r="S114" s="107">
        <x:f>SUM(E114:R114)</x:f>
      </x:c>
      <x:c r="T114" s="88">
        <x:v>18.2</x:v>
      </x:c>
      <x:c r="U114" s="88">
        <x:v>39.9</x:v>
      </x:c>
      <x:c r="V114" s="108">
        <x:f>S114*T114</x:f>
      </x:c>
    </x:row>
    <x:row r="115" spans="1:31" ht="15" customHeight="1" hidden="1" x14ac:dyDescent="0.3">
      <x:c r="A115" s="87">
        <x:v>720410</x:v>
      </x:c>
      <x:c r="B115" s="87" t="s">
        <x:v>192</x:v>
      </x:c>
      <x:c r="C115" s="87" t="s">
        <x:v>193</x:v>
      </x:c>
      <x:c r="D115" s="89" t="s">
        <x:v>59</x:v>
      </x:c>
      <x:c r="E115" s="146"/>
      <x:c r="F115" s="146"/>
      <x:c r="G115" s="87"/>
      <x:c r="H115" s="87"/>
      <x:c r="I115" s="87"/>
      <x:c r="J115" s="87"/>
      <x:c r="K115" s="87"/>
      <x:c r="L115" s="87"/>
      <x:c r="M115" s="146"/>
      <x:c r="N115" s="146"/>
      <x:c r="O115" s="147"/>
      <x:c r="P115" s="147"/>
      <x:c r="Q115" s="147"/>
      <x:c r="R115" s="147"/>
      <x:c r="S115" s="107">
        <x:f>SUM(E115:R115)</x:f>
      </x:c>
      <x:c r="T115" s="88">
        <x:v>18.2</x:v>
      </x:c>
      <x:c r="U115" s="88">
        <x:v>39.9</x:v>
      </x:c>
      <x:c r="V115" s="108">
        <x:f>S115*T115</x:f>
      </x:c>
    </x:row>
    <x:row r="116" spans="1:31" ht="15" customHeight="1" hidden="1" x14ac:dyDescent="0.3">
      <x:c r="A116" s="87">
        <x:v>720410</x:v>
      </x:c>
      <x:c r="B116" s="87" t="s">
        <x:v>194</x:v>
      </x:c>
      <x:c r="C116" s="87" t="s">
        <x:v>195</x:v>
      </x:c>
      <x:c r="D116" s="89" t="s">
        <x:v>59</x:v>
      </x:c>
      <x:c r="E116" s="146"/>
      <x:c r="F116" s="146"/>
      <x:c r="G116" s="87"/>
      <x:c r="H116" s="87"/>
      <x:c r="I116" s="87"/>
      <x:c r="J116" s="87"/>
      <x:c r="K116" s="87"/>
      <x:c r="L116" s="87"/>
      <x:c r="M116" s="146"/>
      <x:c r="N116" s="146"/>
      <x:c r="O116" s="147"/>
      <x:c r="P116" s="147"/>
      <x:c r="Q116" s="147"/>
      <x:c r="R116" s="147"/>
      <x:c r="S116" s="107">
        <x:f>SUM(E116:R116)</x:f>
      </x:c>
      <x:c r="T116" s="88">
        <x:v>18.2</x:v>
      </x:c>
      <x:c r="U116" s="88">
        <x:v>39.9</x:v>
      </x:c>
      <x:c r="V116" s="108">
        <x:f>S116*T116</x:f>
      </x:c>
    </x:row>
    <x:row r="117" spans="1:31" ht="15" customHeight="1" hidden="1" x14ac:dyDescent="0.3">
      <x:c r="A117" s="87">
        <x:v>720410</x:v>
      </x:c>
      <x:c r="B117" s="87" t="s">
        <x:v>196</x:v>
      </x:c>
      <x:c r="C117" s="87" t="s">
        <x:v>197</x:v>
      </x:c>
      <x:c r="D117" s="89" t="s">
        <x:v>59</x:v>
      </x:c>
      <x:c r="E117" s="146"/>
      <x:c r="F117" s="146"/>
      <x:c r="G117" s="87"/>
      <x:c r="H117" s="87"/>
      <x:c r="I117" s="87"/>
      <x:c r="J117" s="87"/>
      <x:c r="K117" s="87"/>
      <x:c r="L117" s="87"/>
      <x:c r="M117" s="146"/>
      <x:c r="N117" s="146"/>
      <x:c r="O117" s="147"/>
      <x:c r="P117" s="147"/>
      <x:c r="Q117" s="147"/>
      <x:c r="R117" s="147"/>
      <x:c r="S117" s="107">
        <x:f>SUM(E117:R117)</x:f>
      </x:c>
      <x:c r="T117" s="88">
        <x:v>18.2</x:v>
      </x:c>
      <x:c r="U117" s="88">
        <x:v>39.9</x:v>
      </x:c>
      <x:c r="V117" s="108">
        <x:f>S117*T117</x:f>
      </x:c>
    </x:row>
    <x:row r="118" spans="1:31" ht="15" customHeight="1" hidden="1" x14ac:dyDescent="0.3">
      <x:c r="A118" s="87">
        <x:v>720412</x:v>
      </x:c>
      <x:c r="B118" s="87" t="s">
        <x:v>198</x:v>
      </x:c>
      <x:c r="C118" s="87" t="s">
        <x:v>182</x:v>
      </x:c>
      <x:c r="D118" s="89" t="s">
        <x:v>59</x:v>
      </x:c>
      <x:c r="E118" s="146"/>
      <x:c r="F118" s="146"/>
      <x:c r="G118" s="87"/>
      <x:c r="H118" s="87"/>
      <x:c r="I118" s="87"/>
      <x:c r="J118" s="87"/>
      <x:c r="K118" s="87"/>
      <x:c r="L118" s="87"/>
      <x:c r="M118" s="146"/>
      <x:c r="N118" s="146"/>
      <x:c r="O118" s="147"/>
      <x:c r="P118" s="147"/>
      <x:c r="Q118" s="147"/>
      <x:c r="R118" s="147"/>
      <x:c r="S118" s="107">
        <x:f>SUM(E118:R118)</x:f>
      </x:c>
      <x:c r="T118" s="88">
        <x:v>18.2</x:v>
      </x:c>
      <x:c r="U118" s="88">
        <x:v>39.9</x:v>
      </x:c>
      <x:c r="V118" s="108">
        <x:f>S118*T118</x:f>
      </x:c>
    </x:row>
    <x:row r="119" spans="1:31" ht="15" customHeight="1" hidden="1" x14ac:dyDescent="0.3">
      <x:c r="A119" s="87">
        <x:v>720412</x:v>
      </x:c>
      <x:c r="B119" s="87" t="s">
        <x:v>199</x:v>
      </x:c>
      <x:c r="C119" s="87" t="s">
        <x:v>197</x:v>
      </x:c>
      <x:c r="D119" s="89" t="s">
        <x:v>59</x:v>
      </x:c>
      <x:c r="E119" s="146"/>
      <x:c r="F119" s="146"/>
      <x:c r="G119" s="87"/>
      <x:c r="H119" s="87"/>
      <x:c r="I119" s="87"/>
      <x:c r="J119" s="87"/>
      <x:c r="K119" s="87"/>
      <x:c r="L119" s="87"/>
      <x:c r="M119" s="146"/>
      <x:c r="N119" s="146"/>
      <x:c r="O119" s="147"/>
      <x:c r="P119" s="147"/>
      <x:c r="Q119" s="147"/>
      <x:c r="R119" s="147"/>
      <x:c r="S119" s="107">
        <x:f>SUM(E119:R119)</x:f>
      </x:c>
      <x:c r="T119" s="88">
        <x:v>18.2</x:v>
      </x:c>
      <x:c r="U119" s="88">
        <x:v>39.9</x:v>
      </x:c>
      <x:c r="V119" s="108">
        <x:f>S119*T119</x:f>
      </x:c>
    </x:row>
    <x:row r="120" spans="1:31" ht="15" customHeight="1" hidden="1" x14ac:dyDescent="0.3">
      <x:c r="A120" s="87">
        <x:v>720414</x:v>
      </x:c>
      <x:c r="B120" s="87" t="s">
        <x:v>200</x:v>
      </x:c>
      <x:c r="C120" s="87" t="s">
        <x:v>187</x:v>
      </x:c>
      <x:c r="D120" s="89" t="s">
        <x:v>59</x:v>
      </x:c>
      <x:c r="E120" s="146"/>
      <x:c r="F120" s="87"/>
      <x:c r="G120" s="87"/>
      <x:c r="H120" s="87"/>
      <x:c r="I120" s="87"/>
      <x:c r="J120" s="87"/>
      <x:c r="K120" s="87"/>
      <x:c r="L120" s="87"/>
      <x:c r="M120" s="146"/>
      <x:c r="N120" s="146"/>
      <x:c r="O120" s="147"/>
      <x:c r="P120" s="147"/>
      <x:c r="Q120" s="147"/>
      <x:c r="R120" s="147"/>
      <x:c r="S120" s="107">
        <x:f>SUM(E120:R120)</x:f>
      </x:c>
      <x:c r="T120" s="88">
        <x:v>13.6</x:v>
      </x:c>
      <x:c r="U120" s="88">
        <x:v>29.9</x:v>
      </x:c>
      <x:c r="V120" s="108">
        <x:f>S120*T120</x:f>
      </x:c>
    </x:row>
    <x:row r="121" spans="1:31" ht="15" customHeight="1" hidden="1" x14ac:dyDescent="0.3">
      <x:c r="A121" s="87">
        <x:v>720414</x:v>
      </x:c>
      <x:c r="B121" s="87" t="s">
        <x:v>201</x:v>
      </x:c>
      <x:c r="C121" s="87" t="s">
        <x:v>191</x:v>
      </x:c>
      <x:c r="D121" s="89" t="s">
        <x:v>59</x:v>
      </x:c>
      <x:c r="E121" s="146"/>
      <x:c r="F121" s="87"/>
      <x:c r="G121" s="87"/>
      <x:c r="H121" s="87"/>
      <x:c r="I121" s="87"/>
      <x:c r="J121" s="87"/>
      <x:c r="K121" s="87"/>
      <x:c r="L121" s="87"/>
      <x:c r="M121" s="146"/>
      <x:c r="N121" s="146"/>
      <x:c r="O121" s="147"/>
      <x:c r="P121" s="147"/>
      <x:c r="Q121" s="147"/>
      <x:c r="R121" s="147"/>
      <x:c r="S121" s="107">
        <x:f>SUM(E121:R121)</x:f>
      </x:c>
      <x:c r="T121" s="88">
        <x:v>13.6</x:v>
      </x:c>
      <x:c r="U121" s="88">
        <x:v>29.9</x:v>
      </x:c>
      <x:c r="V121" s="108">
        <x:f>S121*T121</x:f>
      </x:c>
    </x:row>
    <x:row r="122" spans="1:31" ht="15" customHeight="1" hidden="1" x14ac:dyDescent="0.3">
      <x:c r="A122" s="87">
        <x:v>720414</x:v>
      </x:c>
      <x:c r="B122" s="87" t="s">
        <x:v>202</x:v>
      </x:c>
      <x:c r="C122" s="87" t="s">
        <x:v>195</x:v>
      </x:c>
      <x:c r="D122" s="89" t="s">
        <x:v>59</x:v>
      </x:c>
      <x:c r="E122" s="146"/>
      <x:c r="F122" s="87"/>
      <x:c r="G122" s="87"/>
      <x:c r="H122" s="87"/>
      <x:c r="I122" s="87"/>
      <x:c r="J122" s="87"/>
      <x:c r="K122" s="87"/>
      <x:c r="L122" s="87"/>
      <x:c r="M122" s="146"/>
      <x:c r="N122" s="146"/>
      <x:c r="O122" s="147"/>
      <x:c r="P122" s="147"/>
      <x:c r="Q122" s="147"/>
      <x:c r="R122" s="147"/>
      <x:c r="S122" s="107">
        <x:f>SUM(E122:R122)</x:f>
      </x:c>
      <x:c r="T122" s="88">
        <x:v>13.6</x:v>
      </x:c>
      <x:c r="U122" s="88">
        <x:v>29.9</x:v>
      </x:c>
      <x:c r="V122" s="108">
        <x:f>S122*T122</x:f>
      </x:c>
    </x:row>
    <x:row r="123" spans="1:31" ht="15" customHeight="1" hidden="1" x14ac:dyDescent="0.3">
      <x:c r="A123" s="87">
        <x:v>720414</x:v>
      </x:c>
      <x:c r="B123" s="87" t="s">
        <x:v>203</x:v>
      </x:c>
      <x:c r="C123" s="87" t="s">
        <x:v>197</x:v>
      </x:c>
      <x:c r="D123" s="89" t="s">
        <x:v>59</x:v>
      </x:c>
      <x:c r="E123" s="146"/>
      <x:c r="F123" s="87"/>
      <x:c r="G123" s="87"/>
      <x:c r="H123" s="87"/>
      <x:c r="I123" s="87"/>
      <x:c r="J123" s="87"/>
      <x:c r="K123" s="87"/>
      <x:c r="L123" s="87"/>
      <x:c r="M123" s="146"/>
      <x:c r="N123" s="146"/>
      <x:c r="O123" s="147"/>
      <x:c r="P123" s="147"/>
      <x:c r="Q123" s="147"/>
      <x:c r="R123" s="147"/>
      <x:c r="S123" s="107">
        <x:f>SUM(E123:R123)</x:f>
      </x:c>
      <x:c r="T123" s="88">
        <x:v>13.6</x:v>
      </x:c>
      <x:c r="U123" s="88">
        <x:v>29.9</x:v>
      </x:c>
      <x:c r="V123" s="108">
        <x:f>S123*T123</x:f>
      </x:c>
    </x:row>
    <x:row r="124" spans="1:31" ht="15" customHeight="1" x14ac:dyDescent="0.3">
      <x:c r="A124" s="87">
        <x:v>1234</x:v>
      </x:c>
      <x:c r="B124" s="87" t="s">
        <x:v>204</x:v>
      </x:c>
      <x:c r="C124" s="87" t="s">
        <x:v>187</x:v>
      </x:c>
      <x:c r="D124" s="89" t="s">
        <x:v>59</x:v>
      </x:c>
      <x:c r="E124" s="148"/>
      <x:c r="F124" s="148"/>
      <x:c r="G124" s="107">
        <x:v>1</x:v>
      </x:c>
      <x:c r="H124" s="107">
        <x:v>1</x:v>
      </x:c>
      <x:c r="I124" s="107">
        <x:v>1</x:v>
      </x:c>
      <x:c r="J124" s="107">
        <x:v>1</x:v>
      </x:c>
      <x:c r="K124" s="107"/>
      <x:c r="L124" s="107"/>
      <x:c r="M124" s="148"/>
      <x:c r="N124" s="148"/>
      <x:c r="O124" s="148"/>
      <x:c r="P124" s="148"/>
      <x:c r="Q124" s="148"/>
      <x:c r="R124" s="148"/>
      <x:c r="S124" s="107">
        <x:f>SUM(E124:R124)</x:f>
      </x:c>
      <x:c r="T124" s="88">
        <x:v>18.2</x:v>
      </x:c>
      <x:c r="U124" s="88">
        <x:v>39.9</x:v>
      </x:c>
      <x:c r="V124" s="108">
        <x:f>S124*T124</x:f>
      </x:c>
    </x:row>
    <x:row r="125" spans="1:31" ht="15" customHeight="1" hidden="1" x14ac:dyDescent="0.3">
      <x:c r="A125" s="87">
        <x:v>720419</x:v>
      </x:c>
      <x:c r="B125" s="87" t="s">
        <x:v>205</x:v>
      </x:c>
      <x:c r="C125" s="87" t="s">
        <x:v>187</x:v>
      </x:c>
      <x:c r="D125" s="89" t="s">
        <x:v>59</x:v>
      </x:c>
      <x:c r="E125" s="146"/>
      <x:c r="F125" s="87"/>
      <x:c r="G125" s="87"/>
      <x:c r="H125" s="87"/>
      <x:c r="I125" s="87"/>
      <x:c r="J125" s="87"/>
      <x:c r="K125" s="87"/>
      <x:c r="L125" s="87"/>
      <x:c r="M125" s="146"/>
      <x:c r="N125" s="146"/>
      <x:c r="O125" s="147"/>
      <x:c r="P125" s="147"/>
      <x:c r="Q125" s="147"/>
      <x:c r="R125" s="147"/>
      <x:c r="S125" s="107">
        <x:f>SUM(E125:R125)</x:f>
      </x:c>
      <x:c r="T125" s="88">
        <x:v>18.2</x:v>
      </x:c>
      <x:c r="U125" s="88">
        <x:v>39.9</x:v>
      </x:c>
      <x:c r="V125" s="108">
        <x:f>S125*T125</x:f>
      </x:c>
    </x:row>
    <x:row r="126" spans="1:31" ht="15" customHeight="1" hidden="1" x14ac:dyDescent="0.3">
      <x:c r="A126" s="87">
        <x:v>720419</x:v>
      </x:c>
      <x:c r="B126" s="87" t="s">
        <x:v>206</x:v>
      </x:c>
      <x:c r="C126" s="87" t="s">
        <x:v>191</x:v>
      </x:c>
      <x:c r="D126" s="89" t="s">
        <x:v>59</x:v>
      </x:c>
      <x:c r="E126" s="146"/>
      <x:c r="F126" s="87"/>
      <x:c r="G126" s="87"/>
      <x:c r="H126" s="87"/>
      <x:c r="I126" s="87"/>
      <x:c r="J126" s="87"/>
      <x:c r="K126" s="87"/>
      <x:c r="L126" s="87"/>
      <x:c r="M126" s="146"/>
      <x:c r="N126" s="146"/>
      <x:c r="O126" s="147"/>
      <x:c r="P126" s="147"/>
      <x:c r="Q126" s="147"/>
      <x:c r="R126" s="147"/>
      <x:c r="S126" s="107">
        <x:f>SUM(E126:R126)</x:f>
      </x:c>
      <x:c r="T126" s="88">
        <x:v>18.2</x:v>
      </x:c>
      <x:c r="U126" s="88">
        <x:v>39.9</x:v>
      </x:c>
      <x:c r="V126" s="108">
        <x:f>S126*T126</x:f>
      </x:c>
    </x:row>
    <x:row r="127" spans="1:31" ht="15" customHeight="1" hidden="1" x14ac:dyDescent="0.3">
      <x:c r="A127" s="87">
        <x:v>720419</x:v>
      </x:c>
      <x:c r="B127" s="87" t="s">
        <x:v>207</x:v>
      </x:c>
      <x:c r="C127" s="87" t="s">
        <x:v>195</x:v>
      </x:c>
      <x:c r="D127" s="89" t="s">
        <x:v>59</x:v>
      </x:c>
      <x:c r="E127" s="146"/>
      <x:c r="F127" s="87"/>
      <x:c r="G127" s="87"/>
      <x:c r="H127" s="87"/>
      <x:c r="I127" s="87"/>
      <x:c r="J127" s="87"/>
      <x:c r="K127" s="87"/>
      <x:c r="L127" s="87"/>
      <x:c r="M127" s="146"/>
      <x:c r="N127" s="146"/>
      <x:c r="O127" s="147"/>
      <x:c r="P127" s="147"/>
      <x:c r="Q127" s="147"/>
      <x:c r="R127" s="147"/>
      <x:c r="S127" s="107">
        <x:f>SUM(E127:R127)</x:f>
      </x:c>
      <x:c r="T127" s="88">
        <x:v>18.2</x:v>
      </x:c>
      <x:c r="U127" s="88">
        <x:v>39.9</x:v>
      </x:c>
      <x:c r="V127" s="108">
        <x:f>S127*T127</x:f>
      </x:c>
    </x:row>
    <x:row r="128" spans="1:31" ht="15" customHeight="1" hidden="1" x14ac:dyDescent="0.3">
      <x:c r="A128" s="87">
        <x:v>720419</x:v>
      </x:c>
      <x:c r="B128" s="87" t="s">
        <x:v>208</x:v>
      </x:c>
      <x:c r="C128" s="87" t="s">
        <x:v>197</x:v>
      </x:c>
      <x:c r="D128" s="89" t="s">
        <x:v>59</x:v>
      </x:c>
      <x:c r="E128" s="146"/>
      <x:c r="F128" s="87"/>
      <x:c r="G128" s="87"/>
      <x:c r="H128" s="87"/>
      <x:c r="I128" s="87"/>
      <x:c r="J128" s="87"/>
      <x:c r="K128" s="87"/>
      <x:c r="L128" s="87"/>
      <x:c r="M128" s="146"/>
      <x:c r="N128" s="146"/>
      <x:c r="O128" s="147"/>
      <x:c r="P128" s="147"/>
      <x:c r="Q128" s="147"/>
      <x:c r="R128" s="147"/>
      <x:c r="S128" s="107">
        <x:f>SUM(E128:R128)</x:f>
      </x:c>
      <x:c r="T128" s="88">
        <x:v>18.2</x:v>
      </x:c>
      <x:c r="U128" s="88">
        <x:v>39.9</x:v>
      </x:c>
      <x:c r="V128" s="108">
        <x:f>S128*T128</x:f>
      </x:c>
    </x:row>
    <x:row r="129" spans="1:31" ht="15" customHeight="1" hidden="1" x14ac:dyDescent="0.3">
      <x:c r="A129" s="87">
        <x:v>720421</x:v>
      </x:c>
      <x:c r="B129" s="87" t="s">
        <x:v>209</x:v>
      </x:c>
      <x:c r="C129" s="87" t="s">
        <x:v>187</x:v>
      </x:c>
      <x:c r="D129" s="89" t="s">
        <x:v>59</x:v>
      </x:c>
      <x:c r="E129" s="146"/>
      <x:c r="F129" s="87"/>
      <x:c r="G129" s="87"/>
      <x:c r="H129" s="87"/>
      <x:c r="I129" s="87"/>
      <x:c r="J129" s="87"/>
      <x:c r="K129" s="87"/>
      <x:c r="L129" s="87"/>
      <x:c r="M129" s="146"/>
      <x:c r="N129" s="146"/>
      <x:c r="O129" s="147"/>
      <x:c r="P129" s="147"/>
      <x:c r="Q129" s="147"/>
      <x:c r="R129" s="147"/>
      <x:c r="S129" s="107">
        <x:f>SUM(E129:R129)</x:f>
      </x:c>
      <x:c r="T129" s="88">
        <x:v>10.9</x:v>
      </x:c>
      <x:c r="U129" s="88">
        <x:v>23.9</x:v>
      </x:c>
      <x:c r="V129" s="108">
        <x:f>S129*T129</x:f>
      </x:c>
    </x:row>
    <x:row r="130" spans="1:31" ht="15" customHeight="1" hidden="1" x14ac:dyDescent="0.3">
      <x:c r="A130" s="87">
        <x:v>720421</x:v>
      </x:c>
      <x:c r="B130" s="87" t="s">
        <x:v>210</x:v>
      </x:c>
      <x:c r="C130" s="87" t="s">
        <x:v>191</x:v>
      </x:c>
      <x:c r="D130" s="89" t="s">
        <x:v>59</x:v>
      </x:c>
      <x:c r="E130" s="146"/>
      <x:c r="F130" s="87"/>
      <x:c r="G130" s="87"/>
      <x:c r="H130" s="87"/>
      <x:c r="I130" s="87"/>
      <x:c r="J130" s="87"/>
      <x:c r="K130" s="87"/>
      <x:c r="L130" s="87"/>
      <x:c r="M130" s="146"/>
      <x:c r="N130" s="146"/>
      <x:c r="O130" s="147"/>
      <x:c r="P130" s="147"/>
      <x:c r="Q130" s="147"/>
      <x:c r="R130" s="147"/>
      <x:c r="S130" s="107">
        <x:f>SUM(E130:R130)</x:f>
      </x:c>
      <x:c r="T130" s="88">
        <x:v>10.9</x:v>
      </x:c>
      <x:c r="U130" s="88">
        <x:v>23.9</x:v>
      </x:c>
      <x:c r="V130" s="108">
        <x:f>S130*T130</x:f>
      </x:c>
    </x:row>
    <x:row r="131" spans="1:31" ht="15" customHeight="1" hidden="1" x14ac:dyDescent="0.3">
      <x:c r="A131" s="87">
        <x:v>720421</x:v>
      </x:c>
      <x:c r="B131" s="87" t="s">
        <x:v>211</x:v>
      </x:c>
      <x:c r="C131" s="87" t="s">
        <x:v>195</x:v>
      </x:c>
      <x:c r="D131" s="89" t="s">
        <x:v>59</x:v>
      </x:c>
      <x:c r="E131" s="146"/>
      <x:c r="F131" s="87"/>
      <x:c r="G131" s="87"/>
      <x:c r="H131" s="87"/>
      <x:c r="I131" s="87"/>
      <x:c r="J131" s="87"/>
      <x:c r="K131" s="87"/>
      <x:c r="L131" s="87"/>
      <x:c r="M131" s="146"/>
      <x:c r="N131" s="146"/>
      <x:c r="O131" s="147"/>
      <x:c r="P131" s="147"/>
      <x:c r="Q131" s="147"/>
      <x:c r="R131" s="147"/>
      <x:c r="S131" s="107">
        <x:f>SUM(E131:R131)</x:f>
      </x:c>
      <x:c r="T131" s="88">
        <x:v>10.9</x:v>
      </x:c>
      <x:c r="U131" s="88">
        <x:v>23.9</x:v>
      </x:c>
      <x:c r="V131" s="108">
        <x:f>S131*T131</x:f>
      </x:c>
    </x:row>
    <x:row r="132" spans="1:31" ht="15" customHeight="1" hidden="1" x14ac:dyDescent="0.3">
      <x:c r="A132" s="87">
        <x:v>720421</x:v>
      </x:c>
      <x:c r="B132" s="87" t="s">
        <x:v>212</x:v>
      </x:c>
      <x:c r="C132" s="87" t="s">
        <x:v>197</x:v>
      </x:c>
      <x:c r="D132" s="89" t="s">
        <x:v>59</x:v>
      </x:c>
      <x:c r="E132" s="146"/>
      <x:c r="F132" s="87"/>
      <x:c r="G132" s="87"/>
      <x:c r="H132" s="87"/>
      <x:c r="I132" s="87"/>
      <x:c r="J132" s="87"/>
      <x:c r="K132" s="87"/>
      <x:c r="L132" s="87"/>
      <x:c r="M132" s="146"/>
      <x:c r="N132" s="146"/>
      <x:c r="O132" s="147"/>
      <x:c r="P132" s="147"/>
      <x:c r="Q132" s="147"/>
      <x:c r="R132" s="147"/>
      <x:c r="S132" s="107">
        <x:f>SUM(E132:R132)</x:f>
      </x:c>
      <x:c r="T132" s="88">
        <x:v>10.9</x:v>
      </x:c>
      <x:c r="U132" s="88">
        <x:v>23.9</x:v>
      </x:c>
      <x:c r="V132" s="108">
        <x:f>S132*T132</x:f>
      </x:c>
    </x:row>
    <x:row r="133" spans="1:31" ht="15" customHeight="1" hidden="1" x14ac:dyDescent="0.3">
      <x:c r="A133" s="87">
        <x:v>720423</x:v>
      </x:c>
      <x:c r="B133" s="87" t="s">
        <x:v>213</x:v>
      </x:c>
      <x:c r="C133" s="87" t="s">
        <x:v>182</x:v>
      </x:c>
      <x:c r="D133" s="89" t="s">
        <x:v>59</x:v>
      </x:c>
      <x:c r="E133" s="146"/>
      <x:c r="F133" s="87"/>
      <x:c r="G133" s="87"/>
      <x:c r="H133" s="87"/>
      <x:c r="I133" s="87"/>
      <x:c r="J133" s="87"/>
      <x:c r="K133" s="87"/>
      <x:c r="L133" s="87"/>
      <x:c r="M133" s="146"/>
      <x:c r="N133" s="146"/>
      <x:c r="O133" s="147"/>
      <x:c r="P133" s="147"/>
      <x:c r="Q133" s="147"/>
      <x:c r="R133" s="147"/>
      <x:c r="S133" s="107">
        <x:f>SUM(E133:R133)</x:f>
      </x:c>
      <x:c r="T133" s="88">
        <x:v>10.9</x:v>
      </x:c>
      <x:c r="U133" s="88">
        <x:v>23.9</x:v>
      </x:c>
      <x:c r="V133" s="108">
        <x:f>S133*T133</x:f>
      </x:c>
    </x:row>
    <x:row r="134" spans="1:31" ht="15" customHeight="1" hidden="1" x14ac:dyDescent="0.3">
      <x:c r="A134" s="87">
        <x:v>720423</x:v>
      </x:c>
      <x:c r="B134" s="87" t="s">
        <x:v>214</x:v>
      </x:c>
      <x:c r="C134" s="87" t="s">
        <x:v>197</x:v>
      </x:c>
      <x:c r="D134" s="89" t="s">
        <x:v>59</x:v>
      </x:c>
      <x:c r="E134" s="146"/>
      <x:c r="F134" s="87"/>
      <x:c r="G134" s="87"/>
      <x:c r="H134" s="87"/>
      <x:c r="I134" s="87"/>
      <x:c r="J134" s="87"/>
      <x:c r="K134" s="87"/>
      <x:c r="L134" s="87"/>
      <x:c r="M134" s="146"/>
      <x:c r="N134" s="146"/>
      <x:c r="O134" s="147"/>
      <x:c r="P134" s="147"/>
      <x:c r="Q134" s="147"/>
      <x:c r="R134" s="147"/>
      <x:c r="S134" s="107">
        <x:f>SUM(E134:R134)</x:f>
      </x:c>
      <x:c r="T134" s="88">
        <x:v>10.9</x:v>
      </x:c>
      <x:c r="U134" s="88">
        <x:v>23.9</x:v>
      </x:c>
      <x:c r="V134" s="108">
        <x:f>S134*T134</x:f>
      </x:c>
    </x:row>
    <x:row r="135" spans="1:31" ht="15" customHeight="1" x14ac:dyDescent="0.3">
      <x:c r="A135" s="87"/>
      <x:c r="B135" s="87"/>
      <x:c r="C135" s="87"/>
      <x:c r="D135" s="89"/>
      <x:c r="E135" s="148"/>
      <x:c r="F135" s="107"/>
      <x:c r="G135" s="107"/>
      <x:c r="H135" s="107"/>
      <x:c r="I135" s="107"/>
      <x:c r="J135" s="107"/>
      <x:c r="K135" s="107"/>
      <x:c r="L135" s="148"/>
      <x:c r="M135" s="148"/>
      <x:c r="N135" s="148"/>
      <x:c r="O135" s="148"/>
      <x:c r="P135" s="148"/>
      <x:c r="Q135" s="148"/>
      <x:c r="R135" s="148"/>
      <x:c r="S135" s="107"/>
      <x:c r="T135" s="88"/>
      <x:c r="U135" s="88"/>
      <x:c r="V135" s="108"/>
    </x:row>
    <x:row r="136" spans="1:31" ht="15" customHeight="1" x14ac:dyDescent="0.3">
      <x:c r="A136" s="87"/>
      <x:c r="B136" s="87"/>
      <x:c r="C136" s="87"/>
      <x:c r="D136" s="89"/>
      <x:c r="E136" s="148"/>
      <x:c r="F136" s="107"/>
      <x:c r="G136" s="107"/>
      <x:c r="H136" s="107"/>
      <x:c r="I136" s="107"/>
      <x:c r="J136" s="107"/>
      <x:c r="K136" s="107"/>
      <x:c r="L136" s="148"/>
      <x:c r="M136" s="148"/>
      <x:c r="N136" s="148"/>
      <x:c r="O136" s="148"/>
      <x:c r="P136" s="148"/>
      <x:c r="Q136" s="148"/>
      <x:c r="R136" s="148"/>
      <x:c r="S136" s="107"/>
      <x:c r="T136" s="88"/>
      <x:c r="U136" s="88"/>
      <x:c r="V136" s="108"/>
    </x:row>
    <x:row r="137" spans="1:31" ht="15" customHeight="1" x14ac:dyDescent="0.3">
      <x:c r="A137" s="87"/>
      <x:c r="B137" s="87"/>
      <x:c r="C137" s="87"/>
      <x:c r="D137" s="89"/>
      <x:c r="E137" s="148"/>
      <x:c r="F137" s="107"/>
      <x:c r="G137" s="107"/>
      <x:c r="H137" s="107"/>
      <x:c r="I137" s="107"/>
      <x:c r="J137" s="107"/>
      <x:c r="K137" s="107"/>
      <x:c r="L137" s="148"/>
      <x:c r="M137" s="148"/>
      <x:c r="N137" s="148"/>
      <x:c r="O137" s="148"/>
      <x:c r="P137" s="148"/>
      <x:c r="Q137" s="148"/>
      <x:c r="R137" s="148"/>
      <x:c r="S137" s="107"/>
      <x:c r="T137" s="88"/>
      <x:c r="U137" s="88"/>
      <x:c r="V137" s="108"/>
    </x:row>
    <x:row r="138" spans="1:31" ht="15" customHeight="1" x14ac:dyDescent="0.3">
      <x:c r="A138" s="87"/>
      <x:c r="B138" s="87"/>
      <x:c r="C138" s="87"/>
      <x:c r="D138" s="89"/>
      <x:c r="E138" s="148"/>
      <x:c r="F138" s="107"/>
      <x:c r="G138" s="107"/>
      <x:c r="H138" s="107"/>
      <x:c r="I138" s="107"/>
      <x:c r="J138" s="107"/>
      <x:c r="K138" s="107"/>
      <x:c r="L138" s="148"/>
      <x:c r="M138" s="148"/>
      <x:c r="N138" s="148"/>
      <x:c r="O138" s="148"/>
      <x:c r="P138" s="148"/>
      <x:c r="Q138" s="148"/>
      <x:c r="R138" s="148"/>
      <x:c r="S138" s="107"/>
      <x:c r="T138" s="88"/>
      <x:c r="U138" s="88"/>
      <x:c r="V138" s="108"/>
    </x:row>
    <x:row r="139" spans="1:31" ht="15" customHeight="1" hidden="1" x14ac:dyDescent="0.3">
      <x:c r="A139" s="87">
        <x:v>720432</x:v>
      </x:c>
      <x:c r="B139" s="87" t="s">
        <x:v>215</x:v>
      </x:c>
      <x:c r="C139" s="87" t="s">
        <x:v>187</x:v>
      </x:c>
      <x:c r="D139" s="89" t="s">
        <x:v>59</x:v>
      </x:c>
      <x:c r="E139" s="87"/>
      <x:c r="F139" s="87"/>
      <x:c r="G139" s="87"/>
      <x:c r="H139" s="87"/>
      <x:c r="I139" s="87"/>
      <x:c r="J139" s="87"/>
      <x:c r="K139" s="87"/>
      <x:c r="L139" s="146"/>
      <x:c r="M139" s="146"/>
      <x:c r="N139" s="146"/>
      <x:c r="O139" s="147"/>
      <x:c r="P139" s="147"/>
      <x:c r="Q139" s="147"/>
      <x:c r="R139" s="147"/>
      <x:c r="S139" s="107">
        <x:f>SUM(E139:R139)</x:f>
      </x:c>
      <x:c r="T139" s="88">
        <x:v>11.8</x:v>
      </x:c>
      <x:c r="U139" s="88">
        <x:v>25.9</x:v>
      </x:c>
      <x:c r="V139" s="108">
        <x:f>S139*T139</x:f>
      </x:c>
    </x:row>
    <x:row r="140" spans="1:31" ht="15" customHeight="1" hidden="1" x14ac:dyDescent="0.3">
      <x:c r="A140" s="87">
        <x:v>720433</x:v>
      </x:c>
      <x:c r="B140" s="87" t="s">
        <x:v>216</x:v>
      </x:c>
      <x:c r="C140" s="87" t="s">
        <x:v>197</x:v>
      </x:c>
      <x:c r="D140" s="89" t="s">
        <x:v>59</x:v>
      </x:c>
      <x:c r="E140" s="87"/>
      <x:c r="F140" s="87"/>
      <x:c r="G140" s="87"/>
      <x:c r="H140" s="87"/>
      <x:c r="I140" s="87"/>
      <x:c r="J140" s="87"/>
      <x:c r="K140" s="87"/>
      <x:c r="L140" s="146"/>
      <x:c r="M140" s="146"/>
      <x:c r="N140" s="146"/>
      <x:c r="O140" s="147"/>
      <x:c r="P140" s="147"/>
      <x:c r="Q140" s="147"/>
      <x:c r="R140" s="147"/>
      <x:c r="S140" s="107">
        <x:f>SUM(E140:R140)</x:f>
      </x:c>
      <x:c r="T140" s="88">
        <x:v>11.8</x:v>
      </x:c>
      <x:c r="U140" s="88">
        <x:v>25.9</x:v>
      </x:c>
      <x:c r="V140" s="108">
        <x:f>S140*T140</x:f>
      </x:c>
    </x:row>
    <x:row r="141" spans="1:31" ht="15" customHeight="1" x14ac:dyDescent="0.3">
      <x:c r="A141" s="87"/>
      <x:c r="B141" s="87"/>
      <x:c r="C141" s="87"/>
      <x:c r="D141" s="89"/>
      <x:c r="E141" s="148"/>
      <x:c r="F141" s="107"/>
      <x:c r="G141" s="107"/>
      <x:c r="H141" s="107"/>
      <x:c r="I141" s="148"/>
      <x:c r="J141" s="148"/>
      <x:c r="K141" s="148"/>
      <x:c r="L141" s="148"/>
      <x:c r="M141" s="148"/>
      <x:c r="N141" s="148"/>
      <x:c r="O141" s="148"/>
      <x:c r="P141" s="148"/>
      <x:c r="Q141" s="148"/>
      <x:c r="R141" s="148"/>
      <x:c r="S141" s="107"/>
      <x:c r="T141" s="88"/>
      <x:c r="U141" s="88"/>
      <x:c r="V141" s="108"/>
    </x:row>
    <x:row r="142" spans="1:31" ht="15" customHeight="1" hidden="1" x14ac:dyDescent="0.3">
      <x:c r="A142" s="87">
        <x:v>720435</x:v>
      </x:c>
      <x:c r="B142" s="87" t="s">
        <x:v>217</x:v>
      </x:c>
      <x:c r="C142" s="87" t="s">
        <x:v>191</x:v>
      </x:c>
      <x:c r="D142" s="89" t="s">
        <x:v>27</x:v>
      </x:c>
      <x:c r="E142" s="146"/>
      <x:c r="F142" s="87"/>
      <x:c r="G142" s="87"/>
      <x:c r="H142" s="87"/>
      <x:c r="I142" s="146"/>
      <x:c r="J142" s="146"/>
      <x:c r="K142" s="146"/>
      <x:c r="L142" s="146"/>
      <x:c r="M142" s="146"/>
      <x:c r="N142" s="146"/>
      <x:c r="O142" s="147"/>
      <x:c r="P142" s="147"/>
      <x:c r="Q142" s="147"/>
      <x:c r="R142" s="147"/>
      <x:c r="S142" s="107">
        <x:f>SUM(E142:R142)</x:f>
      </x:c>
      <x:c r="T142" s="88">
        <x:v>12.3</x:v>
      </x:c>
      <x:c r="U142" s="88">
        <x:v>26.9</x:v>
      </x:c>
      <x:c r="V142" s="108">
        <x:f>S142*T142</x:f>
      </x:c>
    </x:row>
    <x:row r="143" spans="1:31" ht="15" customHeight="1" hidden="1" x14ac:dyDescent="0.3">
      <x:c r="A143" s="87">
        <x:v>720435</x:v>
      </x:c>
      <x:c r="B143" s="87" t="s">
        <x:v>218</x:v>
      </x:c>
      <x:c r="C143" s="87" t="s">
        <x:v>195</x:v>
      </x:c>
      <x:c r="D143" s="89" t="s">
        <x:v>27</x:v>
      </x:c>
      <x:c r="E143" s="146"/>
      <x:c r="F143" s="87"/>
      <x:c r="G143" s="87"/>
      <x:c r="H143" s="87"/>
      <x:c r="I143" s="146"/>
      <x:c r="J143" s="146"/>
      <x:c r="K143" s="146"/>
      <x:c r="L143" s="146"/>
      <x:c r="M143" s="146"/>
      <x:c r="N143" s="146"/>
      <x:c r="O143" s="147"/>
      <x:c r="P143" s="147"/>
      <x:c r="Q143" s="147"/>
      <x:c r="R143" s="147"/>
      <x:c r="S143" s="107">
        <x:f>SUM(E143:R143)</x:f>
      </x:c>
      <x:c r="T143" s="88">
        <x:v>12.3</x:v>
      </x:c>
      <x:c r="U143" s="88">
        <x:v>26.9</x:v>
      </x:c>
      <x:c r="V143" s="108">
        <x:f>S143*T143</x:f>
      </x:c>
    </x:row>
    <x:row r="144" spans="1:31" ht="15" customHeight="1" hidden="1" x14ac:dyDescent="0.3">
      <x:c r="A144" s="87">
        <x:v>720435</x:v>
      </x:c>
      <x:c r="B144" s="87" t="s">
        <x:v>219</x:v>
      </x:c>
      <x:c r="C144" s="87" t="s">
        <x:v>197</x:v>
      </x:c>
      <x:c r="D144" s="89" t="s">
        <x:v>27</x:v>
      </x:c>
      <x:c r="E144" s="146"/>
      <x:c r="F144" s="87"/>
      <x:c r="G144" s="87"/>
      <x:c r="H144" s="87"/>
      <x:c r="I144" s="146"/>
      <x:c r="J144" s="146"/>
      <x:c r="K144" s="146"/>
      <x:c r="L144" s="146"/>
      <x:c r="M144" s="146"/>
      <x:c r="N144" s="146"/>
      <x:c r="O144" s="147"/>
      <x:c r="P144" s="147"/>
      <x:c r="Q144" s="147"/>
      <x:c r="R144" s="147"/>
      <x:c r="S144" s="107">
        <x:f>SUM(E144:R144)</x:f>
      </x:c>
      <x:c r="T144" s="88">
        <x:v>12.3</x:v>
      </x:c>
      <x:c r="U144" s="88">
        <x:v>26.9</x:v>
      </x:c>
      <x:c r="V144" s="108">
        <x:f>S144*T144</x:f>
      </x:c>
    </x:row>
    <x:row r="145" spans="1:31" ht="15" customHeight="1" hidden="1" x14ac:dyDescent="0.3">
      <x:c r="A145" s="87">
        <x:v>720437</x:v>
      </x:c>
      <x:c r="B145" s="87" t="s">
        <x:v>220</x:v>
      </x:c>
      <x:c r="C145" s="87" t="s">
        <x:v>187</x:v>
      </x:c>
      <x:c r="D145" s="89" t="s">
        <x:v>183</x:v>
      </x:c>
      <x:c r="E145" s="146"/>
      <x:c r="F145" s="87"/>
      <x:c r="G145" s="87"/>
      <x:c r="H145" s="87"/>
      <x:c r="I145" s="146"/>
      <x:c r="J145" s="146"/>
      <x:c r="K145" s="146"/>
      <x:c r="L145" s="146"/>
      <x:c r="M145" s="146"/>
      <x:c r="N145" s="146"/>
      <x:c r="O145" s="147"/>
      <x:c r="P145" s="147"/>
      <x:c r="Q145" s="147"/>
      <x:c r="R145" s="147"/>
      <x:c r="S145" s="107">
        <x:f>SUM(E145:R145)</x:f>
      </x:c>
      <x:c r="T145" s="88">
        <x:v>20.9</x:v>
      </x:c>
      <x:c r="U145" s="88">
        <x:v>45.9</x:v>
      </x:c>
      <x:c r="V145" s="108">
        <x:f>S145*T145</x:f>
      </x:c>
    </x:row>
    <x:row r="146" spans="1:31" ht="15" customHeight="1" hidden="1" x14ac:dyDescent="0.3">
      <x:c r="A146" s="87">
        <x:v>720437</x:v>
      </x:c>
      <x:c r="B146" s="87" t="s">
        <x:v>221</x:v>
      </x:c>
      <x:c r="C146" s="87" t="s">
        <x:v>197</x:v>
      </x:c>
      <x:c r="D146" s="89" t="s">
        <x:v>183</x:v>
      </x:c>
      <x:c r="E146" s="146"/>
      <x:c r="F146" s="87"/>
      <x:c r="G146" s="87"/>
      <x:c r="H146" s="87"/>
      <x:c r="I146" s="146"/>
      <x:c r="J146" s="146"/>
      <x:c r="K146" s="146"/>
      <x:c r="L146" s="146"/>
      <x:c r="M146" s="146"/>
      <x:c r="N146" s="146"/>
      <x:c r="O146" s="147"/>
      <x:c r="P146" s="147"/>
      <x:c r="Q146" s="147"/>
      <x:c r="R146" s="147"/>
      <x:c r="S146" s="107">
        <x:f>SUM(E146:R146)</x:f>
      </x:c>
      <x:c r="T146" s="88">
        <x:v>20.9</x:v>
      </x:c>
      <x:c r="U146" s="88">
        <x:v>45.9</x:v>
      </x:c>
      <x:c r="V146" s="108">
        <x:f>S146*T146</x:f>
      </x:c>
    </x:row>
    <x:row r="147" spans="1:31" ht="15" customHeight="1" hidden="1" x14ac:dyDescent="0.3">
      <x:c r="A147" s="87">
        <x:v>720450</x:v>
      </x:c>
      <x:c r="B147" s="87" t="s">
        <x:v>222</x:v>
      </x:c>
      <x:c r="C147" s="87" t="s">
        <x:v>223</x:v>
      </x:c>
      <x:c r="D147" s="89" t="s">
        <x:v>63</x:v>
      </x:c>
      <x:c r="E147" s="87"/>
      <x:c r="F147" s="87"/>
      <x:c r="G147" s="87"/>
      <x:c r="H147" s="87"/>
      <x:c r="I147" s="87"/>
      <x:c r="J147" s="87"/>
      <x:c r="K147" s="87"/>
      <x:c r="L147" s="87"/>
      <x:c r="M147" s="87"/>
      <x:c r="N147" s="146"/>
      <x:c r="O147" s="106"/>
      <x:c r="P147" s="147"/>
      <x:c r="Q147" s="147"/>
      <x:c r="R147" s="147"/>
      <x:c r="S147" s="107">
        <x:f>SUM(E147:R147)</x:f>
      </x:c>
      <x:c r="T147" s="88">
        <x:v>15</x:v>
      </x:c>
      <x:c r="U147" s="88">
        <x:v>32.9</x:v>
      </x:c>
      <x:c r="V147" s="108">
        <x:f>S147*T147</x:f>
      </x:c>
    </x:row>
    <x:row r="148" spans="1:31" ht="15" customHeight="1" hidden="1" x14ac:dyDescent="0.3">
      <x:c r="A148" s="87">
        <x:v>720450</x:v>
      </x:c>
      <x:c r="B148" s="87" t="s">
        <x:v>224</x:v>
      </x:c>
      <x:c r="C148" s="87" t="s">
        <x:v>225</x:v>
      </x:c>
      <x:c r="D148" s="89" t="s">
        <x:v>63</x:v>
      </x:c>
      <x:c r="E148" s="87"/>
      <x:c r="F148" s="87"/>
      <x:c r="G148" s="87"/>
      <x:c r="H148" s="87"/>
      <x:c r="I148" s="87"/>
      <x:c r="J148" s="87"/>
      <x:c r="K148" s="87"/>
      <x:c r="L148" s="87"/>
      <x:c r="M148" s="87"/>
      <x:c r="N148" s="146"/>
      <x:c r="O148" s="106"/>
      <x:c r="P148" s="147"/>
      <x:c r="Q148" s="147"/>
      <x:c r="R148" s="147"/>
      <x:c r="S148" s="107">
        <x:f>SUM(E148:R148)</x:f>
      </x:c>
      <x:c r="T148" s="88">
        <x:v>15</x:v>
      </x:c>
      <x:c r="U148" s="88">
        <x:v>32.9</x:v>
      </x:c>
      <x:c r="V148" s="108">
        <x:f>S148*T148</x:f>
      </x:c>
    </x:row>
    <x:row r="149" spans="1:31" ht="15" customHeight="1" hidden="1" x14ac:dyDescent="0.3">
      <x:c r="A149" s="87">
        <x:v>720450</x:v>
      </x:c>
      <x:c r="B149" s="87" t="s">
        <x:v>226</x:v>
      </x:c>
      <x:c r="C149" s="87" t="s">
        <x:v>227</x:v>
      </x:c>
      <x:c r="D149" s="89" t="s">
        <x:v>63</x:v>
      </x:c>
      <x:c r="E149" s="87"/>
      <x:c r="F149" s="87"/>
      <x:c r="G149" s="87"/>
      <x:c r="H149" s="87"/>
      <x:c r="I149" s="87"/>
      <x:c r="J149" s="87"/>
      <x:c r="K149" s="87"/>
      <x:c r="L149" s="87"/>
      <x:c r="M149" s="87"/>
      <x:c r="N149" s="146"/>
      <x:c r="O149" s="106"/>
      <x:c r="P149" s="147"/>
      <x:c r="Q149" s="147"/>
      <x:c r="R149" s="147"/>
      <x:c r="S149" s="107">
        <x:f>SUM(E149:R149)</x:f>
      </x:c>
      <x:c r="T149" s="88">
        <x:v>15</x:v>
      </x:c>
      <x:c r="U149" s="88">
        <x:v>32.9</x:v>
      </x:c>
      <x:c r="V149" s="108">
        <x:f>S149*T149</x:f>
      </x:c>
    </x:row>
    <x:row r="150" spans="1:31" ht="15" customHeight="1" hidden="1" x14ac:dyDescent="0.3">
      <x:c r="A150" s="87">
        <x:v>720451</x:v>
      </x:c>
      <x:c r="B150" s="87" t="s">
        <x:v>228</x:v>
      </x:c>
      <x:c r="C150" s="87" t="s">
        <x:v>229</x:v>
      </x:c>
      <x:c r="D150" s="89" t="s">
        <x:v>63</x:v>
      </x:c>
      <x:c r="E150" s="87"/>
      <x:c r="F150" s="87"/>
      <x:c r="G150" s="87"/>
      <x:c r="H150" s="87"/>
      <x:c r="I150" s="87"/>
      <x:c r="J150" s="87"/>
      <x:c r="K150" s="87"/>
      <x:c r="L150" s="87"/>
      <x:c r="M150" s="87"/>
      <x:c r="N150" s="146"/>
      <x:c r="O150" s="106"/>
      <x:c r="P150" s="147"/>
      <x:c r="Q150" s="147"/>
      <x:c r="R150" s="147"/>
      <x:c r="S150" s="107">
        <x:f>SUM(E150:R150)</x:f>
      </x:c>
      <x:c r="T150" s="88">
        <x:v>15</x:v>
      </x:c>
      <x:c r="U150" s="88">
        <x:v>32.9</x:v>
      </x:c>
      <x:c r="V150" s="108">
        <x:f>S150*T150</x:f>
      </x:c>
    </x:row>
    <x:row r="151" spans="1:31" ht="15" customHeight="1" hidden="1" x14ac:dyDescent="0.3">
      <x:c r="A151" s="87">
        <x:v>720451</x:v>
      </x:c>
      <x:c r="B151" s="87" t="s">
        <x:v>230</x:v>
      </x:c>
      <x:c r="C151" s="87" t="s">
        <x:v>231</x:v>
      </x:c>
      <x:c r="D151" s="89" t="s">
        <x:v>63</x:v>
      </x:c>
      <x:c r="E151" s="87"/>
      <x:c r="F151" s="87"/>
      <x:c r="G151" s="87"/>
      <x:c r="H151" s="87"/>
      <x:c r="I151" s="87"/>
      <x:c r="J151" s="87"/>
      <x:c r="K151" s="87"/>
      <x:c r="L151" s="87"/>
      <x:c r="M151" s="87"/>
      <x:c r="N151" s="146"/>
      <x:c r="O151" s="106"/>
      <x:c r="P151" s="147"/>
      <x:c r="Q151" s="147"/>
      <x:c r="R151" s="147"/>
      <x:c r="S151" s="107">
        <x:f>SUM(E151:R151)</x:f>
      </x:c>
      <x:c r="T151" s="88">
        <x:v>15</x:v>
      </x:c>
      <x:c r="U151" s="88">
        <x:v>32.9</x:v>
      </x:c>
      <x:c r="V151" s="108">
        <x:f>S151*T151</x:f>
      </x:c>
    </x:row>
    <x:row r="152" spans="1:31" ht="15" customHeight="1" hidden="1" x14ac:dyDescent="0.3">
      <x:c r="A152" s="87">
        <x:v>720453</x:v>
      </x:c>
      <x:c r="B152" s="87" t="s">
        <x:v>232</x:v>
      </x:c>
      <x:c r="C152" s="87" t="s">
        <x:v>233</x:v>
      </x:c>
      <x:c r="D152" s="89" t="s">
        <x:v>63</x:v>
      </x:c>
      <x:c r="E152" s="87"/>
      <x:c r="F152" s="87"/>
      <x:c r="G152" s="87"/>
      <x:c r="H152" s="87"/>
      <x:c r="I152" s="87"/>
      <x:c r="J152" s="87"/>
      <x:c r="K152" s="87"/>
      <x:c r="L152" s="87"/>
      <x:c r="M152" s="87"/>
      <x:c r="N152" s="146"/>
      <x:c r="O152" s="106"/>
      <x:c r="P152" s="147"/>
      <x:c r="Q152" s="147"/>
      <x:c r="R152" s="147"/>
      <x:c r="S152" s="107">
        <x:f>SUM(E152:R152)</x:f>
      </x:c>
      <x:c r="T152" s="88">
        <x:v>15</x:v>
      </x:c>
      <x:c r="U152" s="88">
        <x:v>32.9</x:v>
      </x:c>
      <x:c r="V152" s="108">
        <x:f>S152*T152</x:f>
      </x:c>
    </x:row>
    <x:row r="153" spans="1:31" ht="15" customHeight="1" hidden="1" x14ac:dyDescent="0.3">
      <x:c r="A153" s="87">
        <x:v>720453</x:v>
      </x:c>
      <x:c r="B153" s="87" t="s">
        <x:v>234</x:v>
      </x:c>
      <x:c r="C153" s="87" t="s">
        <x:v>135</x:v>
      </x:c>
      <x:c r="D153" s="89" t="s">
        <x:v>63</x:v>
      </x:c>
      <x:c r="E153" s="87"/>
      <x:c r="F153" s="87"/>
      <x:c r="G153" s="87"/>
      <x:c r="H153" s="87"/>
      <x:c r="I153" s="87"/>
      <x:c r="J153" s="87"/>
      <x:c r="K153" s="87"/>
      <x:c r="L153" s="87"/>
      <x:c r="M153" s="87"/>
      <x:c r="N153" s="146"/>
      <x:c r="O153" s="106"/>
      <x:c r="P153" s="147"/>
      <x:c r="Q153" s="147"/>
      <x:c r="R153" s="147"/>
      <x:c r="S153" s="107">
        <x:f>SUM(E153:R153)</x:f>
      </x:c>
      <x:c r="T153" s="88">
        <x:v>15</x:v>
      </x:c>
      <x:c r="U153" s="88">
        <x:v>32.9</x:v>
      </x:c>
      <x:c r="V153" s="108">
        <x:f>S153*T153</x:f>
      </x:c>
    </x:row>
    <x:row r="154" spans="1:31" ht="15" customHeight="1" hidden="1" x14ac:dyDescent="0.3">
      <x:c r="A154" s="87">
        <x:v>720453</x:v>
      </x:c>
      <x:c r="B154" s="87" t="s">
        <x:v>235</x:v>
      </x:c>
      <x:c r="C154" s="87" t="s">
        <x:v>227</x:v>
      </x:c>
      <x:c r="D154" s="89" t="s">
        <x:v>63</x:v>
      </x:c>
      <x:c r="E154" s="87"/>
      <x:c r="F154" s="87"/>
      <x:c r="G154" s="87"/>
      <x:c r="H154" s="87"/>
      <x:c r="I154" s="87"/>
      <x:c r="J154" s="87"/>
      <x:c r="K154" s="87"/>
      <x:c r="L154" s="87"/>
      <x:c r="M154" s="87"/>
      <x:c r="N154" s="146"/>
      <x:c r="O154" s="106"/>
      <x:c r="P154" s="147"/>
      <x:c r="Q154" s="147"/>
      <x:c r="R154" s="147"/>
      <x:c r="S154" s="107">
        <x:f>SUM(E154:R154)</x:f>
      </x:c>
      <x:c r="T154" s="88">
        <x:v>15</x:v>
      </x:c>
      <x:c r="U154" s="88">
        <x:v>32.9</x:v>
      </x:c>
      <x:c r="V154" s="108">
        <x:f>S154*T154</x:f>
      </x:c>
    </x:row>
    <x:row r="155" spans="1:31" ht="15" customHeight="1" hidden="1" x14ac:dyDescent="0.3">
      <x:c r="A155" s="87">
        <x:v>720454</x:v>
      </x:c>
      <x:c r="B155" s="87" t="s">
        <x:v>236</x:v>
      </x:c>
      <x:c r="C155" s="87" t="s">
        <x:v>233</x:v>
      </x:c>
      <x:c r="D155" s="89" t="s">
        <x:v>63</x:v>
      </x:c>
      <x:c r="E155" s="87"/>
      <x:c r="F155" s="87"/>
      <x:c r="G155" s="87"/>
      <x:c r="H155" s="87"/>
      <x:c r="I155" s="87"/>
      <x:c r="J155" s="87"/>
      <x:c r="K155" s="87"/>
      <x:c r="L155" s="87"/>
      <x:c r="M155" s="87"/>
      <x:c r="N155" s="146"/>
      <x:c r="O155" s="106"/>
      <x:c r="P155" s="147"/>
      <x:c r="Q155" s="106"/>
      <x:c r="R155" s="106"/>
      <x:c r="S155" s="107">
        <x:f>SUM(E155:R155)</x:f>
      </x:c>
      <x:c r="T155" s="88">
        <x:v>15</x:v>
      </x:c>
      <x:c r="U155" s="88">
        <x:v>32.9</x:v>
      </x:c>
      <x:c r="V155" s="108">
        <x:f>S155*T155</x:f>
      </x:c>
    </x:row>
    <x:row r="156" spans="1:31" ht="15" customHeight="1" hidden="1" x14ac:dyDescent="0.3">
      <x:c r="A156" s="87">
        <x:v>720454</x:v>
      </x:c>
      <x:c r="B156" s="87" t="s">
        <x:v>237</x:v>
      </x:c>
      <x:c r="C156" s="87" t="s">
        <x:v>135</x:v>
      </x:c>
      <x:c r="D156" s="89" t="s">
        <x:v>63</x:v>
      </x:c>
      <x:c r="E156" s="87"/>
      <x:c r="F156" s="87"/>
      <x:c r="G156" s="87"/>
      <x:c r="H156" s="87"/>
      <x:c r="I156" s="87"/>
      <x:c r="J156" s="87"/>
      <x:c r="K156" s="87"/>
      <x:c r="L156" s="87"/>
      <x:c r="M156" s="87"/>
      <x:c r="N156" s="146"/>
      <x:c r="O156" s="106"/>
      <x:c r="P156" s="147"/>
      <x:c r="Q156" s="106"/>
      <x:c r="R156" s="106"/>
      <x:c r="S156" s="107">
        <x:f>SUM(E156:R156)</x:f>
      </x:c>
      <x:c r="T156" s="88">
        <x:v>15</x:v>
      </x:c>
      <x:c r="U156" s="88">
        <x:v>32.9</x:v>
      </x:c>
      <x:c r="V156" s="108">
        <x:f>S156*T156</x:f>
      </x:c>
    </x:row>
    <x:row r="157" spans="1:31" ht="15" customHeight="1" hidden="1" x14ac:dyDescent="0.3">
      <x:c r="A157" s="87">
        <x:v>720454</x:v>
      </x:c>
      <x:c r="B157" s="87" t="s">
        <x:v>238</x:v>
      </x:c>
      <x:c r="C157" s="87" t="s">
        <x:v>227</x:v>
      </x:c>
      <x:c r="D157" s="89" t="s">
        <x:v>63</x:v>
      </x:c>
      <x:c r="E157" s="87"/>
      <x:c r="F157" s="87"/>
      <x:c r="G157" s="87"/>
      <x:c r="H157" s="87"/>
      <x:c r="I157" s="87"/>
      <x:c r="J157" s="87"/>
      <x:c r="K157" s="87"/>
      <x:c r="L157" s="87"/>
      <x:c r="M157" s="87"/>
      <x:c r="N157" s="146"/>
      <x:c r="O157" s="106"/>
      <x:c r="P157" s="147"/>
      <x:c r="Q157" s="106"/>
      <x:c r="R157" s="106"/>
      <x:c r="S157" s="107">
        <x:f>SUM(E157:R157)</x:f>
      </x:c>
      <x:c r="T157" s="88">
        <x:v>15</x:v>
      </x:c>
      <x:c r="U157" s="88">
        <x:v>32.9</x:v>
      </x:c>
      <x:c r="V157" s="108">
        <x:f>S157*T157</x:f>
      </x:c>
    </x:row>
    <x:row r="158" spans="1:31" ht="15" customHeight="1" hidden="1" x14ac:dyDescent="0.3">
      <x:c r="A158" s="87">
        <x:v>720455</x:v>
      </x:c>
      <x:c r="B158" s="87" t="s">
        <x:v>239</x:v>
      </x:c>
      <x:c r="C158" s="87" t="s">
        <x:v>240</x:v>
      </x:c>
      <x:c r="D158" s="89" t="s">
        <x:v>63</x:v>
      </x:c>
      <x:c r="E158" s="87"/>
      <x:c r="F158" s="87"/>
      <x:c r="G158" s="87"/>
      <x:c r="H158" s="87"/>
      <x:c r="I158" s="87"/>
      <x:c r="J158" s="87"/>
      <x:c r="K158" s="87"/>
      <x:c r="L158" s="87"/>
      <x:c r="M158" s="87"/>
      <x:c r="N158" s="146"/>
      <x:c r="O158" s="106"/>
      <x:c r="P158" s="147"/>
      <x:c r="Q158" s="106"/>
      <x:c r="R158" s="106"/>
      <x:c r="S158" s="107">
        <x:f>SUM(E158:R158)</x:f>
      </x:c>
      <x:c r="T158" s="88">
        <x:v>15</x:v>
      </x:c>
      <x:c r="U158" s="88">
        <x:v>32.9</x:v>
      </x:c>
      <x:c r="V158" s="108">
        <x:f>S158*T158</x:f>
      </x:c>
    </x:row>
    <x:row r="159" spans="1:31" ht="15" customHeight="1" hidden="1" x14ac:dyDescent="0.3">
      <x:c r="A159" s="87">
        <x:v>720455</x:v>
      </x:c>
      <x:c r="B159" s="87" t="s">
        <x:v>241</x:v>
      </x:c>
      <x:c r="C159" s="87" t="s">
        <x:v>189</x:v>
      </x:c>
      <x:c r="D159" s="89" t="s">
        <x:v>63</x:v>
      </x:c>
      <x:c r="E159" s="87"/>
      <x:c r="F159" s="87"/>
      <x:c r="G159" s="87"/>
      <x:c r="H159" s="87"/>
      <x:c r="I159" s="87"/>
      <x:c r="J159" s="87"/>
      <x:c r="K159" s="87"/>
      <x:c r="L159" s="87"/>
      <x:c r="M159" s="87"/>
      <x:c r="N159" s="146"/>
      <x:c r="O159" s="106"/>
      <x:c r="P159" s="147"/>
      <x:c r="Q159" s="106"/>
      <x:c r="R159" s="106"/>
      <x:c r="S159" s="107">
        <x:f>SUM(E159:R159)</x:f>
      </x:c>
      <x:c r="T159" s="88">
        <x:v>15</x:v>
      </x:c>
      <x:c r="U159" s="88">
        <x:v>32.9</x:v>
      </x:c>
      <x:c r="V159" s="108">
        <x:f>S159*T159</x:f>
      </x:c>
    </x:row>
    <x:row r="160" spans="1:31" ht="15" customHeight="1" hidden="1" x14ac:dyDescent="0.3">
      <x:c r="A160" s="87">
        <x:v>720456</x:v>
      </x:c>
      <x:c r="B160" s="87" t="s">
        <x:v>242</x:v>
      </x:c>
      <x:c r="C160" s="87" t="s">
        <x:v>240</x:v>
      </x:c>
      <x:c r="D160" s="89" t="s">
        <x:v>63</x:v>
      </x:c>
      <x:c r="E160" s="87"/>
      <x:c r="F160" s="87"/>
      <x:c r="G160" s="87"/>
      <x:c r="H160" s="87"/>
      <x:c r="I160" s="87"/>
      <x:c r="J160" s="87"/>
      <x:c r="K160" s="87"/>
      <x:c r="L160" s="87"/>
      <x:c r="M160" s="87"/>
      <x:c r="N160" s="146"/>
      <x:c r="O160" s="106"/>
      <x:c r="P160" s="147"/>
      <x:c r="Q160" s="106"/>
      <x:c r="R160" s="106"/>
      <x:c r="S160" s="107">
        <x:f>SUM(E160:R160)</x:f>
      </x:c>
      <x:c r="T160" s="88">
        <x:v>15</x:v>
      </x:c>
      <x:c r="U160" s="88">
        <x:v>32.9</x:v>
      </x:c>
      <x:c r="V160" s="108">
        <x:f>S160*T160</x:f>
      </x:c>
    </x:row>
    <x:row r="161" spans="1:31" ht="15" customHeight="1" hidden="1" x14ac:dyDescent="0.3">
      <x:c r="A161" s="87">
        <x:v>720456</x:v>
      </x:c>
      <x:c r="B161" s="87" t="s">
        <x:v>243</x:v>
      </x:c>
      <x:c r="C161" s="87" t="s">
        <x:v>189</x:v>
      </x:c>
      <x:c r="D161" s="89" t="s">
        <x:v>63</x:v>
      </x:c>
      <x:c r="E161" s="87"/>
      <x:c r="F161" s="87"/>
      <x:c r="G161" s="87"/>
      <x:c r="H161" s="87"/>
      <x:c r="I161" s="87"/>
      <x:c r="J161" s="87"/>
      <x:c r="K161" s="87"/>
      <x:c r="L161" s="87"/>
      <x:c r="M161" s="87"/>
      <x:c r="N161" s="146"/>
      <x:c r="O161" s="106"/>
      <x:c r="P161" s="147"/>
      <x:c r="Q161" s="106"/>
      <x:c r="R161" s="106"/>
      <x:c r="S161" s="107">
        <x:f>SUM(E161:R161)</x:f>
      </x:c>
      <x:c r="T161" s="88">
        <x:v>15</x:v>
      </x:c>
      <x:c r="U161" s="88">
        <x:v>32.9</x:v>
      </x:c>
      <x:c r="V161" s="108">
        <x:f>S161*T161</x:f>
      </x:c>
    </x:row>
    <x:row r="162" spans="1:31" ht="15" customHeight="1" hidden="1" x14ac:dyDescent="0.3">
      <x:c r="A162" s="87">
        <x:v>720460</x:v>
      </x:c>
      <x:c r="B162" s="87" t="s">
        <x:v>244</x:v>
      </x:c>
      <x:c r="C162" s="87" t="s">
        <x:v>245</x:v>
      </x:c>
      <x:c r="D162" s="89" t="s">
        <x:v>63</x:v>
      </x:c>
      <x:c r="E162" s="87"/>
      <x:c r="F162" s="87"/>
      <x:c r="G162" s="87"/>
      <x:c r="H162" s="87"/>
      <x:c r="I162" s="87"/>
      <x:c r="J162" s="87"/>
      <x:c r="K162" s="87"/>
      <x:c r="L162" s="87"/>
      <x:c r="M162" s="87"/>
      <x:c r="N162" s="146"/>
      <x:c r="O162" s="106"/>
      <x:c r="P162" s="147"/>
      <x:c r="Q162" s="147"/>
      <x:c r="R162" s="147"/>
      <x:c r="S162" s="107">
        <x:f>SUM(E162:R162)</x:f>
      </x:c>
      <x:c r="T162" s="88">
        <x:v>13.6</x:v>
      </x:c>
      <x:c r="U162" s="88">
        <x:v>29.9</x:v>
      </x:c>
      <x:c r="V162" s="108">
        <x:f>S162*T162</x:f>
      </x:c>
    </x:row>
    <x:row r="163" spans="1:31" ht="15" customHeight="1" hidden="1" x14ac:dyDescent="0.3">
      <x:c r="A163" s="87">
        <x:v>720460</x:v>
      </x:c>
      <x:c r="B163" s="87" t="s">
        <x:v>246</x:v>
      </x:c>
      <x:c r="C163" s="87" t="s">
        <x:v>227</x:v>
      </x:c>
      <x:c r="D163" s="89" t="s">
        <x:v>63</x:v>
      </x:c>
      <x:c r="E163" s="87"/>
      <x:c r="F163" s="87"/>
      <x:c r="G163" s="87"/>
      <x:c r="H163" s="87"/>
      <x:c r="I163" s="87"/>
      <x:c r="J163" s="87"/>
      <x:c r="K163" s="87"/>
      <x:c r="L163" s="87"/>
      <x:c r="M163" s="87"/>
      <x:c r="N163" s="146"/>
      <x:c r="O163" s="106"/>
      <x:c r="P163" s="147"/>
      <x:c r="Q163" s="147"/>
      <x:c r="R163" s="147"/>
      <x:c r="S163" s="107">
        <x:f>SUM(E163:R163)</x:f>
      </x:c>
      <x:c r="T163" s="88">
        <x:v>13.6</x:v>
      </x:c>
      <x:c r="U163" s="88">
        <x:v>29.9</x:v>
      </x:c>
      <x:c r="V163" s="108">
        <x:f>S163*T163</x:f>
      </x:c>
    </x:row>
    <x:row r="164" spans="1:31" ht="15" customHeight="1" hidden="1" x14ac:dyDescent="0.3">
      <x:c r="A164" s="87">
        <x:v>720464</x:v>
      </x:c>
      <x:c r="B164" s="87" t="s">
        <x:v>247</x:v>
      </x:c>
      <x:c r="C164" s="87" t="s">
        <x:v>245</x:v>
      </x:c>
      <x:c r="D164" s="89" t="s">
        <x:v>63</x:v>
      </x:c>
      <x:c r="E164" s="87"/>
      <x:c r="F164" s="87"/>
      <x:c r="G164" s="87"/>
      <x:c r="H164" s="87"/>
      <x:c r="I164" s="87"/>
      <x:c r="J164" s="87"/>
      <x:c r="K164" s="87"/>
      <x:c r="L164" s="87"/>
      <x:c r="M164" s="87"/>
      <x:c r="N164" s="146"/>
      <x:c r="O164" s="106"/>
      <x:c r="P164" s="147"/>
      <x:c r="Q164" s="147"/>
      <x:c r="R164" s="147"/>
      <x:c r="S164" s="107">
        <x:f>SUM(E164:R164)</x:f>
      </x:c>
      <x:c r="T164" s="88">
        <x:v>15</x:v>
      </x:c>
      <x:c r="U164" s="88">
        <x:v>32.9</x:v>
      </x:c>
      <x:c r="V164" s="108">
        <x:f>S164*T164</x:f>
      </x:c>
    </x:row>
    <x:row r="165" spans="1:31" ht="15" customHeight="1" hidden="1" x14ac:dyDescent="0.3">
      <x:c r="A165" s="87">
        <x:v>720465</x:v>
      </x:c>
      <x:c r="B165" s="87" t="s">
        <x:v>248</x:v>
      </x:c>
      <x:c r="C165" s="87" t="s">
        <x:v>245</x:v>
      </x:c>
      <x:c r="D165" s="89" t="s">
        <x:v>63</x:v>
      </x:c>
      <x:c r="E165" s="87"/>
      <x:c r="F165" s="87"/>
      <x:c r="G165" s="87"/>
      <x:c r="H165" s="87"/>
      <x:c r="I165" s="87"/>
      <x:c r="J165" s="87"/>
      <x:c r="K165" s="87"/>
      <x:c r="L165" s="87"/>
      <x:c r="M165" s="87"/>
      <x:c r="N165" s="146"/>
      <x:c r="O165" s="106"/>
      <x:c r="P165" s="147"/>
      <x:c r="Q165" s="147"/>
      <x:c r="R165" s="147"/>
      <x:c r="S165" s="107">
        <x:f>SUM(E165:R165)</x:f>
      </x:c>
      <x:c r="T165" s="88">
        <x:v>15</x:v>
      </x:c>
      <x:c r="U165" s="88">
        <x:v>32.9</x:v>
      </x:c>
      <x:c r="V165" s="108">
        <x:f>S165*T165</x:f>
      </x:c>
    </x:row>
    <x:row r="166" spans="1:31" ht="15" customHeight="1" hidden="1" x14ac:dyDescent="0.3">
      <x:c r="A166" s="87">
        <x:v>720470</x:v>
      </x:c>
      <x:c r="B166" s="87" t="s">
        <x:v>249</x:v>
      </x:c>
      <x:c r="C166" s="87" t="s">
        <x:v>245</x:v>
      </x:c>
      <x:c r="D166" s="89" t="s">
        <x:v>63</x:v>
      </x:c>
      <x:c r="E166" s="87"/>
      <x:c r="F166" s="87"/>
      <x:c r="G166" s="87"/>
      <x:c r="H166" s="87"/>
      <x:c r="I166" s="87"/>
      <x:c r="J166" s="87"/>
      <x:c r="K166" s="87"/>
      <x:c r="L166" s="87"/>
      <x:c r="M166" s="87"/>
      <x:c r="N166" s="146"/>
      <x:c r="O166" s="106"/>
      <x:c r="P166" s="147"/>
      <x:c r="Q166" s="106"/>
      <x:c r="R166" s="106"/>
      <x:c r="S166" s="107">
        <x:f>SUM(E166:R166)</x:f>
      </x:c>
      <x:c r="T166" s="88">
        <x:v>16.8</x:v>
      </x:c>
      <x:c r="U166" s="88">
        <x:v>36.9</x:v>
      </x:c>
      <x:c r="V166" s="108">
        <x:f>S166*T166</x:f>
      </x:c>
    </x:row>
    <x:row r="167" spans="1:31" ht="15" customHeight="1" hidden="1" x14ac:dyDescent="0.3">
      <x:c r="A167" s="87">
        <x:v>720470</x:v>
      </x:c>
      <x:c r="B167" s="87" t="s">
        <x:v>250</x:v>
      </x:c>
      <x:c r="C167" s="87" t="s">
        <x:v>251</x:v>
      </x:c>
      <x:c r="D167" s="89" t="s">
        <x:v>63</x:v>
      </x:c>
      <x:c r="E167" s="87"/>
      <x:c r="F167" s="87"/>
      <x:c r="G167" s="87"/>
      <x:c r="H167" s="87"/>
      <x:c r="I167" s="87"/>
      <x:c r="J167" s="87"/>
      <x:c r="K167" s="87"/>
      <x:c r="L167" s="87"/>
      <x:c r="M167" s="87"/>
      <x:c r="N167" s="146"/>
      <x:c r="O167" s="106"/>
      <x:c r="P167" s="147"/>
      <x:c r="Q167" s="106"/>
      <x:c r="R167" s="106"/>
      <x:c r="S167" s="107">
        <x:f>SUM(E167:R167)</x:f>
      </x:c>
      <x:c r="T167" s="88">
        <x:v>16.8</x:v>
      </x:c>
      <x:c r="U167" s="88">
        <x:v>36.9</x:v>
      </x:c>
      <x:c r="V167" s="108">
        <x:f>S167*T167</x:f>
      </x:c>
    </x:row>
    <x:row r="168" spans="1:31" ht="15" customHeight="1" hidden="1" x14ac:dyDescent="0.3">
      <x:c r="A168" s="87">
        <x:v>720470</x:v>
      </x:c>
      <x:c r="B168" s="87" t="s">
        <x:v>252</x:v>
      </x:c>
      <x:c r="C168" s="87" t="s">
        <x:v>227</x:v>
      </x:c>
      <x:c r="D168" s="89" t="s">
        <x:v>63</x:v>
      </x:c>
      <x:c r="E168" s="87"/>
      <x:c r="F168" s="87"/>
      <x:c r="G168" s="87"/>
      <x:c r="H168" s="87"/>
      <x:c r="I168" s="87"/>
      <x:c r="J168" s="87"/>
      <x:c r="K168" s="87"/>
      <x:c r="L168" s="87"/>
      <x:c r="M168" s="87"/>
      <x:c r="N168" s="146"/>
      <x:c r="O168" s="106"/>
      <x:c r="P168" s="147"/>
      <x:c r="Q168" s="106"/>
      <x:c r="R168" s="106"/>
      <x:c r="S168" s="107">
        <x:f>SUM(E168:R168)</x:f>
      </x:c>
      <x:c r="T168" s="88">
        <x:v>16.8</x:v>
      </x:c>
      <x:c r="U168" s="88">
        <x:v>36.9</x:v>
      </x:c>
      <x:c r="V168" s="108">
        <x:f>S168*T168</x:f>
      </x:c>
    </x:row>
    <x:row r="169" spans="1:31" ht="15" customHeight="1" hidden="1" x14ac:dyDescent="0.3">
      <x:c r="A169" s="87">
        <x:v>720471</x:v>
      </x:c>
      <x:c r="B169" s="87" t="s">
        <x:v>253</x:v>
      </x:c>
      <x:c r="C169" s="87" t="s">
        <x:v>245</x:v>
      </x:c>
      <x:c r="D169" s="89" t="s">
        <x:v>63</x:v>
      </x:c>
      <x:c r="E169" s="87"/>
      <x:c r="F169" s="87"/>
      <x:c r="G169" s="87"/>
      <x:c r="H169" s="87"/>
      <x:c r="I169" s="87"/>
      <x:c r="J169" s="87"/>
      <x:c r="K169" s="87"/>
      <x:c r="L169" s="87"/>
      <x:c r="M169" s="87"/>
      <x:c r="N169" s="146"/>
      <x:c r="O169" s="106"/>
      <x:c r="P169" s="147"/>
      <x:c r="Q169" s="106"/>
      <x:c r="R169" s="106"/>
      <x:c r="S169" s="107">
        <x:f>SUM(E169:R169)</x:f>
      </x:c>
      <x:c r="T169" s="88">
        <x:v>16.8</x:v>
      </x:c>
      <x:c r="U169" s="88">
        <x:v>36.9</x:v>
      </x:c>
      <x:c r="V169" s="108">
        <x:f>S169*T169</x:f>
      </x:c>
    </x:row>
    <x:row r="170" spans="1:31" ht="15" customHeight="1" hidden="1" x14ac:dyDescent="0.3">
      <x:c r="A170" s="87">
        <x:v>720471</x:v>
      </x:c>
      <x:c r="B170" s="87" t="s">
        <x:v>254</x:v>
      </x:c>
      <x:c r="C170" s="87" t="s">
        <x:v>251</x:v>
      </x:c>
      <x:c r="D170" s="89" t="s">
        <x:v>63</x:v>
      </x:c>
      <x:c r="E170" s="87"/>
      <x:c r="F170" s="87"/>
      <x:c r="G170" s="87"/>
      <x:c r="H170" s="87"/>
      <x:c r="I170" s="87"/>
      <x:c r="J170" s="87"/>
      <x:c r="K170" s="87"/>
      <x:c r="L170" s="87"/>
      <x:c r="M170" s="87"/>
      <x:c r="N170" s="146"/>
      <x:c r="O170" s="106"/>
      <x:c r="P170" s="147"/>
      <x:c r="Q170" s="106"/>
      <x:c r="R170" s="106"/>
      <x:c r="S170" s="107">
        <x:f>SUM(E170:R170)</x:f>
      </x:c>
      <x:c r="T170" s="88">
        <x:v>16.8</x:v>
      </x:c>
      <x:c r="U170" s="88">
        <x:v>36.9</x:v>
      </x:c>
      <x:c r="V170" s="108">
        <x:f>S170*T170</x:f>
      </x:c>
    </x:row>
    <x:row r="171" spans="1:31" ht="15" customHeight="1" hidden="1" x14ac:dyDescent="0.3">
      <x:c r="A171" s="87">
        <x:v>720471</x:v>
      </x:c>
      <x:c r="B171" s="87" t="s">
        <x:v>255</x:v>
      </x:c>
      <x:c r="C171" s="87" t="s">
        <x:v>227</x:v>
      </x:c>
      <x:c r="D171" s="89" t="s">
        <x:v>63</x:v>
      </x:c>
      <x:c r="E171" s="87"/>
      <x:c r="F171" s="87"/>
      <x:c r="G171" s="87"/>
      <x:c r="H171" s="87"/>
      <x:c r="I171" s="87"/>
      <x:c r="J171" s="87"/>
      <x:c r="K171" s="87"/>
      <x:c r="L171" s="87"/>
      <x:c r="M171" s="87"/>
      <x:c r="N171" s="146"/>
      <x:c r="O171" s="106"/>
      <x:c r="P171" s="147"/>
      <x:c r="Q171" s="106"/>
      <x:c r="R171" s="106"/>
      <x:c r="S171" s="107">
        <x:f>SUM(E171:R171)</x:f>
      </x:c>
      <x:c r="T171" s="88">
        <x:v>16.8</x:v>
      </x:c>
      <x:c r="U171" s="88">
        <x:v>36.9</x:v>
      </x:c>
      <x:c r="V171" s="108">
        <x:f>S171*T171</x:f>
      </x:c>
    </x:row>
    <x:row r="172" spans="1:31" ht="15" customHeight="1" hidden="1" x14ac:dyDescent="0.3">
      <x:c r="A172" s="87">
        <x:v>720472</x:v>
      </x:c>
      <x:c r="B172" s="87" t="s">
        <x:v>256</x:v>
      </x:c>
      <x:c r="C172" s="87" t="s">
        <x:v>182</x:v>
      </x:c>
      <x:c r="D172" s="89" t="s">
        <x:v>63</x:v>
      </x:c>
      <x:c r="E172" s="87"/>
      <x:c r="F172" s="87"/>
      <x:c r="G172" s="87"/>
      <x:c r="H172" s="87"/>
      <x:c r="I172" s="87"/>
      <x:c r="J172" s="87"/>
      <x:c r="K172" s="87"/>
      <x:c r="L172" s="87"/>
      <x:c r="M172" s="87"/>
      <x:c r="N172" s="146"/>
      <x:c r="O172" s="106"/>
      <x:c r="P172" s="147"/>
      <x:c r="Q172" s="106"/>
      <x:c r="R172" s="106"/>
      <x:c r="S172" s="107">
        <x:f>SUM(E172:R172)</x:f>
      </x:c>
      <x:c r="T172" s="88">
        <x:v>15</x:v>
      </x:c>
      <x:c r="U172" s="88">
        <x:v>32.9</x:v>
      </x:c>
      <x:c r="V172" s="108">
        <x:f>S172*T172</x:f>
      </x:c>
    </x:row>
    <x:row r="173" spans="1:31" ht="15" customHeight="1" hidden="1" x14ac:dyDescent="0.3">
      <x:c r="A173" s="87">
        <x:v>720472</x:v>
      </x:c>
      <x:c r="B173" s="87" t="s">
        <x:v>257</x:v>
      </x:c>
      <x:c r="C173" s="87" t="s">
        <x:v>135</x:v>
      </x:c>
      <x:c r="D173" s="89" t="s">
        <x:v>63</x:v>
      </x:c>
      <x:c r="E173" s="87"/>
      <x:c r="F173" s="87"/>
      <x:c r="G173" s="87"/>
      <x:c r="H173" s="87"/>
      <x:c r="I173" s="87"/>
      <x:c r="J173" s="87"/>
      <x:c r="K173" s="87"/>
      <x:c r="L173" s="87"/>
      <x:c r="M173" s="87"/>
      <x:c r="N173" s="146"/>
      <x:c r="O173" s="106"/>
      <x:c r="P173" s="147"/>
      <x:c r="Q173" s="106"/>
      <x:c r="R173" s="106"/>
      <x:c r="S173" s="107">
        <x:f>SUM(E173:R173)</x:f>
      </x:c>
      <x:c r="T173" s="88">
        <x:v>15</x:v>
      </x:c>
      <x:c r="U173" s="88">
        <x:v>32.9</x:v>
      </x:c>
      <x:c r="V173" s="108">
        <x:f>S173*T173</x:f>
      </x:c>
    </x:row>
    <x:row r="174" spans="1:31" ht="15" customHeight="1" hidden="1" x14ac:dyDescent="0.3">
      <x:c r="A174" s="87">
        <x:v>720473</x:v>
      </x:c>
      <x:c r="B174" s="87" t="s">
        <x:v>258</x:v>
      </x:c>
      <x:c r="C174" s="87" t="s">
        <x:v>182</x:v>
      </x:c>
      <x:c r="D174" s="89" t="s">
        <x:v>63</x:v>
      </x:c>
      <x:c r="E174" s="87"/>
      <x:c r="F174" s="87"/>
      <x:c r="G174" s="87"/>
      <x:c r="H174" s="87"/>
      <x:c r="I174" s="87"/>
      <x:c r="J174" s="87"/>
      <x:c r="K174" s="87"/>
      <x:c r="L174" s="87"/>
      <x:c r="M174" s="87"/>
      <x:c r="N174" s="146"/>
      <x:c r="O174" s="106"/>
      <x:c r="P174" s="147"/>
      <x:c r="Q174" s="106"/>
      <x:c r="R174" s="106"/>
      <x:c r="S174" s="107">
        <x:f>SUM(E174:R174)</x:f>
      </x:c>
      <x:c r="T174" s="88">
        <x:v>15</x:v>
      </x:c>
      <x:c r="U174" s="88">
        <x:v>32.9</x:v>
      </x:c>
      <x:c r="V174" s="108">
        <x:f>S174*T174</x:f>
      </x:c>
    </x:row>
    <x:row r="175" spans="1:31" ht="15" customHeight="1" hidden="1" x14ac:dyDescent="0.3">
      <x:c r="A175" s="87">
        <x:v>720473</x:v>
      </x:c>
      <x:c r="B175" s="87" t="s">
        <x:v>259</x:v>
      </x:c>
      <x:c r="C175" s="87" t="s">
        <x:v>135</x:v>
      </x:c>
      <x:c r="D175" s="89" t="s">
        <x:v>63</x:v>
      </x:c>
      <x:c r="E175" s="87"/>
      <x:c r="F175" s="87"/>
      <x:c r="G175" s="87"/>
      <x:c r="H175" s="87"/>
      <x:c r="I175" s="87"/>
      <x:c r="J175" s="87"/>
      <x:c r="K175" s="87"/>
      <x:c r="L175" s="87"/>
      <x:c r="M175" s="87"/>
      <x:c r="N175" s="146"/>
      <x:c r="O175" s="106"/>
      <x:c r="P175" s="147"/>
      <x:c r="Q175" s="106"/>
      <x:c r="R175" s="106"/>
      <x:c r="S175" s="107">
        <x:f>SUM(E175:R175)</x:f>
      </x:c>
      <x:c r="T175" s="88">
        <x:v>15</x:v>
      </x:c>
      <x:c r="U175" s="88">
        <x:v>32.9</x:v>
      </x:c>
      <x:c r="V175" s="108">
        <x:f>S175*T175</x:f>
      </x:c>
    </x:row>
    <x:row r="176" spans="1:31" ht="15" customHeight="1" hidden="1" x14ac:dyDescent="0.3">
      <x:c r="A176" s="87">
        <x:v>720481</x:v>
      </x:c>
      <x:c r="B176" s="87" t="s">
        <x:v>260</x:v>
      </x:c>
      <x:c r="C176" s="87" t="s">
        <x:v>135</x:v>
      </x:c>
      <x:c r="D176" s="89" t="s">
        <x:v>63</x:v>
      </x:c>
      <x:c r="E176" s="87"/>
      <x:c r="F176" s="87"/>
      <x:c r="G176" s="87"/>
      <x:c r="H176" s="87"/>
      <x:c r="I176" s="87"/>
      <x:c r="J176" s="87"/>
      <x:c r="K176" s="87"/>
      <x:c r="L176" s="87"/>
      <x:c r="M176" s="87"/>
      <x:c r="N176" s="146"/>
      <x:c r="O176" s="106"/>
      <x:c r="P176" s="147"/>
      <x:c r="Q176" s="106"/>
      <x:c r="R176" s="106"/>
      <x:c r="S176" s="107">
        <x:f>SUM(E176:R176)</x:f>
      </x:c>
      <x:c r="T176" s="88">
        <x:v>15</x:v>
      </x:c>
      <x:c r="U176" s="88">
        <x:v>32.9</x:v>
      </x:c>
      <x:c r="V176" s="108">
        <x:f>S176*T176</x:f>
      </x:c>
    </x:row>
    <x:row r="177" spans="1:31" ht="15" customHeight="1" hidden="1" x14ac:dyDescent="0.3">
      <x:c r="A177" s="87">
        <x:v>720481</x:v>
      </x:c>
      <x:c r="B177" s="87" t="s">
        <x:v>261</x:v>
      </x:c>
      <x:c r="C177" s="87" t="s">
        <x:v>227</x:v>
      </x:c>
      <x:c r="D177" s="89" t="s">
        <x:v>63</x:v>
      </x:c>
      <x:c r="E177" s="87"/>
      <x:c r="F177" s="87"/>
      <x:c r="G177" s="87"/>
      <x:c r="H177" s="87"/>
      <x:c r="I177" s="87"/>
      <x:c r="J177" s="87"/>
      <x:c r="K177" s="87"/>
      <x:c r="L177" s="87"/>
      <x:c r="M177" s="87"/>
      <x:c r="N177" s="146"/>
      <x:c r="O177" s="106"/>
      <x:c r="P177" s="147"/>
      <x:c r="Q177" s="106"/>
      <x:c r="R177" s="106"/>
      <x:c r="S177" s="107">
        <x:f>SUM(E177:R177)</x:f>
      </x:c>
      <x:c r="T177" s="88">
        <x:v>15</x:v>
      </x:c>
      <x:c r="U177" s="88">
        <x:v>32.9</x:v>
      </x:c>
      <x:c r="V177" s="108">
        <x:f>S177*T177</x:f>
      </x:c>
    </x:row>
    <x:row r="178" spans="1:31" ht="15" customHeight="1" hidden="1" x14ac:dyDescent="0.3">
      <x:c r="A178" s="87">
        <x:v>720482</x:v>
      </x:c>
      <x:c r="B178" s="87" t="s">
        <x:v>262</x:v>
      </x:c>
      <x:c r="C178" s="87" t="s">
        <x:v>135</x:v>
      </x:c>
      <x:c r="D178" s="89" t="s">
        <x:v>63</x:v>
      </x:c>
      <x:c r="E178" s="87"/>
      <x:c r="F178" s="87"/>
      <x:c r="G178" s="87"/>
      <x:c r="H178" s="87"/>
      <x:c r="I178" s="87"/>
      <x:c r="J178" s="87"/>
      <x:c r="K178" s="87"/>
      <x:c r="L178" s="87"/>
      <x:c r="M178" s="87"/>
      <x:c r="N178" s="146"/>
      <x:c r="O178" s="106"/>
      <x:c r="P178" s="147"/>
      <x:c r="Q178" s="106"/>
      <x:c r="R178" s="106"/>
      <x:c r="S178" s="107">
        <x:f>SUM(E178:R178)</x:f>
      </x:c>
      <x:c r="T178" s="88">
        <x:v>15</x:v>
      </x:c>
      <x:c r="U178" s="88">
        <x:v>32.9</x:v>
      </x:c>
      <x:c r="V178" s="108">
        <x:f>S178*T178</x:f>
      </x:c>
    </x:row>
    <x:row r="179" spans="1:31" ht="15" customHeight="1" hidden="1" x14ac:dyDescent="0.3">
      <x:c r="A179" s="87">
        <x:v>720482</x:v>
      </x:c>
      <x:c r="B179" s="87" t="s">
        <x:v>263</x:v>
      </x:c>
      <x:c r="C179" s="87" t="s">
        <x:v>227</x:v>
      </x:c>
      <x:c r="D179" s="89" t="s">
        <x:v>63</x:v>
      </x:c>
      <x:c r="E179" s="87"/>
      <x:c r="F179" s="87"/>
      <x:c r="G179" s="87"/>
      <x:c r="H179" s="87"/>
      <x:c r="I179" s="87"/>
      <x:c r="J179" s="87"/>
      <x:c r="K179" s="87"/>
      <x:c r="L179" s="87"/>
      <x:c r="M179" s="87"/>
      <x:c r="N179" s="146"/>
      <x:c r="O179" s="106"/>
      <x:c r="P179" s="147"/>
      <x:c r="Q179" s="106"/>
      <x:c r="R179" s="106"/>
      <x:c r="S179" s="107">
        <x:f>SUM(E179:R179)</x:f>
      </x:c>
      <x:c r="T179" s="88">
        <x:v>15</x:v>
      </x:c>
      <x:c r="U179" s="88">
        <x:v>32.9</x:v>
      </x:c>
      <x:c r="V179" s="108">
        <x:f>S179*T179</x:f>
      </x:c>
    </x:row>
    <x:row r="180" spans="1:31" ht="15" customHeight="1" hidden="1" x14ac:dyDescent="0.3">
      <x:c r="A180" s="87">
        <x:v>720487</x:v>
      </x:c>
      <x:c r="B180" s="87" t="s">
        <x:v>264</x:v>
      </x:c>
      <x:c r="C180" s="87" t="s">
        <x:v>245</x:v>
      </x:c>
      <x:c r="D180" s="89" t="s">
        <x:v>63</x:v>
      </x:c>
      <x:c r="E180" s="87"/>
      <x:c r="F180" s="87"/>
      <x:c r="G180" s="87"/>
      <x:c r="H180" s="87"/>
      <x:c r="I180" s="87"/>
      <x:c r="J180" s="87"/>
      <x:c r="K180" s="87"/>
      <x:c r="L180" s="87"/>
      <x:c r="M180" s="87"/>
      <x:c r="N180" s="146"/>
      <x:c r="O180" s="106"/>
      <x:c r="P180" s="147"/>
      <x:c r="Q180" s="106"/>
      <x:c r="R180" s="106"/>
      <x:c r="S180" s="107">
        <x:f>SUM(E180:R180)</x:f>
      </x:c>
      <x:c r="T180" s="88">
        <x:v>15</x:v>
      </x:c>
      <x:c r="U180" s="88">
        <x:v>32.9</x:v>
      </x:c>
      <x:c r="V180" s="108">
        <x:f>S180*T180</x:f>
      </x:c>
    </x:row>
    <x:row r="181" spans="1:31" ht="15" customHeight="1" hidden="1" x14ac:dyDescent="0.3">
      <x:c r="A181" s="87">
        <x:v>720487</x:v>
      </x:c>
      <x:c r="B181" s="87" t="s">
        <x:v>265</x:v>
      </x:c>
      <x:c r="C181" s="87" t="s">
        <x:v>135</x:v>
      </x:c>
      <x:c r="D181" s="89" t="s">
        <x:v>63</x:v>
      </x:c>
      <x:c r="E181" s="87"/>
      <x:c r="F181" s="87"/>
      <x:c r="G181" s="87"/>
      <x:c r="H181" s="87"/>
      <x:c r="I181" s="87"/>
      <x:c r="J181" s="87"/>
      <x:c r="K181" s="87"/>
      <x:c r="L181" s="87"/>
      <x:c r="M181" s="87"/>
      <x:c r="N181" s="146"/>
      <x:c r="O181" s="106"/>
      <x:c r="P181" s="147"/>
      <x:c r="Q181" s="106"/>
      <x:c r="R181" s="106"/>
      <x:c r="S181" s="107">
        <x:f>SUM(E181:R181)</x:f>
      </x:c>
      <x:c r="T181" s="88">
        <x:v>15</x:v>
      </x:c>
      <x:c r="U181" s="88">
        <x:v>32.9</x:v>
      </x:c>
      <x:c r="V181" s="108">
        <x:f>S181*T181</x:f>
      </x:c>
    </x:row>
    <x:row r="182" spans="1:31" ht="15" customHeight="1" hidden="1" x14ac:dyDescent="0.3">
      <x:c r="A182" s="87">
        <x:v>720487</x:v>
      </x:c>
      <x:c r="B182" s="87" t="s">
        <x:v>266</x:v>
      </x:c>
      <x:c r="C182" s="87" t="s">
        <x:v>227</x:v>
      </x:c>
      <x:c r="D182" s="89" t="s">
        <x:v>63</x:v>
      </x:c>
      <x:c r="E182" s="87"/>
      <x:c r="F182" s="87"/>
      <x:c r="G182" s="87"/>
      <x:c r="H182" s="87"/>
      <x:c r="I182" s="87"/>
      <x:c r="J182" s="87"/>
      <x:c r="K182" s="87"/>
      <x:c r="L182" s="87"/>
      <x:c r="M182" s="87"/>
      <x:c r="N182" s="146"/>
      <x:c r="O182" s="106"/>
      <x:c r="P182" s="147"/>
      <x:c r="Q182" s="106"/>
      <x:c r="R182" s="106"/>
      <x:c r="S182" s="107">
        <x:f>SUM(E182:R182)</x:f>
      </x:c>
      <x:c r="T182" s="88">
        <x:v>15</x:v>
      </x:c>
      <x:c r="U182" s="88">
        <x:v>32.9</x:v>
      </x:c>
      <x:c r="V182" s="108">
        <x:f>S182*T182</x:f>
      </x:c>
    </x:row>
    <x:row r="183" spans="1:31" ht="15" customHeight="1" hidden="1" x14ac:dyDescent="0.3">
      <x:c r="A183" s="87">
        <x:v>720488</x:v>
      </x:c>
      <x:c r="B183" s="87" t="s">
        <x:v>267</x:v>
      </x:c>
      <x:c r="C183" s="87" t="s">
        <x:v>245</x:v>
      </x:c>
      <x:c r="D183" s="89" t="s">
        <x:v>63</x:v>
      </x:c>
      <x:c r="E183" s="87"/>
      <x:c r="F183" s="87"/>
      <x:c r="G183" s="87"/>
      <x:c r="H183" s="87"/>
      <x:c r="I183" s="87"/>
      <x:c r="J183" s="87"/>
      <x:c r="K183" s="87"/>
      <x:c r="L183" s="87"/>
      <x:c r="M183" s="87"/>
      <x:c r="N183" s="146"/>
      <x:c r="O183" s="106"/>
      <x:c r="P183" s="147"/>
      <x:c r="Q183" s="106"/>
      <x:c r="R183" s="106"/>
      <x:c r="S183" s="107">
        <x:f>SUM(E183:R183)</x:f>
      </x:c>
      <x:c r="T183" s="88">
        <x:v>15</x:v>
      </x:c>
      <x:c r="U183" s="88">
        <x:v>32.9</x:v>
      </x:c>
      <x:c r="V183" s="108">
        <x:f>S183*T183</x:f>
      </x:c>
    </x:row>
    <x:row r="184" spans="1:31" ht="15" customHeight="1" hidden="1" x14ac:dyDescent="0.3">
      <x:c r="A184" s="87">
        <x:v>720488</x:v>
      </x:c>
      <x:c r="B184" s="87" t="s">
        <x:v>268</x:v>
      </x:c>
      <x:c r="C184" s="87" t="s">
        <x:v>135</x:v>
      </x:c>
      <x:c r="D184" s="89" t="s">
        <x:v>63</x:v>
      </x:c>
      <x:c r="E184" s="87"/>
      <x:c r="F184" s="87"/>
      <x:c r="G184" s="87"/>
      <x:c r="H184" s="87"/>
      <x:c r="I184" s="87"/>
      <x:c r="J184" s="87"/>
      <x:c r="K184" s="87"/>
      <x:c r="L184" s="87"/>
      <x:c r="M184" s="87"/>
      <x:c r="N184" s="146"/>
      <x:c r="O184" s="106"/>
      <x:c r="P184" s="147"/>
      <x:c r="Q184" s="106"/>
      <x:c r="R184" s="106"/>
      <x:c r="S184" s="107">
        <x:f>SUM(E184:R184)</x:f>
      </x:c>
      <x:c r="T184" s="88">
        <x:v>15</x:v>
      </x:c>
      <x:c r="U184" s="88">
        <x:v>32.9</x:v>
      </x:c>
      <x:c r="V184" s="108">
        <x:f>S184*T184</x:f>
      </x:c>
    </x:row>
    <x:row r="185" spans="1:31" ht="15" customHeight="1" hidden="1" x14ac:dyDescent="0.3">
      <x:c r="A185" s="87">
        <x:v>720488</x:v>
      </x:c>
      <x:c r="B185" s="87" t="s">
        <x:v>269</x:v>
      </x:c>
      <x:c r="C185" s="87" t="s">
        <x:v>227</x:v>
      </x:c>
      <x:c r="D185" s="89" t="s">
        <x:v>63</x:v>
      </x:c>
      <x:c r="E185" s="87"/>
      <x:c r="F185" s="87"/>
      <x:c r="G185" s="87"/>
      <x:c r="H185" s="87"/>
      <x:c r="I185" s="87"/>
      <x:c r="J185" s="87"/>
      <x:c r="K185" s="87"/>
      <x:c r="L185" s="87"/>
      <x:c r="M185" s="87"/>
      <x:c r="N185" s="146"/>
      <x:c r="O185" s="106"/>
      <x:c r="P185" s="147"/>
      <x:c r="Q185" s="106"/>
      <x:c r="R185" s="106"/>
      <x:c r="S185" s="107">
        <x:f>SUM(E185:R185)</x:f>
      </x:c>
      <x:c r="T185" s="88">
        <x:v>15</x:v>
      </x:c>
      <x:c r="U185" s="88">
        <x:v>32.9</x:v>
      </x:c>
      <x:c r="V185" s="108">
        <x:f>S185*T185</x:f>
      </x:c>
    </x:row>
    <x:row r="186" spans="1:31" ht="15" customHeight="1" hidden="1" x14ac:dyDescent="0.3">
      <x:c r="A186" s="87">
        <x:v>720491</x:v>
      </x:c>
      <x:c r="B186" s="87" t="s">
        <x:v>270</x:v>
      </x:c>
      <x:c r="C186" s="87" t="s">
        <x:v>225</x:v>
      </x:c>
      <x:c r="D186" s="89" t="s">
        <x:v>63</x:v>
      </x:c>
      <x:c r="E186" s="87"/>
      <x:c r="F186" s="87"/>
      <x:c r="G186" s="87"/>
      <x:c r="H186" s="87"/>
      <x:c r="I186" s="87"/>
      <x:c r="J186" s="87"/>
      <x:c r="K186" s="87"/>
      <x:c r="L186" s="87"/>
      <x:c r="M186" s="87"/>
      <x:c r="N186" s="146"/>
      <x:c r="O186" s="106"/>
      <x:c r="P186" s="147"/>
      <x:c r="Q186" s="106"/>
      <x:c r="R186" s="106"/>
      <x:c r="S186" s="107">
        <x:f>SUM(E186:R186)</x:f>
      </x:c>
      <x:c r="T186" s="88">
        <x:v>13.6</x:v>
      </x:c>
      <x:c r="U186" s="88">
        <x:v>29.9</x:v>
      </x:c>
      <x:c r="V186" s="108">
        <x:f>S186*T186</x:f>
      </x:c>
    </x:row>
    <x:row r="187" spans="1:31" ht="15" customHeight="1" hidden="1" x14ac:dyDescent="0.3">
      <x:c r="A187" s="87">
        <x:v>720491</x:v>
      </x:c>
      <x:c r="B187" s="87" t="s">
        <x:v>271</x:v>
      </x:c>
      <x:c r="C187" s="87" t="s">
        <x:v>191</x:v>
      </x:c>
      <x:c r="D187" s="89" t="s">
        <x:v>63</x:v>
      </x:c>
      <x:c r="E187" s="87"/>
      <x:c r="F187" s="87"/>
      <x:c r="G187" s="87"/>
      <x:c r="H187" s="87"/>
      <x:c r="I187" s="87"/>
      <x:c r="J187" s="87"/>
      <x:c r="K187" s="87"/>
      <x:c r="L187" s="87"/>
      <x:c r="M187" s="87"/>
      <x:c r="N187" s="146"/>
      <x:c r="O187" s="106"/>
      <x:c r="P187" s="147"/>
      <x:c r="Q187" s="106"/>
      <x:c r="R187" s="106"/>
      <x:c r="S187" s="107">
        <x:f>SUM(E187:R187)</x:f>
      </x:c>
      <x:c r="T187" s="88">
        <x:v>13.6</x:v>
      </x:c>
      <x:c r="U187" s="88">
        <x:v>29.9</x:v>
      </x:c>
      <x:c r="V187" s="108">
        <x:f>S187*T187</x:f>
      </x:c>
    </x:row>
    <x:row r="188" spans="1:31" ht="15" customHeight="1" hidden="1" x14ac:dyDescent="0.3">
      <x:c r="A188" s="87">
        <x:v>720492</x:v>
      </x:c>
      <x:c r="B188" s="87" t="s">
        <x:v>272</x:v>
      </x:c>
      <x:c r="C188" s="87" t="s">
        <x:v>225</x:v>
      </x:c>
      <x:c r="D188" s="89" t="s">
        <x:v>63</x:v>
      </x:c>
      <x:c r="E188" s="87"/>
      <x:c r="F188" s="87"/>
      <x:c r="G188" s="87"/>
      <x:c r="H188" s="87"/>
      <x:c r="I188" s="87"/>
      <x:c r="J188" s="87"/>
      <x:c r="K188" s="87"/>
      <x:c r="L188" s="87"/>
      <x:c r="M188" s="87"/>
      <x:c r="N188" s="146"/>
      <x:c r="O188" s="106"/>
      <x:c r="P188" s="147"/>
      <x:c r="Q188" s="106"/>
      <x:c r="R188" s="106"/>
      <x:c r="S188" s="107">
        <x:f>SUM(E188:R188)</x:f>
      </x:c>
      <x:c r="T188" s="88">
        <x:v>13.6</x:v>
      </x:c>
      <x:c r="U188" s="88">
        <x:v>29.9</x:v>
      </x:c>
      <x:c r="V188" s="108">
        <x:f>S188*T188</x:f>
      </x:c>
    </x:row>
    <x:row r="189" spans="1:31" ht="15" customHeight="1" hidden="1" x14ac:dyDescent="0.3">
      <x:c r="A189" s="87">
        <x:v>720492</x:v>
      </x:c>
      <x:c r="B189" s="87" t="s">
        <x:v>273</x:v>
      </x:c>
      <x:c r="C189" s="87" t="s">
        <x:v>191</x:v>
      </x:c>
      <x:c r="D189" s="89" t="s">
        <x:v>63</x:v>
      </x:c>
      <x:c r="E189" s="87"/>
      <x:c r="F189" s="87"/>
      <x:c r="G189" s="87"/>
      <x:c r="H189" s="87"/>
      <x:c r="I189" s="87"/>
      <x:c r="J189" s="87"/>
      <x:c r="K189" s="87"/>
      <x:c r="L189" s="87"/>
      <x:c r="M189" s="87"/>
      <x:c r="N189" s="146"/>
      <x:c r="O189" s="106"/>
      <x:c r="P189" s="147"/>
      <x:c r="Q189" s="106"/>
      <x:c r="R189" s="106"/>
      <x:c r="S189" s="107">
        <x:f>SUM(E189:R189)</x:f>
      </x:c>
      <x:c r="T189" s="88">
        <x:v>13.6</x:v>
      </x:c>
      <x:c r="U189" s="88">
        <x:v>29.9</x:v>
      </x:c>
      <x:c r="V189" s="108">
        <x:f>S189*T189</x:f>
      </x:c>
    </x:row>
    <x:row r="190" spans="1:31" ht="15" customHeight="1" hidden="1" x14ac:dyDescent="0.3">
      <x:c r="A190" s="87">
        <x:v>720498</x:v>
      </x:c>
      <x:c r="B190" s="87" t="s">
        <x:v>274</x:v>
      </x:c>
      <x:c r="C190" s="87" t="s">
        <x:v>223</x:v>
      </x:c>
      <x:c r="D190" s="89" t="s">
        <x:v>63</x:v>
      </x:c>
      <x:c r="E190" s="87"/>
      <x:c r="F190" s="87"/>
      <x:c r="G190" s="87"/>
      <x:c r="H190" s="87"/>
      <x:c r="I190" s="87"/>
      <x:c r="J190" s="87"/>
      <x:c r="K190" s="87"/>
      <x:c r="L190" s="87"/>
      <x:c r="M190" s="87"/>
      <x:c r="N190" s="146"/>
      <x:c r="O190" s="106"/>
      <x:c r="P190" s="147"/>
      <x:c r="Q190" s="106"/>
      <x:c r="R190" s="106"/>
      <x:c r="S190" s="107">
        <x:f>SUM(E190:R190)</x:f>
      </x:c>
      <x:c r="T190" s="88">
        <x:v>13.6</x:v>
      </x:c>
      <x:c r="U190" s="88">
        <x:v>29.9</x:v>
      </x:c>
      <x:c r="V190" s="108">
        <x:f>S190*T190</x:f>
      </x:c>
    </x:row>
    <x:row r="191" spans="1:31" ht="15" customHeight="1" hidden="1" x14ac:dyDescent="0.3">
      <x:c r="A191" s="87">
        <x:v>720498</x:v>
      </x:c>
      <x:c r="B191" s="87" t="s">
        <x:v>275</x:v>
      </x:c>
      <x:c r="C191" s="87" t="s">
        <x:v>135</x:v>
      </x:c>
      <x:c r="D191" s="89" t="s">
        <x:v>63</x:v>
      </x:c>
      <x:c r="E191" s="87"/>
      <x:c r="F191" s="87"/>
      <x:c r="G191" s="87"/>
      <x:c r="H191" s="87"/>
      <x:c r="I191" s="87"/>
      <x:c r="J191" s="87"/>
      <x:c r="K191" s="87"/>
      <x:c r="L191" s="87"/>
      <x:c r="M191" s="87"/>
      <x:c r="N191" s="146"/>
      <x:c r="O191" s="106"/>
      <x:c r="P191" s="147"/>
      <x:c r="Q191" s="106"/>
      <x:c r="R191" s="106"/>
      <x:c r="S191" s="107">
        <x:f>SUM(E191:R191)</x:f>
      </x:c>
      <x:c r="T191" s="88">
        <x:v>13.6</x:v>
      </x:c>
      <x:c r="U191" s="88">
        <x:v>29.9</x:v>
      </x:c>
      <x:c r="V191" s="108">
        <x:f>S191*T191</x:f>
      </x:c>
    </x:row>
    <x:row r="192" spans="1:31" ht="15" customHeight="1" hidden="1" x14ac:dyDescent="0.3">
      <x:c r="A192" s="87">
        <x:v>720498</x:v>
      </x:c>
      <x:c r="B192" s="87" t="s">
        <x:v>276</x:v>
      </x:c>
      <x:c r="C192" s="87" t="s">
        <x:v>227</x:v>
      </x:c>
      <x:c r="D192" s="89" t="s">
        <x:v>63</x:v>
      </x:c>
      <x:c r="E192" s="87"/>
      <x:c r="F192" s="87"/>
      <x:c r="G192" s="87"/>
      <x:c r="H192" s="87"/>
      <x:c r="I192" s="87"/>
      <x:c r="J192" s="87"/>
      <x:c r="K192" s="87"/>
      <x:c r="L192" s="87"/>
      <x:c r="M192" s="87"/>
      <x:c r="N192" s="146"/>
      <x:c r="O192" s="106"/>
      <x:c r="P192" s="147"/>
      <x:c r="Q192" s="106"/>
      <x:c r="R192" s="106"/>
      <x:c r="S192" s="107">
        <x:f>SUM(E192:R192)</x:f>
      </x:c>
      <x:c r="T192" s="88">
        <x:v>13.6</x:v>
      </x:c>
      <x:c r="U192" s="88">
        <x:v>29.9</x:v>
      </x:c>
      <x:c r="V192" s="108">
        <x:f>S192*T192</x:f>
      </x:c>
    </x:row>
    <x:row r="193" spans="1:31" ht="15" customHeight="1" hidden="1" x14ac:dyDescent="0.3">
      <x:c r="A193" s="87">
        <x:v>720502</x:v>
      </x:c>
      <x:c r="B193" s="87" t="s">
        <x:v>277</x:v>
      </x:c>
      <x:c r="C193" s="87" t="s">
        <x:v>189</x:v>
      </x:c>
      <x:c r="D193" s="89" t="s">
        <x:v>63</x:v>
      </x:c>
      <x:c r="E193" s="87"/>
      <x:c r="F193" s="87"/>
      <x:c r="G193" s="87"/>
      <x:c r="H193" s="87"/>
      <x:c r="I193" s="87"/>
      <x:c r="J193" s="87"/>
      <x:c r="K193" s="87"/>
      <x:c r="L193" s="87"/>
      <x:c r="M193" s="87"/>
      <x:c r="N193" s="146"/>
      <x:c r="O193" s="106"/>
      <x:c r="P193" s="147"/>
      <x:c r="Q193" s="147"/>
      <x:c r="R193" s="147"/>
      <x:c r="S193" s="107">
        <x:f>SUM(E193:R193)</x:f>
      </x:c>
      <x:c r="T193" s="88">
        <x:v>18.2</x:v>
      </x:c>
      <x:c r="U193" s="88">
        <x:v>39.9</x:v>
      </x:c>
      <x:c r="V193" s="108">
        <x:f>S193*T193</x:f>
      </x:c>
    </x:row>
    <x:row r="194" spans="1:31" ht="15" customHeight="1" hidden="1" x14ac:dyDescent="0.3">
      <x:c r="A194" s="87">
        <x:v>720502</x:v>
      </x:c>
      <x:c r="B194" s="87" t="s">
        <x:v>278</x:v>
      </x:c>
      <x:c r="C194" s="87" t="s">
        <x:v>279</x:v>
      </x:c>
      <x:c r="D194" s="89" t="s">
        <x:v>63</x:v>
      </x:c>
      <x:c r="E194" s="87"/>
      <x:c r="F194" s="87"/>
      <x:c r="G194" s="87"/>
      <x:c r="H194" s="87"/>
      <x:c r="I194" s="87"/>
      <x:c r="J194" s="87"/>
      <x:c r="K194" s="87"/>
      <x:c r="L194" s="87"/>
      <x:c r="M194" s="87"/>
      <x:c r="N194" s="146"/>
      <x:c r="O194" s="106"/>
      <x:c r="P194" s="147"/>
      <x:c r="Q194" s="147"/>
      <x:c r="R194" s="147"/>
      <x:c r="S194" s="107">
        <x:f>SUM(E194:R194)</x:f>
      </x:c>
      <x:c r="T194" s="88">
        <x:v>18.2</x:v>
      </x:c>
      <x:c r="U194" s="88">
        <x:v>39.9</x:v>
      </x:c>
      <x:c r="V194" s="108">
        <x:f>S194*T194</x:f>
      </x:c>
    </x:row>
    <x:row r="195" spans="1:31" ht="15" customHeight="1" hidden="1" x14ac:dyDescent="0.3">
      <x:c r="A195" s="87">
        <x:v>720502</x:v>
      </x:c>
      <x:c r="B195" s="87" t="s">
        <x:v>280</x:v>
      </x:c>
      <x:c r="C195" s="87" t="s">
        <x:v>135</x:v>
      </x:c>
      <x:c r="D195" s="89" t="s">
        <x:v>63</x:v>
      </x:c>
      <x:c r="E195" s="87"/>
      <x:c r="F195" s="87"/>
      <x:c r="G195" s="87"/>
      <x:c r="H195" s="87"/>
      <x:c r="I195" s="87"/>
      <x:c r="J195" s="87"/>
      <x:c r="K195" s="87"/>
      <x:c r="L195" s="87"/>
      <x:c r="M195" s="87"/>
      <x:c r="N195" s="146"/>
      <x:c r="O195" s="106"/>
      <x:c r="P195" s="147"/>
      <x:c r="Q195" s="147"/>
      <x:c r="R195" s="147"/>
      <x:c r="S195" s="107">
        <x:f>SUM(E195:R195)</x:f>
      </x:c>
      <x:c r="T195" s="88">
        <x:v>18.2</x:v>
      </x:c>
      <x:c r="U195" s="88">
        <x:v>39.9</x:v>
      </x:c>
      <x:c r="V195" s="108">
        <x:f>S195*T195</x:f>
      </x:c>
    </x:row>
    <x:row r="196" spans="1:31" ht="15" customHeight="1" hidden="1" x14ac:dyDescent="0.3">
      <x:c r="A196" s="87">
        <x:v>720502</x:v>
      </x:c>
      <x:c r="B196" s="87" t="s">
        <x:v>281</x:v>
      </x:c>
      <x:c r="C196" s="87" t="s">
        <x:v>227</x:v>
      </x:c>
      <x:c r="D196" s="89" t="s">
        <x:v>63</x:v>
      </x:c>
      <x:c r="E196" s="87"/>
      <x:c r="F196" s="87"/>
      <x:c r="G196" s="87"/>
      <x:c r="H196" s="87"/>
      <x:c r="I196" s="87"/>
      <x:c r="J196" s="87"/>
      <x:c r="K196" s="87"/>
      <x:c r="L196" s="87"/>
      <x:c r="M196" s="87"/>
      <x:c r="N196" s="146"/>
      <x:c r="O196" s="106"/>
      <x:c r="P196" s="147"/>
      <x:c r="Q196" s="147"/>
      <x:c r="R196" s="147"/>
      <x:c r="S196" s="107">
        <x:f>SUM(E196:R196)</x:f>
      </x:c>
      <x:c r="T196" s="88">
        <x:v>18.2</x:v>
      </x:c>
      <x:c r="U196" s="88">
        <x:v>39.9</x:v>
      </x:c>
      <x:c r="V196" s="108">
        <x:f>S196*T196</x:f>
      </x:c>
    </x:row>
    <x:row r="197" spans="1:31" ht="15" customHeight="1" hidden="1" x14ac:dyDescent="0.3">
      <x:c r="A197" s="87">
        <x:v>720505</x:v>
      </x:c>
      <x:c r="B197" s="87" t="s">
        <x:v>282</x:v>
      </x:c>
      <x:c r="C197" s="87" t="s">
        <x:v>223</x:v>
      </x:c>
      <x:c r="D197" s="89" t="s">
        <x:v>63</x:v>
      </x:c>
      <x:c r="E197" s="87"/>
      <x:c r="F197" s="87"/>
      <x:c r="G197" s="87"/>
      <x:c r="H197" s="87"/>
      <x:c r="I197" s="87"/>
      <x:c r="J197" s="87"/>
      <x:c r="K197" s="87"/>
      <x:c r="L197" s="87"/>
      <x:c r="M197" s="87"/>
      <x:c r="N197" s="146"/>
      <x:c r="O197" s="106"/>
      <x:c r="P197" s="147"/>
      <x:c r="Q197" s="106"/>
      <x:c r="R197" s="106"/>
      <x:c r="S197" s="107">
        <x:f>SUM(E197:R197)</x:f>
      </x:c>
      <x:c r="T197" s="88">
        <x:v>12.3</x:v>
      </x:c>
      <x:c r="U197" s="88">
        <x:v>26.9</x:v>
      </x:c>
      <x:c r="V197" s="108">
        <x:f>S197*T197</x:f>
      </x:c>
    </x:row>
    <x:row r="198" spans="1:31" ht="15" customHeight="1" hidden="1" x14ac:dyDescent="0.3">
      <x:c r="A198" s="87">
        <x:v>720505</x:v>
      </x:c>
      <x:c r="B198" s="87" t="s">
        <x:v>283</x:v>
      </x:c>
      <x:c r="C198" s="87" t="s">
        <x:v>229</x:v>
      </x:c>
      <x:c r="D198" s="89" t="s">
        <x:v>63</x:v>
      </x:c>
      <x:c r="E198" s="87"/>
      <x:c r="F198" s="87"/>
      <x:c r="G198" s="87"/>
      <x:c r="H198" s="87"/>
      <x:c r="I198" s="87"/>
      <x:c r="J198" s="87"/>
      <x:c r="K198" s="87"/>
      <x:c r="L198" s="87"/>
      <x:c r="M198" s="87"/>
      <x:c r="N198" s="146"/>
      <x:c r="O198" s="106"/>
      <x:c r="P198" s="147"/>
      <x:c r="Q198" s="106"/>
      <x:c r="R198" s="106"/>
      <x:c r="S198" s="107">
        <x:f>SUM(E198:R198)</x:f>
      </x:c>
      <x:c r="T198" s="88">
        <x:v>12.3</x:v>
      </x:c>
      <x:c r="U198" s="88">
        <x:v>26.9</x:v>
      </x:c>
      <x:c r="V198" s="108">
        <x:f>S198*T198</x:f>
      </x:c>
    </x:row>
    <x:row r="199" spans="1:31" ht="15" customHeight="1" hidden="1" x14ac:dyDescent="0.3">
      <x:c r="A199" s="87">
        <x:v>720505</x:v>
      </x:c>
      <x:c r="B199" s="87" t="s">
        <x:v>284</x:v>
      </x:c>
      <x:c r="C199" s="87" t="s">
        <x:v>231</x:v>
      </x:c>
      <x:c r="D199" s="89" t="s">
        <x:v>63</x:v>
      </x:c>
      <x:c r="E199" s="87"/>
      <x:c r="F199" s="87"/>
      <x:c r="G199" s="87"/>
      <x:c r="H199" s="87"/>
      <x:c r="I199" s="87"/>
      <x:c r="J199" s="87"/>
      <x:c r="K199" s="87"/>
      <x:c r="L199" s="87"/>
      <x:c r="M199" s="87"/>
      <x:c r="N199" s="146"/>
      <x:c r="O199" s="106"/>
      <x:c r="P199" s="147"/>
      <x:c r="Q199" s="106"/>
      <x:c r="R199" s="106"/>
      <x:c r="S199" s="107">
        <x:f>SUM(E199:R199)</x:f>
      </x:c>
      <x:c r="T199" s="88">
        <x:v>12.3</x:v>
      </x:c>
      <x:c r="U199" s="88">
        <x:v>26.9</x:v>
      </x:c>
      <x:c r="V199" s="108">
        <x:f>S199*T199</x:f>
      </x:c>
    </x:row>
    <x:row r="200" spans="1:31" ht="15" customHeight="1" hidden="1" x14ac:dyDescent="0.3">
      <x:c r="A200" s="87">
        <x:v>720506</x:v>
      </x:c>
      <x:c r="B200" s="87" t="s">
        <x:v>285</x:v>
      </x:c>
      <x:c r="C200" s="87" t="s">
        <x:v>286</x:v>
      </x:c>
      <x:c r="D200" s="89" t="s">
        <x:v>63</x:v>
      </x:c>
      <x:c r="E200" s="87"/>
      <x:c r="F200" s="87"/>
      <x:c r="G200" s="87"/>
      <x:c r="H200" s="87"/>
      <x:c r="I200" s="87"/>
      <x:c r="J200" s="87"/>
      <x:c r="K200" s="87"/>
      <x:c r="L200" s="87"/>
      <x:c r="M200" s="87"/>
      <x:c r="N200" s="146"/>
      <x:c r="O200" s="106"/>
      <x:c r="P200" s="147"/>
      <x:c r="Q200" s="106"/>
      <x:c r="R200" s="106"/>
      <x:c r="S200" s="107">
        <x:f>SUM(E200:R200)</x:f>
      </x:c>
      <x:c r="T200" s="88">
        <x:v>13.6</x:v>
      </x:c>
      <x:c r="U200" s="88">
        <x:v>29.9</x:v>
      </x:c>
      <x:c r="V200" s="108">
        <x:f>S200*T200</x:f>
      </x:c>
    </x:row>
    <x:row r="201" spans="1:31" ht="15" customHeight="1" hidden="1" x14ac:dyDescent="0.3">
      <x:c r="A201" s="87">
        <x:v>720506</x:v>
      </x:c>
      <x:c r="B201" s="87" t="s">
        <x:v>287</x:v>
      </x:c>
      <x:c r="C201" s="87" t="s">
        <x:v>251</x:v>
      </x:c>
      <x:c r="D201" s="89" t="s">
        <x:v>63</x:v>
      </x:c>
      <x:c r="E201" s="87"/>
      <x:c r="F201" s="87"/>
      <x:c r="G201" s="87"/>
      <x:c r="H201" s="87"/>
      <x:c r="I201" s="87"/>
      <x:c r="J201" s="87"/>
      <x:c r="K201" s="87"/>
      <x:c r="L201" s="87"/>
      <x:c r="M201" s="87"/>
      <x:c r="N201" s="146"/>
      <x:c r="O201" s="106"/>
      <x:c r="P201" s="147"/>
      <x:c r="Q201" s="106"/>
      <x:c r="R201" s="106"/>
      <x:c r="S201" s="107">
        <x:f>SUM(E201:R201)</x:f>
      </x:c>
      <x:c r="T201" s="88">
        <x:v>13.6</x:v>
      </x:c>
      <x:c r="U201" s="88">
        <x:v>29.9</x:v>
      </x:c>
      <x:c r="V201" s="108">
        <x:f>S201*T201</x:f>
      </x:c>
    </x:row>
    <x:row r="202" spans="1:31" ht="15" customHeight="1" hidden="1" x14ac:dyDescent="0.3">
      <x:c r="A202" s="87">
        <x:v>720506</x:v>
      </x:c>
      <x:c r="B202" s="87" t="s">
        <x:v>288</x:v>
      </x:c>
      <x:c r="C202" s="87" t="s">
        <x:v>225</x:v>
      </x:c>
      <x:c r="D202" s="89" t="s">
        <x:v>63</x:v>
      </x:c>
      <x:c r="E202" s="87"/>
      <x:c r="F202" s="87"/>
      <x:c r="G202" s="87"/>
      <x:c r="H202" s="87"/>
      <x:c r="I202" s="87"/>
      <x:c r="J202" s="87"/>
      <x:c r="K202" s="87"/>
      <x:c r="L202" s="87"/>
      <x:c r="M202" s="87"/>
      <x:c r="N202" s="146"/>
      <x:c r="O202" s="106"/>
      <x:c r="P202" s="147"/>
      <x:c r="Q202" s="106"/>
      <x:c r="R202" s="106"/>
      <x:c r="S202" s="107">
        <x:f>SUM(E202:R202)</x:f>
      </x:c>
      <x:c r="T202" s="88">
        <x:v>13.6</x:v>
      </x:c>
      <x:c r="U202" s="88">
        <x:v>29.9</x:v>
      </x:c>
      <x:c r="V202" s="108">
        <x:f>S202*T202</x:f>
      </x:c>
    </x:row>
    <x:row r="203" spans="1:31" ht="15" customHeight="1" hidden="1" x14ac:dyDescent="0.3">
      <x:c r="A203" s="87">
        <x:v>720506</x:v>
      </x:c>
      <x:c r="B203" s="87" t="s">
        <x:v>289</x:v>
      </x:c>
      <x:c r="C203" s="87" t="s">
        <x:v>193</x:v>
      </x:c>
      <x:c r="D203" s="89" t="s">
        <x:v>63</x:v>
      </x:c>
      <x:c r="E203" s="87"/>
      <x:c r="F203" s="87"/>
      <x:c r="G203" s="87"/>
      <x:c r="H203" s="87"/>
      <x:c r="I203" s="87"/>
      <x:c r="J203" s="87"/>
      <x:c r="K203" s="87"/>
      <x:c r="L203" s="87"/>
      <x:c r="M203" s="87"/>
      <x:c r="N203" s="146"/>
      <x:c r="O203" s="106"/>
      <x:c r="P203" s="147"/>
      <x:c r="Q203" s="106"/>
      <x:c r="R203" s="106"/>
      <x:c r="S203" s="107">
        <x:f>SUM(E203:R203)</x:f>
      </x:c>
      <x:c r="T203" s="88">
        <x:v>13.6</x:v>
      </x:c>
      <x:c r="U203" s="88">
        <x:v>29.9</x:v>
      </x:c>
      <x:c r="V203" s="108">
        <x:f>S203*T203</x:f>
      </x:c>
    </x:row>
    <x:row r="204" spans="1:31" ht="15" customHeight="1" hidden="1" x14ac:dyDescent="0.3">
      <x:c r="A204" s="87">
        <x:v>720506</x:v>
      </x:c>
      <x:c r="B204" s="87" t="s">
        <x:v>290</x:v>
      </x:c>
      <x:c r="C204" s="87" t="s">
        <x:v>227</x:v>
      </x:c>
      <x:c r="D204" s="89" t="s">
        <x:v>63</x:v>
      </x:c>
      <x:c r="E204" s="87"/>
      <x:c r="F204" s="87"/>
      <x:c r="G204" s="87"/>
      <x:c r="H204" s="87"/>
      <x:c r="I204" s="87"/>
      <x:c r="J204" s="87"/>
      <x:c r="K204" s="87"/>
      <x:c r="L204" s="87"/>
      <x:c r="M204" s="87"/>
      <x:c r="N204" s="146"/>
      <x:c r="O204" s="106"/>
      <x:c r="P204" s="147"/>
      <x:c r="Q204" s="106"/>
      <x:c r="R204" s="106"/>
      <x:c r="S204" s="107">
        <x:f>SUM(E204:R204)</x:f>
      </x:c>
      <x:c r="T204" s="88">
        <x:v>13.6</x:v>
      </x:c>
      <x:c r="U204" s="88">
        <x:v>29.9</x:v>
      </x:c>
      <x:c r="V204" s="108">
        <x:f>S204*T204</x:f>
      </x:c>
    </x:row>
    <x:row r="205" spans="1:31" ht="15" customHeight="1" hidden="1" x14ac:dyDescent="0.3">
      <x:c r="A205" s="87">
        <x:v>720506</x:v>
      </x:c>
      <x:c r="B205" s="87" t="s">
        <x:v>291</x:v>
      </x:c>
      <x:c r="C205" s="87" t="s">
        <x:v>197</x:v>
      </x:c>
      <x:c r="D205" s="89" t="s">
        <x:v>63</x:v>
      </x:c>
      <x:c r="E205" s="87"/>
      <x:c r="F205" s="87"/>
      <x:c r="G205" s="87"/>
      <x:c r="H205" s="87"/>
      <x:c r="I205" s="87"/>
      <x:c r="J205" s="87"/>
      <x:c r="K205" s="87"/>
      <x:c r="L205" s="87"/>
      <x:c r="M205" s="87"/>
      <x:c r="N205" s="146"/>
      <x:c r="O205" s="106"/>
      <x:c r="P205" s="147"/>
      <x:c r="Q205" s="106"/>
      <x:c r="R205" s="106"/>
      <x:c r="S205" s="107">
        <x:f>SUM(E205:R205)</x:f>
      </x:c>
      <x:c r="T205" s="88">
        <x:v>13.6</x:v>
      </x:c>
      <x:c r="U205" s="88">
        <x:v>29.9</x:v>
      </x:c>
      <x:c r="V205" s="108">
        <x:f>S205*T205</x:f>
      </x:c>
    </x:row>
    <x:row r="206" spans="1:31" ht="15" customHeight="1" hidden="1" x14ac:dyDescent="0.3">
      <x:c r="A206" s="87">
        <x:v>720509</x:v>
      </x:c>
      <x:c r="B206" s="87" t="s">
        <x:v>292</x:v>
      </x:c>
      <x:c r="C206" s="87" t="s">
        <x:v>223</x:v>
      </x:c>
      <x:c r="D206" s="89" t="s">
        <x:v>63</x:v>
      </x:c>
      <x:c r="E206" s="87"/>
      <x:c r="F206" s="87"/>
      <x:c r="G206" s="87"/>
      <x:c r="H206" s="87"/>
      <x:c r="I206" s="87"/>
      <x:c r="J206" s="87"/>
      <x:c r="K206" s="87"/>
      <x:c r="L206" s="87"/>
      <x:c r="M206" s="87"/>
      <x:c r="N206" s="146"/>
      <x:c r="O206" s="106"/>
      <x:c r="P206" s="147"/>
      <x:c r="Q206" s="147"/>
      <x:c r="R206" s="147"/>
      <x:c r="S206" s="107">
        <x:f>SUM(E206:R206)</x:f>
      </x:c>
      <x:c r="T206" s="88">
        <x:v>15</x:v>
      </x:c>
      <x:c r="U206" s="88">
        <x:v>32.9</x:v>
      </x:c>
      <x:c r="V206" s="108">
        <x:f>S206*T206</x:f>
      </x:c>
    </x:row>
    <x:row r="207" spans="1:31" ht="15" customHeight="1" hidden="1" x14ac:dyDescent="0.3">
      <x:c r="A207" s="87">
        <x:v>720509</x:v>
      </x:c>
      <x:c r="B207" s="87" t="s">
        <x:v>293</x:v>
      </x:c>
      <x:c r="C207" s="87" t="s">
        <x:v>225</x:v>
      </x:c>
      <x:c r="D207" s="89" t="s">
        <x:v>63</x:v>
      </x:c>
      <x:c r="E207" s="87"/>
      <x:c r="F207" s="87"/>
      <x:c r="G207" s="87"/>
      <x:c r="H207" s="87"/>
      <x:c r="I207" s="87"/>
      <x:c r="J207" s="87"/>
      <x:c r="K207" s="87"/>
      <x:c r="L207" s="87"/>
      <x:c r="M207" s="87"/>
      <x:c r="N207" s="146"/>
      <x:c r="O207" s="106"/>
      <x:c r="P207" s="147"/>
      <x:c r="Q207" s="147"/>
      <x:c r="R207" s="147"/>
      <x:c r="S207" s="107">
        <x:f>SUM(E207:R207)</x:f>
      </x:c>
      <x:c r="T207" s="88">
        <x:v>15</x:v>
      </x:c>
      <x:c r="U207" s="88">
        <x:v>32.9</x:v>
      </x:c>
      <x:c r="V207" s="108">
        <x:f>S207*T207</x:f>
      </x:c>
    </x:row>
    <x:row r="208" spans="1:31" ht="15" customHeight="1" hidden="1" x14ac:dyDescent="0.3">
      <x:c r="A208" s="87">
        <x:v>720509</x:v>
      </x:c>
      <x:c r="B208" s="87" t="s">
        <x:v>294</x:v>
      </x:c>
      <x:c r="C208" s="87" t="s">
        <x:v>193</x:v>
      </x:c>
      <x:c r="D208" s="89" t="s">
        <x:v>63</x:v>
      </x:c>
      <x:c r="E208" s="87"/>
      <x:c r="F208" s="87"/>
      <x:c r="G208" s="87"/>
      <x:c r="H208" s="87"/>
      <x:c r="I208" s="87"/>
      <x:c r="J208" s="87"/>
      <x:c r="K208" s="87"/>
      <x:c r="L208" s="87"/>
      <x:c r="M208" s="87"/>
      <x:c r="N208" s="146"/>
      <x:c r="O208" s="106"/>
      <x:c r="P208" s="147"/>
      <x:c r="Q208" s="147"/>
      <x:c r="R208" s="147"/>
      <x:c r="S208" s="107">
        <x:f>SUM(E208:R208)</x:f>
      </x:c>
      <x:c r="T208" s="88">
        <x:v>15</x:v>
      </x:c>
      <x:c r="U208" s="88">
        <x:v>32.9</x:v>
      </x:c>
      <x:c r="V208" s="108">
        <x:f>S208*T208</x:f>
      </x:c>
    </x:row>
    <x:row r="209" spans="1:31" ht="15" customHeight="1" hidden="1" x14ac:dyDescent="0.3">
      <x:c r="A209" s="87">
        <x:v>720509</x:v>
      </x:c>
      <x:c r="B209" s="87" t="s">
        <x:v>295</x:v>
      </x:c>
      <x:c r="C209" s="87" t="s">
        <x:v>296</x:v>
      </x:c>
      <x:c r="D209" s="89" t="s">
        <x:v>63</x:v>
      </x:c>
      <x:c r="E209" s="87"/>
      <x:c r="F209" s="87"/>
      <x:c r="G209" s="87"/>
      <x:c r="H209" s="87"/>
      <x:c r="I209" s="87"/>
      <x:c r="J209" s="87"/>
      <x:c r="K209" s="87"/>
      <x:c r="L209" s="87"/>
      <x:c r="M209" s="87"/>
      <x:c r="N209" s="146"/>
      <x:c r="O209" s="106"/>
      <x:c r="P209" s="147"/>
      <x:c r="Q209" s="147"/>
      <x:c r="R209" s="147"/>
      <x:c r="S209" s="107">
        <x:f>SUM(E209:R209)</x:f>
      </x:c>
      <x:c r="T209" s="88">
        <x:v>15</x:v>
      </x:c>
      <x:c r="U209" s="88">
        <x:v>32.9</x:v>
      </x:c>
      <x:c r="V209" s="108">
        <x:f>S209*T209</x:f>
      </x:c>
    </x:row>
    <x:row r="210" spans="1:31" ht="15" customHeight="1" hidden="1" x14ac:dyDescent="0.3">
      <x:c r="A210" s="87">
        <x:v>720515</x:v>
      </x:c>
      <x:c r="B210" s="87" t="s">
        <x:v>297</x:v>
      </x:c>
      <x:c r="C210" s="87" t="s">
        <x:v>286</x:v>
      </x:c>
      <x:c r="D210" s="89" t="s">
        <x:v>63</x:v>
      </x:c>
      <x:c r="E210" s="87"/>
      <x:c r="F210" s="87"/>
      <x:c r="G210" s="87"/>
      <x:c r="H210" s="87"/>
      <x:c r="I210" s="87"/>
      <x:c r="J210" s="87"/>
      <x:c r="K210" s="87"/>
      <x:c r="L210" s="87"/>
      <x:c r="M210" s="87"/>
      <x:c r="N210" s="146"/>
      <x:c r="O210" s="106"/>
      <x:c r="P210" s="147"/>
      <x:c r="Q210" s="147"/>
      <x:c r="R210" s="147"/>
      <x:c r="S210" s="107">
        <x:f>SUM(E210:R210)</x:f>
      </x:c>
      <x:c r="T210" s="88">
        <x:v>10.9</x:v>
      </x:c>
      <x:c r="U210" s="88">
        <x:v>23.9</x:v>
      </x:c>
      <x:c r="V210" s="108">
        <x:f>S210*T210</x:f>
      </x:c>
    </x:row>
    <x:row r="211" spans="1:31" ht="15" customHeight="1" hidden="1" x14ac:dyDescent="0.3">
      <x:c r="A211" s="87">
        <x:v>720515</x:v>
      </x:c>
      <x:c r="B211" s="87" t="s">
        <x:v>298</x:v>
      </x:c>
      <x:c r="C211" s="87" t="s">
        <x:v>193</x:v>
      </x:c>
      <x:c r="D211" s="89" t="s">
        <x:v>63</x:v>
      </x:c>
      <x:c r="E211" s="87"/>
      <x:c r="F211" s="87"/>
      <x:c r="G211" s="87"/>
      <x:c r="H211" s="87"/>
      <x:c r="I211" s="87"/>
      <x:c r="J211" s="87"/>
      <x:c r="K211" s="87"/>
      <x:c r="L211" s="87"/>
      <x:c r="M211" s="87"/>
      <x:c r="N211" s="146"/>
      <x:c r="O211" s="106"/>
      <x:c r="P211" s="147"/>
      <x:c r="Q211" s="147"/>
      <x:c r="R211" s="147"/>
      <x:c r="S211" s="107">
        <x:f>SUM(E211:R211)</x:f>
      </x:c>
      <x:c r="T211" s="88">
        <x:v>10.9</x:v>
      </x:c>
      <x:c r="U211" s="88">
        <x:v>23.9</x:v>
      </x:c>
      <x:c r="V211" s="108">
        <x:f>S211*T211</x:f>
      </x:c>
    </x:row>
    <x:row r="212" spans="1:31" ht="15" customHeight="1" hidden="1" x14ac:dyDescent="0.3">
      <x:c r="A212" s="87">
        <x:v>720515</x:v>
      </x:c>
      <x:c r="B212" s="87" t="s">
        <x:v>299</x:v>
      </x:c>
      <x:c r="C212" s="87" t="s">
        <x:v>135</x:v>
      </x:c>
      <x:c r="D212" s="89" t="s">
        <x:v>63</x:v>
      </x:c>
      <x:c r="E212" s="87"/>
      <x:c r="F212" s="87"/>
      <x:c r="G212" s="87"/>
      <x:c r="H212" s="87"/>
      <x:c r="I212" s="87"/>
      <x:c r="J212" s="87"/>
      <x:c r="K212" s="87"/>
      <x:c r="L212" s="87"/>
      <x:c r="M212" s="87"/>
      <x:c r="N212" s="146"/>
      <x:c r="O212" s="106"/>
      <x:c r="P212" s="147"/>
      <x:c r="Q212" s="147"/>
      <x:c r="R212" s="147"/>
      <x:c r="S212" s="107">
        <x:f>SUM(E212:R212)</x:f>
      </x:c>
      <x:c r="T212" s="88">
        <x:v>10.9</x:v>
      </x:c>
      <x:c r="U212" s="88">
        <x:v>23.9</x:v>
      </x:c>
      <x:c r="V212" s="108">
        <x:f>S212*T212</x:f>
      </x:c>
    </x:row>
    <x:row r="213" spans="1:31" ht="15" customHeight="1" hidden="1" x14ac:dyDescent="0.3">
      <x:c r="A213" s="87">
        <x:v>720515</x:v>
      </x:c>
      <x:c r="B213" s="87" t="s">
        <x:v>300</x:v>
      </x:c>
      <x:c r="C213" s="87" t="s">
        <x:v>301</x:v>
      </x:c>
      <x:c r="D213" s="89" t="s">
        <x:v>63</x:v>
      </x:c>
      <x:c r="E213" s="87"/>
      <x:c r="F213" s="87"/>
      <x:c r="G213" s="87"/>
      <x:c r="H213" s="87"/>
      <x:c r="I213" s="87"/>
      <x:c r="J213" s="87"/>
      <x:c r="K213" s="87"/>
      <x:c r="L213" s="87"/>
      <x:c r="M213" s="87"/>
      <x:c r="N213" s="146"/>
      <x:c r="O213" s="106"/>
      <x:c r="P213" s="147"/>
      <x:c r="Q213" s="147"/>
      <x:c r="R213" s="147"/>
      <x:c r="S213" s="107">
        <x:f>SUM(E213:R213)</x:f>
      </x:c>
      <x:c r="T213" s="88">
        <x:v>10.9</x:v>
      </x:c>
      <x:c r="U213" s="88">
        <x:v>23.9</x:v>
      </x:c>
      <x:c r="V213" s="108">
        <x:f>S213*T213</x:f>
      </x:c>
    </x:row>
    <x:row r="214" spans="1:31" ht="15" customHeight="1" hidden="1" x14ac:dyDescent="0.3">
      <x:c r="A214" s="87">
        <x:v>720517</x:v>
      </x:c>
      <x:c r="B214" s="87" t="s">
        <x:v>302</x:v>
      </x:c>
      <x:c r="C214" s="87" t="s">
        <x:v>286</x:v>
      </x:c>
      <x:c r="D214" s="89" t="s">
        <x:v>63</x:v>
      </x:c>
      <x:c r="E214" s="87"/>
      <x:c r="F214" s="87"/>
      <x:c r="G214" s="87"/>
      <x:c r="H214" s="87"/>
      <x:c r="I214" s="87"/>
      <x:c r="J214" s="87"/>
      <x:c r="K214" s="87"/>
      <x:c r="L214" s="87"/>
      <x:c r="M214" s="87"/>
      <x:c r="N214" s="146"/>
      <x:c r="O214" s="106"/>
      <x:c r="P214" s="147"/>
      <x:c r="Q214" s="106"/>
      <x:c r="R214" s="106"/>
      <x:c r="S214" s="107">
        <x:f>SUM(E214:R214)</x:f>
      </x:c>
      <x:c r="T214" s="88">
        <x:v>13.6</x:v>
      </x:c>
      <x:c r="U214" s="88">
        <x:v>29.9</x:v>
      </x:c>
      <x:c r="V214" s="108">
        <x:f>S214*T214</x:f>
      </x:c>
    </x:row>
    <x:row r="215" spans="1:31" ht="15" customHeight="1" hidden="1" x14ac:dyDescent="0.3">
      <x:c r="A215" s="87">
        <x:v>720517</x:v>
      </x:c>
      <x:c r="B215" s="87" t="s">
        <x:v>303</x:v>
      </x:c>
      <x:c r="C215" s="87" t="s">
        <x:v>225</x:v>
      </x:c>
      <x:c r="D215" s="89" t="s">
        <x:v>63</x:v>
      </x:c>
      <x:c r="E215" s="87"/>
      <x:c r="F215" s="87"/>
      <x:c r="G215" s="87"/>
      <x:c r="H215" s="87"/>
      <x:c r="I215" s="87"/>
      <x:c r="J215" s="87"/>
      <x:c r="K215" s="87"/>
      <x:c r="L215" s="87"/>
      <x:c r="M215" s="87"/>
      <x:c r="N215" s="146"/>
      <x:c r="O215" s="106"/>
      <x:c r="P215" s="147"/>
      <x:c r="Q215" s="106"/>
      <x:c r="R215" s="106"/>
      <x:c r="S215" s="107">
        <x:f>SUM(E215:R215)</x:f>
      </x:c>
      <x:c r="T215" s="88">
        <x:v>13.6</x:v>
      </x:c>
      <x:c r="U215" s="88">
        <x:v>29.9</x:v>
      </x:c>
      <x:c r="V215" s="108">
        <x:f>S215*T215</x:f>
      </x:c>
    </x:row>
    <x:row r="216" spans="1:31" ht="15" customHeight="1" hidden="1" x14ac:dyDescent="0.3">
      <x:c r="A216" s="87">
        <x:v>720517</x:v>
      </x:c>
      <x:c r="B216" s="87" t="s">
        <x:v>304</x:v>
      </x:c>
      <x:c r="C216" s="87" t="s">
        <x:v>193</x:v>
      </x:c>
      <x:c r="D216" s="89" t="s">
        <x:v>63</x:v>
      </x:c>
      <x:c r="E216" s="87"/>
      <x:c r="F216" s="87"/>
      <x:c r="G216" s="87"/>
      <x:c r="H216" s="87"/>
      <x:c r="I216" s="87"/>
      <x:c r="J216" s="87"/>
      <x:c r="K216" s="87"/>
      <x:c r="L216" s="87"/>
      <x:c r="M216" s="87"/>
      <x:c r="N216" s="146"/>
      <x:c r="O216" s="106"/>
      <x:c r="P216" s="147"/>
      <x:c r="Q216" s="106"/>
      <x:c r="R216" s="106"/>
      <x:c r="S216" s="107">
        <x:f>SUM(E216:R216)</x:f>
      </x:c>
      <x:c r="T216" s="88">
        <x:v>13.6</x:v>
      </x:c>
      <x:c r="U216" s="88">
        <x:v>29.9</x:v>
      </x:c>
      <x:c r="V216" s="108">
        <x:f>S216*T216</x:f>
      </x:c>
    </x:row>
    <x:row r="217" spans="1:31" ht="15" customHeight="1" hidden="1" x14ac:dyDescent="0.3">
      <x:c r="A217" s="87">
        <x:v>720517</x:v>
      </x:c>
      <x:c r="B217" s="87" t="s">
        <x:v>305</x:v>
      </x:c>
      <x:c r="C217" s="87" t="s">
        <x:v>231</x:v>
      </x:c>
      <x:c r="D217" s="89" t="s">
        <x:v>63</x:v>
      </x:c>
      <x:c r="E217" s="87"/>
      <x:c r="F217" s="87"/>
      <x:c r="G217" s="87"/>
      <x:c r="H217" s="87"/>
      <x:c r="I217" s="87"/>
      <x:c r="J217" s="87"/>
      <x:c r="K217" s="87"/>
      <x:c r="L217" s="87"/>
      <x:c r="M217" s="87"/>
      <x:c r="N217" s="146"/>
      <x:c r="O217" s="106"/>
      <x:c r="P217" s="147"/>
      <x:c r="Q217" s="106"/>
      <x:c r="R217" s="106"/>
      <x:c r="S217" s="107">
        <x:f>SUM(E217:R217)</x:f>
      </x:c>
      <x:c r="T217" s="88">
        <x:v>13.6</x:v>
      </x:c>
      <x:c r="U217" s="88">
        <x:v>29.9</x:v>
      </x:c>
      <x:c r="V217" s="108">
        <x:f>S217*T217</x:f>
      </x:c>
    </x:row>
    <x:row r="218" spans="1:31" ht="15" customHeight="1" hidden="1" x14ac:dyDescent="0.3">
      <x:c r="A218" s="87">
        <x:v>720519</x:v>
      </x:c>
      <x:c r="B218" s="87" t="s">
        <x:v>306</x:v>
      </x:c>
      <x:c r="C218" s="87" t="s">
        <x:v>135</x:v>
      </x:c>
      <x:c r="D218" s="89" t="s">
        <x:v>63</x:v>
      </x:c>
      <x:c r="E218" s="87"/>
      <x:c r="F218" s="87"/>
      <x:c r="G218" s="87"/>
      <x:c r="H218" s="87"/>
      <x:c r="I218" s="87"/>
      <x:c r="J218" s="87"/>
      <x:c r="K218" s="87"/>
      <x:c r="L218" s="87"/>
      <x:c r="M218" s="87"/>
      <x:c r="N218" s="146"/>
      <x:c r="O218" s="106"/>
      <x:c r="P218" s="147"/>
      <x:c r="Q218" s="106"/>
      <x:c r="R218" s="106"/>
      <x:c r="S218" s="107">
        <x:f>SUM(E218:R218)</x:f>
      </x:c>
      <x:c r="T218" s="88">
        <x:v>15</x:v>
      </x:c>
      <x:c r="U218" s="88">
        <x:v>32.9</x:v>
      </x:c>
      <x:c r="V218" s="108">
        <x:f>S218*T218</x:f>
      </x:c>
    </x:row>
    <x:row r="219" spans="1:31" ht="15" customHeight="1" hidden="1" x14ac:dyDescent="0.3">
      <x:c r="A219" s="87">
        <x:v>720519</x:v>
      </x:c>
      <x:c r="B219" s="87" t="s">
        <x:v>307</x:v>
      </x:c>
      <x:c r="C219" s="87" t="s">
        <x:v>296</x:v>
      </x:c>
      <x:c r="D219" s="89" t="s">
        <x:v>63</x:v>
      </x:c>
      <x:c r="E219" s="87"/>
      <x:c r="F219" s="87"/>
      <x:c r="G219" s="87"/>
      <x:c r="H219" s="87"/>
      <x:c r="I219" s="87"/>
      <x:c r="J219" s="87"/>
      <x:c r="K219" s="87"/>
      <x:c r="L219" s="87"/>
      <x:c r="M219" s="87"/>
      <x:c r="N219" s="146"/>
      <x:c r="O219" s="106"/>
      <x:c r="P219" s="147"/>
      <x:c r="Q219" s="106"/>
      <x:c r="R219" s="106"/>
      <x:c r="S219" s="107">
        <x:f>SUM(E219:R219)</x:f>
      </x:c>
      <x:c r="T219" s="88">
        <x:v>15</x:v>
      </x:c>
      <x:c r="U219" s="88">
        <x:v>32.9</x:v>
      </x:c>
      <x:c r="V219" s="108">
        <x:f>S219*T219</x:f>
      </x:c>
    </x:row>
    <x:row r="220" spans="1:31" ht="15" customHeight="1" hidden="1" x14ac:dyDescent="0.3">
      <x:c r="A220" s="87">
        <x:v>720521</x:v>
      </x:c>
      <x:c r="B220" s="87" t="s">
        <x:v>308</x:v>
      </x:c>
      <x:c r="C220" s="87" t="s">
        <x:v>135</x:v>
      </x:c>
      <x:c r="D220" s="89" t="s">
        <x:v>63</x:v>
      </x:c>
      <x:c r="E220" s="87"/>
      <x:c r="F220" s="87"/>
      <x:c r="G220" s="87"/>
      <x:c r="H220" s="87"/>
      <x:c r="I220" s="87"/>
      <x:c r="J220" s="87"/>
      <x:c r="K220" s="87"/>
      <x:c r="L220" s="87"/>
      <x:c r="M220" s="87"/>
      <x:c r="N220" s="146"/>
      <x:c r="O220" s="106"/>
      <x:c r="P220" s="147"/>
      <x:c r="Q220" s="106"/>
      <x:c r="R220" s="106"/>
      <x:c r="S220" s="107">
        <x:f>SUM(E220:R220)</x:f>
      </x:c>
      <x:c r="T220" s="88">
        <x:v>13.6</x:v>
      </x:c>
      <x:c r="U220" s="88">
        <x:v>29.9</x:v>
      </x:c>
      <x:c r="V220" s="108">
        <x:f>S220*T220</x:f>
      </x:c>
    </x:row>
    <x:row r="221" spans="1:31" ht="15" customHeight="1" hidden="1" x14ac:dyDescent="0.3">
      <x:c r="A221" s="87">
        <x:v>720521</x:v>
      </x:c>
      <x:c r="B221" s="87" t="s">
        <x:v>309</x:v>
      </x:c>
      <x:c r="C221" s="87" t="s">
        <x:v>296</x:v>
      </x:c>
      <x:c r="D221" s="89" t="s">
        <x:v>63</x:v>
      </x:c>
      <x:c r="E221" s="87"/>
      <x:c r="F221" s="87"/>
      <x:c r="G221" s="87"/>
      <x:c r="H221" s="87"/>
      <x:c r="I221" s="87"/>
      <x:c r="J221" s="87"/>
      <x:c r="K221" s="87"/>
      <x:c r="L221" s="87"/>
      <x:c r="M221" s="87"/>
      <x:c r="N221" s="146"/>
      <x:c r="O221" s="106"/>
      <x:c r="P221" s="147"/>
      <x:c r="Q221" s="106"/>
      <x:c r="R221" s="106"/>
      <x:c r="S221" s="107">
        <x:f>SUM(E221:R221)</x:f>
      </x:c>
      <x:c r="T221" s="88">
        <x:v>13.6</x:v>
      </x:c>
      <x:c r="U221" s="88">
        <x:v>29.9</x:v>
      </x:c>
      <x:c r="V221" s="108">
        <x:f>S221*T221</x:f>
      </x:c>
    </x:row>
    <x:row r="222" spans="1:31" ht="15" customHeight="1" hidden="1" x14ac:dyDescent="0.3">
      <x:c r="A222" s="87">
        <x:v>720523</x:v>
      </x:c>
      <x:c r="B222" s="87" t="s">
        <x:v>310</x:v>
      </x:c>
      <x:c r="C222" s="87" t="s">
        <x:v>286</x:v>
      </x:c>
      <x:c r="D222" s="89" t="s">
        <x:v>63</x:v>
      </x:c>
      <x:c r="E222" s="87"/>
      <x:c r="F222" s="87"/>
      <x:c r="G222" s="87"/>
      <x:c r="H222" s="87"/>
      <x:c r="I222" s="87"/>
      <x:c r="J222" s="87"/>
      <x:c r="K222" s="87"/>
      <x:c r="L222" s="87"/>
      <x:c r="M222" s="87"/>
      <x:c r="N222" s="146"/>
      <x:c r="O222" s="106"/>
      <x:c r="P222" s="147"/>
      <x:c r="Q222" s="106"/>
      <x:c r="R222" s="106"/>
      <x:c r="S222" s="107">
        <x:f>SUM(E222:R222)</x:f>
      </x:c>
      <x:c r="T222" s="88">
        <x:v>13.6</x:v>
      </x:c>
      <x:c r="U222" s="88">
        <x:v>29.9</x:v>
      </x:c>
      <x:c r="V222" s="108">
        <x:f>S222*T222</x:f>
      </x:c>
    </x:row>
    <x:row r="223" spans="1:31" ht="15" customHeight="1" hidden="1" x14ac:dyDescent="0.3">
      <x:c r="A223" s="87">
        <x:v>720523</x:v>
      </x:c>
      <x:c r="B223" s="87" t="s">
        <x:v>311</x:v>
      </x:c>
      <x:c r="C223" s="87" t="s">
        <x:v>193</x:v>
      </x:c>
      <x:c r="D223" s="89" t="s">
        <x:v>63</x:v>
      </x:c>
      <x:c r="E223" s="87"/>
      <x:c r="F223" s="87"/>
      <x:c r="G223" s="87"/>
      <x:c r="H223" s="87"/>
      <x:c r="I223" s="87"/>
      <x:c r="J223" s="87"/>
      <x:c r="K223" s="87"/>
      <x:c r="L223" s="87"/>
      <x:c r="M223" s="87"/>
      <x:c r="N223" s="146"/>
      <x:c r="O223" s="106"/>
      <x:c r="P223" s="147"/>
      <x:c r="Q223" s="106"/>
      <x:c r="R223" s="106"/>
      <x:c r="S223" s="107">
        <x:f>SUM(E223:R223)</x:f>
      </x:c>
      <x:c r="T223" s="88">
        <x:v>13.6</x:v>
      </x:c>
      <x:c r="U223" s="88">
        <x:v>29.9</x:v>
      </x:c>
      <x:c r="V223" s="108">
        <x:f>S223*T223</x:f>
      </x:c>
    </x:row>
    <x:row r="224" spans="1:31" ht="15" customHeight="1" hidden="1" x14ac:dyDescent="0.3">
      <x:c r="A224" s="87">
        <x:v>720523</x:v>
      </x:c>
      <x:c r="B224" s="87" t="s">
        <x:v>312</x:v>
      </x:c>
      <x:c r="C224" s="87" t="s">
        <x:v>185</x:v>
      </x:c>
      <x:c r="D224" s="89" t="s">
        <x:v>63</x:v>
      </x:c>
      <x:c r="E224" s="87"/>
      <x:c r="F224" s="87"/>
      <x:c r="G224" s="87"/>
      <x:c r="H224" s="87"/>
      <x:c r="I224" s="87"/>
      <x:c r="J224" s="87"/>
      <x:c r="K224" s="87"/>
      <x:c r="L224" s="87"/>
      <x:c r="M224" s="87"/>
      <x:c r="N224" s="146"/>
      <x:c r="O224" s="106"/>
      <x:c r="P224" s="147"/>
      <x:c r="Q224" s="106"/>
      <x:c r="R224" s="106"/>
      <x:c r="S224" s="107">
        <x:f>SUM(E224:R224)</x:f>
      </x:c>
      <x:c r="T224" s="88">
        <x:v>13.6</x:v>
      </x:c>
      <x:c r="U224" s="88">
        <x:v>29.9</x:v>
      </x:c>
      <x:c r="V224" s="108">
        <x:f>S224*T224</x:f>
      </x:c>
    </x:row>
    <x:row r="225" spans="1:31" ht="15" customHeight="1" hidden="1" x14ac:dyDescent="0.3">
      <x:c r="A225" s="87">
        <x:v>720523</x:v>
      </x:c>
      <x:c r="B225" s="87" t="s">
        <x:v>313</x:v>
      </x:c>
      <x:c r="C225" s="87" t="s">
        <x:v>135</x:v>
      </x:c>
      <x:c r="D225" s="89" t="s">
        <x:v>63</x:v>
      </x:c>
      <x:c r="E225" s="87"/>
      <x:c r="F225" s="87"/>
      <x:c r="G225" s="87"/>
      <x:c r="H225" s="87"/>
      <x:c r="I225" s="87"/>
      <x:c r="J225" s="87"/>
      <x:c r="K225" s="87"/>
      <x:c r="L225" s="87"/>
      <x:c r="M225" s="87"/>
      <x:c r="N225" s="146"/>
      <x:c r="O225" s="106"/>
      <x:c r="P225" s="147"/>
      <x:c r="Q225" s="106"/>
      <x:c r="R225" s="106"/>
      <x:c r="S225" s="107">
        <x:f>SUM(E225:R225)</x:f>
      </x:c>
      <x:c r="T225" s="88">
        <x:v>13.6</x:v>
      </x:c>
      <x:c r="U225" s="88">
        <x:v>29.9</x:v>
      </x:c>
      <x:c r="V225" s="108">
        <x:f>S225*T225</x:f>
      </x:c>
    </x:row>
    <x:row r="226" spans="1:31" ht="15" customHeight="1" hidden="1" x14ac:dyDescent="0.3">
      <x:c r="A226" s="87">
        <x:v>720523</x:v>
      </x:c>
      <x:c r="B226" s="87" t="s">
        <x:v>314</x:v>
      </x:c>
      <x:c r="C226" s="87" t="s">
        <x:v>315</x:v>
      </x:c>
      <x:c r="D226" s="89" t="s">
        <x:v>63</x:v>
      </x:c>
      <x:c r="E226" s="87"/>
      <x:c r="F226" s="87"/>
      <x:c r="G226" s="87"/>
      <x:c r="H226" s="87"/>
      <x:c r="I226" s="87"/>
      <x:c r="J226" s="87"/>
      <x:c r="K226" s="87"/>
      <x:c r="L226" s="87"/>
      <x:c r="M226" s="87"/>
      <x:c r="N226" s="146"/>
      <x:c r="O226" s="106"/>
      <x:c r="P226" s="147"/>
      <x:c r="Q226" s="106"/>
      <x:c r="R226" s="106"/>
      <x:c r="S226" s="107">
        <x:f>SUM(E226:R226)</x:f>
      </x:c>
      <x:c r="T226" s="88">
        <x:v>13.6</x:v>
      </x:c>
      <x:c r="U226" s="88">
        <x:v>29.9</x:v>
      </x:c>
      <x:c r="V226" s="108">
        <x:f>S226*T226</x:f>
      </x:c>
    </x:row>
    <x:row r="227" spans="1:31" ht="15" customHeight="1" hidden="1" x14ac:dyDescent="0.3">
      <x:c r="A227" s="87">
        <x:v>720527</x:v>
      </x:c>
      <x:c r="B227" s="87" t="s">
        <x:v>316</x:v>
      </x:c>
      <x:c r="C227" s="87" t="s">
        <x:v>286</x:v>
      </x:c>
      <x:c r="D227" s="89" t="s">
        <x:v>63</x:v>
      </x:c>
      <x:c r="E227" s="87"/>
      <x:c r="F227" s="87"/>
      <x:c r="G227" s="87"/>
      <x:c r="H227" s="87"/>
      <x:c r="I227" s="87"/>
      <x:c r="J227" s="87"/>
      <x:c r="K227" s="87"/>
      <x:c r="L227" s="87"/>
      <x:c r="M227" s="87"/>
      <x:c r="N227" s="146"/>
      <x:c r="O227" s="106"/>
      <x:c r="P227" s="147"/>
      <x:c r="Q227" s="106"/>
      <x:c r="R227" s="106"/>
      <x:c r="S227" s="107">
        <x:f>SUM(E227:R227)</x:f>
      </x:c>
      <x:c r="T227" s="88">
        <x:v>16.8</x:v>
      </x:c>
      <x:c r="U227" s="88">
        <x:v>36.9</x:v>
      </x:c>
      <x:c r="V227" s="108">
        <x:f>S227*T227</x:f>
      </x:c>
    </x:row>
    <x:row r="228" spans="1:31" ht="15" customHeight="1" hidden="1" x14ac:dyDescent="0.3">
      <x:c r="A228" s="87">
        <x:v>720527</x:v>
      </x:c>
      <x:c r="B228" s="87" t="s">
        <x:v>317</x:v>
      </x:c>
      <x:c r="C228" s="87" t="s">
        <x:v>223</x:v>
      </x:c>
      <x:c r="D228" s="89" t="s">
        <x:v>63</x:v>
      </x:c>
      <x:c r="E228" s="87"/>
      <x:c r="F228" s="87"/>
      <x:c r="G228" s="87"/>
      <x:c r="H228" s="87"/>
      <x:c r="I228" s="87"/>
      <x:c r="J228" s="87"/>
      <x:c r="K228" s="87"/>
      <x:c r="L228" s="87"/>
      <x:c r="M228" s="87"/>
      <x:c r="N228" s="146"/>
      <x:c r="O228" s="106"/>
      <x:c r="P228" s="147"/>
      <x:c r="Q228" s="106"/>
      <x:c r="R228" s="106"/>
      <x:c r="S228" s="107">
        <x:f>SUM(E228:R228)</x:f>
      </x:c>
      <x:c r="T228" s="88">
        <x:v>16.8</x:v>
      </x:c>
      <x:c r="U228" s="88">
        <x:v>36.9</x:v>
      </x:c>
      <x:c r="V228" s="108">
        <x:f>S228*T228</x:f>
      </x:c>
    </x:row>
    <x:row r="229" spans="1:31" ht="15" customHeight="1" hidden="1" x14ac:dyDescent="0.3">
      <x:c r="A229" s="87">
        <x:v>720527</x:v>
      </x:c>
      <x:c r="B229" s="87" t="s">
        <x:v>318</x:v>
      </x:c>
      <x:c r="C229" s="87" t="s">
        <x:v>231</x:v>
      </x:c>
      <x:c r="D229" s="89" t="s">
        <x:v>63</x:v>
      </x:c>
      <x:c r="E229" s="87"/>
      <x:c r="F229" s="87"/>
      <x:c r="G229" s="87"/>
      <x:c r="H229" s="87"/>
      <x:c r="I229" s="87"/>
      <x:c r="J229" s="87"/>
      <x:c r="K229" s="87"/>
      <x:c r="L229" s="87"/>
      <x:c r="M229" s="87"/>
      <x:c r="N229" s="146"/>
      <x:c r="O229" s="106"/>
      <x:c r="P229" s="147"/>
      <x:c r="Q229" s="106"/>
      <x:c r="R229" s="106"/>
      <x:c r="S229" s="107">
        <x:f>SUM(E229:R229)</x:f>
      </x:c>
      <x:c r="T229" s="88">
        <x:v>16.8</x:v>
      </x:c>
      <x:c r="U229" s="88">
        <x:v>36.9</x:v>
      </x:c>
      <x:c r="V229" s="108">
        <x:f>S229*T229</x:f>
      </x:c>
    </x:row>
    <x:row r="230" spans="1:31" ht="15" customHeight="1" hidden="1" x14ac:dyDescent="0.3">
      <x:c r="A230" s="87">
        <x:v>720529</x:v>
      </x:c>
      <x:c r="B230" s="87" t="s">
        <x:v>319</x:v>
      </x:c>
      <x:c r="C230" s="87" t="s">
        <x:v>223</x:v>
      </x:c>
      <x:c r="D230" s="89" t="s">
        <x:v>63</x:v>
      </x:c>
      <x:c r="E230" s="87"/>
      <x:c r="F230" s="87"/>
      <x:c r="G230" s="87"/>
      <x:c r="H230" s="87"/>
      <x:c r="I230" s="87"/>
      <x:c r="J230" s="87"/>
      <x:c r="K230" s="87"/>
      <x:c r="L230" s="87"/>
      <x:c r="M230" s="87"/>
      <x:c r="N230" s="146"/>
      <x:c r="O230" s="106"/>
      <x:c r="P230" s="147"/>
      <x:c r="Q230" s="106"/>
      <x:c r="R230" s="106"/>
      <x:c r="S230" s="107">
        <x:f>SUM(E230:R230)</x:f>
      </x:c>
      <x:c r="T230" s="88">
        <x:v>18.2</x:v>
      </x:c>
      <x:c r="U230" s="88">
        <x:v>39.9</x:v>
      </x:c>
      <x:c r="V230" s="108">
        <x:f>S230*T230</x:f>
      </x:c>
    </x:row>
    <x:row r="231" spans="1:31" ht="15" customHeight="1" hidden="1" x14ac:dyDescent="0.3">
      <x:c r="A231" s="87">
        <x:v>720529</x:v>
      </x:c>
      <x:c r="B231" s="87" t="s">
        <x:v>320</x:v>
      </x:c>
      <x:c r="C231" s="87" t="s">
        <x:v>231</x:v>
      </x:c>
      <x:c r="D231" s="89" t="s">
        <x:v>63</x:v>
      </x:c>
      <x:c r="E231" s="87"/>
      <x:c r="F231" s="87"/>
      <x:c r="G231" s="87"/>
      <x:c r="H231" s="87"/>
      <x:c r="I231" s="87"/>
      <x:c r="J231" s="87"/>
      <x:c r="K231" s="87"/>
      <x:c r="L231" s="87"/>
      <x:c r="M231" s="87"/>
      <x:c r="N231" s="146"/>
      <x:c r="O231" s="106"/>
      <x:c r="P231" s="147"/>
      <x:c r="Q231" s="106"/>
      <x:c r="R231" s="106"/>
      <x:c r="S231" s="107">
        <x:f>SUM(E231:R231)</x:f>
      </x:c>
      <x:c r="T231" s="88">
        <x:v>18.2</x:v>
      </x:c>
      <x:c r="U231" s="88">
        <x:v>39.9</x:v>
      </x:c>
      <x:c r="V231" s="108">
        <x:f>S231*T231</x:f>
      </x:c>
    </x:row>
    <x:row r="232" spans="1:31" ht="15" customHeight="1" hidden="1" x14ac:dyDescent="0.3">
      <x:c r="A232" s="87">
        <x:v>720529</x:v>
      </x:c>
      <x:c r="B232" s="87" t="s">
        <x:v>321</x:v>
      </x:c>
      <x:c r="C232" s="87" t="s">
        <x:v>296</x:v>
      </x:c>
      <x:c r="D232" s="89" t="s">
        <x:v>63</x:v>
      </x:c>
      <x:c r="E232" s="87"/>
      <x:c r="F232" s="87"/>
      <x:c r="G232" s="87"/>
      <x:c r="H232" s="87"/>
      <x:c r="I232" s="87"/>
      <x:c r="J232" s="87"/>
      <x:c r="K232" s="87"/>
      <x:c r="L232" s="87"/>
      <x:c r="M232" s="87"/>
      <x:c r="N232" s="146"/>
      <x:c r="O232" s="106"/>
      <x:c r="P232" s="147"/>
      <x:c r="Q232" s="106"/>
      <x:c r="R232" s="106"/>
      <x:c r="S232" s="107">
        <x:f>SUM(E232:R232)</x:f>
      </x:c>
      <x:c r="T232" s="88">
        <x:v>18.2</x:v>
      </x:c>
      <x:c r="U232" s="88">
        <x:v>39.9</x:v>
      </x:c>
      <x:c r="V232" s="108">
        <x:f>S232*T232</x:f>
      </x:c>
    </x:row>
    <x:row r="233" spans="1:31" ht="15" customHeight="1" hidden="1" x14ac:dyDescent="0.3">
      <x:c r="A233" s="87">
        <x:v>743030</x:v>
      </x:c>
      <x:c r="B233" s="87" t="s">
        <x:v>322</x:v>
      </x:c>
      <x:c r="C233" s="87" t="s">
        <x:v>323</x:v>
      </x:c>
      <x:c r="D233" s="89" t="s">
        <x:v>59</x:v>
      </x:c>
      <x:c r="E233" s="146"/>
      <x:c r="F233" s="146"/>
      <x:c r="G233" s="87"/>
      <x:c r="H233" s="87"/>
      <x:c r="I233" s="87"/>
      <x:c r="J233" s="87"/>
      <x:c r="K233" s="87"/>
      <x:c r="L233" s="87"/>
      <x:c r="M233" s="146"/>
      <x:c r="N233" s="146"/>
      <x:c r="O233" s="147"/>
      <x:c r="P233" s="147"/>
      <x:c r="Q233" s="147"/>
      <x:c r="R233" s="147"/>
      <x:c r="S233" s="107">
        <x:f>SUM(E233:R233)</x:f>
      </x:c>
      <x:c r="T233" s="88">
        <x:v>36.4</x:v>
      </x:c>
      <x:c r="U233" s="88">
        <x:v>79.9</x:v>
      </x:c>
      <x:c r="V233" s="108">
        <x:f>S233*T233</x:f>
      </x:c>
    </x:row>
    <x:row r="234" spans="1:31" ht="15" customHeight="1" hidden="1" x14ac:dyDescent="0.3">
      <x:c r="A234" s="87">
        <x:v>743030</x:v>
      </x:c>
      <x:c r="B234" s="87" t="s">
        <x:v>324</x:v>
      </x:c>
      <x:c r="C234" s="87" t="s">
        <x:v>325</x:v>
      </x:c>
      <x:c r="D234" s="89" t="s">
        <x:v>59</x:v>
      </x:c>
      <x:c r="E234" s="146"/>
      <x:c r="F234" s="146"/>
      <x:c r="G234" s="87"/>
      <x:c r="H234" s="87"/>
      <x:c r="I234" s="87"/>
      <x:c r="J234" s="87"/>
      <x:c r="K234" s="87"/>
      <x:c r="L234" s="87"/>
      <x:c r="M234" s="146"/>
      <x:c r="N234" s="146"/>
      <x:c r="O234" s="147"/>
      <x:c r="P234" s="147"/>
      <x:c r="Q234" s="147"/>
      <x:c r="R234" s="147"/>
      <x:c r="S234" s="107">
        <x:f>SUM(E234:R234)</x:f>
      </x:c>
      <x:c r="T234" s="88">
        <x:v>36.4</x:v>
      </x:c>
      <x:c r="U234" s="88">
        <x:v>79.9</x:v>
      </x:c>
      <x:c r="V234" s="108">
        <x:f>S234*T234</x:f>
      </x:c>
    </x:row>
    <x:row r="235" spans="1:31" ht="15" customHeight="1" x14ac:dyDescent="0.3">
      <x:c r="A235" s="87"/>
      <x:c r="B235" s="87"/>
      <x:c r="C235" s="87"/>
      <x:c r="D235" s="89"/>
      <x:c r="E235" s="148"/>
      <x:c r="F235" s="148"/>
      <x:c r="G235" s="107"/>
      <x:c r="H235" s="107"/>
      <x:c r="I235" s="107"/>
      <x:c r="J235" s="107"/>
      <x:c r="K235" s="107"/>
      <x:c r="L235" s="107"/>
      <x:c r="M235" s="148"/>
      <x:c r="N235" s="148"/>
      <x:c r="O235" s="148"/>
      <x:c r="P235" s="148"/>
      <x:c r="Q235" s="148"/>
      <x:c r="R235" s="148"/>
      <x:c r="S235" s="107"/>
      <x:c r="T235" s="88"/>
      <x:c r="U235" s="88"/>
      <x:c r="V235" s="108"/>
    </x:row>
    <x:row r="236" spans="1:31" ht="15" customHeight="1" x14ac:dyDescent="0.3">
      <x:c r="A236" s="87"/>
      <x:c r="B236" s="87"/>
      <x:c r="C236" s="87"/>
      <x:c r="D236" s="89"/>
      <x:c r="E236" s="148"/>
      <x:c r="F236" s="148"/>
      <x:c r="G236" s="107"/>
      <x:c r="H236" s="107"/>
      <x:c r="I236" s="107"/>
      <x:c r="J236" s="107"/>
      <x:c r="K236" s="107"/>
      <x:c r="L236" s="107"/>
      <x:c r="M236" s="148"/>
      <x:c r="N236" s="148"/>
      <x:c r="O236" s="148"/>
      <x:c r="P236" s="148"/>
      <x:c r="Q236" s="148"/>
      <x:c r="R236" s="148"/>
      <x:c r="S236" s="107"/>
      <x:c r="T236" s="88"/>
      <x:c r="U236" s="88"/>
      <x:c r="V236" s="108"/>
    </x:row>
    <x:row r="237" spans="1:31" ht="15" customHeight="1" x14ac:dyDescent="0.3">
      <x:c r="A237" s="87"/>
      <x:c r="B237" s="87"/>
      <x:c r="C237" s="87"/>
      <x:c r="D237" s="89"/>
      <x:c r="E237" s="148"/>
      <x:c r="F237" s="148"/>
      <x:c r="G237" s="107"/>
      <x:c r="H237" s="107"/>
      <x:c r="I237" s="107"/>
      <x:c r="J237" s="107"/>
      <x:c r="K237" s="107"/>
      <x:c r="L237" s="107"/>
      <x:c r="M237" s="148"/>
      <x:c r="N237" s="148"/>
      <x:c r="O237" s="148"/>
      <x:c r="P237" s="148"/>
      <x:c r="Q237" s="148"/>
      <x:c r="R237" s="148"/>
      <x:c r="S237" s="107"/>
      <x:c r="T237" s="88"/>
      <x:c r="U237" s="88"/>
      <x:c r="V237" s="108"/>
    </x:row>
    <x:row r="238" spans="1:31" ht="15" customHeight="1" x14ac:dyDescent="0.3">
      <x:c r="A238" s="87"/>
      <x:c r="B238" s="87"/>
      <x:c r="C238" s="87"/>
      <x:c r="D238" s="89"/>
      <x:c r="E238" s="148"/>
      <x:c r="F238" s="148"/>
      <x:c r="G238" s="107"/>
      <x:c r="H238" s="107"/>
      <x:c r="I238" s="107"/>
      <x:c r="J238" s="107"/>
      <x:c r="K238" s="107"/>
      <x:c r="L238" s="107"/>
      <x:c r="M238" s="148"/>
      <x:c r="N238" s="148"/>
      <x:c r="O238" s="148"/>
      <x:c r="P238" s="148"/>
      <x:c r="Q238" s="148"/>
      <x:c r="R238" s="148"/>
      <x:c r="S238" s="107"/>
      <x:c r="T238" s="88"/>
      <x:c r="U238" s="88"/>
      <x:c r="V238" s="108"/>
    </x:row>
    <x:row r="239" spans="1:31" ht="15" customHeight="1" hidden="1" x14ac:dyDescent="0.3">
      <x:c r="A239" s="87">
        <x:v>743037</x:v>
      </x:c>
      <x:c r="B239" s="87" t="s">
        <x:v>326</x:v>
      </x:c>
      <x:c r="C239" s="87" t="s">
        <x:v>323</x:v>
      </x:c>
      <x:c r="D239" s="89" t="s">
        <x:v>59</x:v>
      </x:c>
      <x:c r="E239" s="146"/>
      <x:c r="F239" s="146"/>
      <x:c r="G239" s="87"/>
      <x:c r="H239" s="87"/>
      <x:c r="I239" s="87"/>
      <x:c r="J239" s="87"/>
      <x:c r="K239" s="87"/>
      <x:c r="L239" s="87"/>
      <x:c r="M239" s="146"/>
      <x:c r="N239" s="146"/>
      <x:c r="O239" s="147"/>
      <x:c r="P239" s="147"/>
      <x:c r="Q239" s="147"/>
      <x:c r="R239" s="147"/>
      <x:c r="S239" s="107">
        <x:f>SUM(E239:R239)</x:f>
      </x:c>
      <x:c r="T239" s="88">
        <x:v>27.4</x:v>
      </x:c>
      <x:c r="U239" s="88">
        <x:v>59.9</x:v>
      </x:c>
      <x:c r="V239" s="108">
        <x:f>S239*T239</x:f>
      </x:c>
    </x:row>
    <x:row r="240" spans="1:31" ht="15" customHeight="1" hidden="1" x14ac:dyDescent="0.3">
      <x:c r="A240" s="87">
        <x:v>743037</x:v>
      </x:c>
      <x:c r="B240" s="87" t="s">
        <x:v>327</x:v>
      </x:c>
      <x:c r="C240" s="87" t="s">
        <x:v>325</x:v>
      </x:c>
      <x:c r="D240" s="89" t="s">
        <x:v>59</x:v>
      </x:c>
      <x:c r="E240" s="146"/>
      <x:c r="F240" s="146"/>
      <x:c r="G240" s="87"/>
      <x:c r="H240" s="87"/>
      <x:c r="I240" s="87"/>
      <x:c r="J240" s="87"/>
      <x:c r="K240" s="87"/>
      <x:c r="L240" s="87"/>
      <x:c r="M240" s="146"/>
      <x:c r="N240" s="146"/>
      <x:c r="O240" s="147"/>
      <x:c r="P240" s="147"/>
      <x:c r="Q240" s="147"/>
      <x:c r="R240" s="147"/>
      <x:c r="S240" s="107">
        <x:f>SUM(E240:R240)</x:f>
      </x:c>
      <x:c r="T240" s="88">
        <x:v>27.4</x:v>
      </x:c>
      <x:c r="U240" s="88">
        <x:v>59.9</x:v>
      </x:c>
      <x:c r="V240" s="108">
        <x:f>S240*T240</x:f>
      </x:c>
    </x:row>
    <x:row r="241" spans="1:31" ht="15" customHeight="1" hidden="1" x14ac:dyDescent="0.3">
      <x:c r="A241" s="87">
        <x:v>743041</x:v>
      </x:c>
      <x:c r="B241" s="87" t="s">
        <x:v>328</x:v>
      </x:c>
      <x:c r="C241" s="87" t="s">
        <x:v>323</x:v>
      </x:c>
      <x:c r="D241" s="89" t="s">
        <x:v>59</x:v>
      </x:c>
      <x:c r="E241" s="146"/>
      <x:c r="F241" s="146"/>
      <x:c r="G241" s="87"/>
      <x:c r="H241" s="87"/>
      <x:c r="I241" s="87"/>
      <x:c r="J241" s="87"/>
      <x:c r="K241" s="87"/>
      <x:c r="L241" s="87"/>
      <x:c r="M241" s="146"/>
      <x:c r="N241" s="146"/>
      <x:c r="O241" s="147"/>
      <x:c r="P241" s="147"/>
      <x:c r="Q241" s="147"/>
      <x:c r="R241" s="147"/>
      <x:c r="S241" s="107">
        <x:f>SUM(E241:R241)</x:f>
      </x:c>
      <x:c r="T241" s="88">
        <x:v>27.4</x:v>
      </x:c>
      <x:c r="U241" s="88">
        <x:v>59.9</x:v>
      </x:c>
      <x:c r="V241" s="108">
        <x:f>S241*T241</x:f>
      </x:c>
    </x:row>
    <x:row r="242" spans="1:31" ht="15" customHeight="1" hidden="1" x14ac:dyDescent="0.3">
      <x:c r="A242" s="87">
        <x:v>743041</x:v>
      </x:c>
      <x:c r="B242" s="87" t="s">
        <x:v>329</x:v>
      </x:c>
      <x:c r="C242" s="87" t="s">
        <x:v>325</x:v>
      </x:c>
      <x:c r="D242" s="89" t="s">
        <x:v>59</x:v>
      </x:c>
      <x:c r="E242" s="146"/>
      <x:c r="F242" s="146"/>
      <x:c r="G242" s="87"/>
      <x:c r="H242" s="87"/>
      <x:c r="I242" s="87"/>
      <x:c r="J242" s="87"/>
      <x:c r="K242" s="87"/>
      <x:c r="L242" s="87"/>
      <x:c r="M242" s="146"/>
      <x:c r="N242" s="146"/>
      <x:c r="O242" s="147"/>
      <x:c r="P242" s="147"/>
      <x:c r="Q242" s="147"/>
      <x:c r="R242" s="147"/>
      <x:c r="S242" s="107">
        <x:f>SUM(E242:R242)</x:f>
      </x:c>
      <x:c r="T242" s="88">
        <x:v>27.4</x:v>
      </x:c>
      <x:c r="U242" s="88">
        <x:v>59.9</x:v>
      </x:c>
      <x:c r="V242" s="108">
        <x:f>S242*T242</x:f>
      </x:c>
    </x:row>
    <x:row r="243" spans="1:31" ht="15" customHeight="1" hidden="1" x14ac:dyDescent="0.3">
      <x:c r="A243" s="87">
        <x:v>743041</x:v>
      </x:c>
      <x:c r="B243" s="87" t="s">
        <x:v>330</x:v>
      </x:c>
      <x:c r="C243" s="87" t="s">
        <x:v>331</x:v>
      </x:c>
      <x:c r="D243" s="89" t="s">
        <x:v>59</x:v>
      </x:c>
      <x:c r="E243" s="146"/>
      <x:c r="F243" s="146"/>
      <x:c r="G243" s="87"/>
      <x:c r="H243" s="87"/>
      <x:c r="I243" s="87"/>
      <x:c r="J243" s="87"/>
      <x:c r="K243" s="87"/>
      <x:c r="L243" s="87"/>
      <x:c r="M243" s="146"/>
      <x:c r="N243" s="146"/>
      <x:c r="O243" s="147"/>
      <x:c r="P243" s="147"/>
      <x:c r="Q243" s="147"/>
      <x:c r="R243" s="147"/>
      <x:c r="S243" s="107">
        <x:f>SUM(E243:R243)</x:f>
      </x:c>
      <x:c r="T243" s="88">
        <x:v>27.4</x:v>
      </x:c>
      <x:c r="U243" s="88">
        <x:v>59.9</x:v>
      </x:c>
      <x:c r="V243" s="108">
        <x:f>S243*T243</x:f>
      </x:c>
    </x:row>
    <x:row r="244" spans="1:31" ht="15" customHeight="1" hidden="1" x14ac:dyDescent="0.3">
      <x:c r="A244" s="87">
        <x:v>743049</x:v>
      </x:c>
      <x:c r="B244" s="87" t="s">
        <x:v>332</x:v>
      </x:c>
      <x:c r="C244" s="87" t="s">
        <x:v>323</x:v>
      </x:c>
      <x:c r="D244" s="89" t="s">
        <x:v>59</x:v>
      </x:c>
      <x:c r="E244" s="146"/>
      <x:c r="F244" s="146"/>
      <x:c r="G244" s="87"/>
      <x:c r="H244" s="87"/>
      <x:c r="I244" s="87"/>
      <x:c r="J244" s="87"/>
      <x:c r="K244" s="87"/>
      <x:c r="L244" s="87"/>
      <x:c r="M244" s="146"/>
      <x:c r="N244" s="146"/>
      <x:c r="O244" s="147"/>
      <x:c r="P244" s="147"/>
      <x:c r="Q244" s="147"/>
      <x:c r="R244" s="147"/>
      <x:c r="S244" s="107">
        <x:f>SUM(E244:R244)</x:f>
      </x:c>
      <x:c r="T244" s="88">
        <x:v>18.2</x:v>
      </x:c>
      <x:c r="U244" s="88">
        <x:v>39.9</x:v>
      </x:c>
      <x:c r="V244" s="108">
        <x:f>S244*T244</x:f>
      </x:c>
    </x:row>
    <x:row r="245" spans="1:31" ht="15" customHeight="1" x14ac:dyDescent="0.3">
      <x:c r="A245" s="87"/>
      <x:c r="B245" s="87"/>
      <x:c r="C245" s="87"/>
      <x:c r="D245" s="89"/>
      <x:c r="E245" s="148"/>
      <x:c r="F245" s="148"/>
      <x:c r="G245" s="107"/>
      <x:c r="H245" s="107"/>
      <x:c r="I245" s="107"/>
      <x:c r="J245" s="107"/>
      <x:c r="K245" s="107"/>
      <x:c r="L245" s="107"/>
      <x:c r="M245" s="148"/>
      <x:c r="N245" s="148"/>
      <x:c r="O245" s="148"/>
      <x:c r="P245" s="148"/>
      <x:c r="Q245" s="148"/>
      <x:c r="R245" s="148"/>
      <x:c r="S245" s="107"/>
      <x:c r="T245" s="88"/>
      <x:c r="U245" s="88"/>
      <x:c r="V245" s="108"/>
    </x:row>
    <x:row r="246" spans="1:31" ht="15" customHeight="1" x14ac:dyDescent="0.3">
      <x:c r="A246" s="87"/>
      <x:c r="B246" s="87"/>
      <x:c r="C246" s="87"/>
      <x:c r="D246" s="89"/>
      <x:c r="E246" s="148"/>
      <x:c r="F246" s="148"/>
      <x:c r="G246" s="107"/>
      <x:c r="H246" s="107"/>
      <x:c r="I246" s="107"/>
      <x:c r="J246" s="107"/>
      <x:c r="K246" s="107"/>
      <x:c r="L246" s="107"/>
      <x:c r="M246" s="148"/>
      <x:c r="N246" s="148"/>
      <x:c r="O246" s="148"/>
      <x:c r="P246" s="148"/>
      <x:c r="Q246" s="148"/>
      <x:c r="R246" s="148"/>
      <x:c r="S246" s="107"/>
      <x:c r="T246" s="88"/>
      <x:c r="U246" s="88"/>
      <x:c r="V246" s="108"/>
    </x:row>
    <x:row r="247" spans="1:31" ht="15" customHeight="1" x14ac:dyDescent="0.3">
      <x:c r="A247" s="87"/>
      <x:c r="B247" s="87"/>
      <x:c r="C247" s="87"/>
      <x:c r="D247" s="89"/>
      <x:c r="E247" s="148"/>
      <x:c r="F247" s="148"/>
      <x:c r="G247" s="107"/>
      <x:c r="H247" s="107"/>
      <x:c r="I247" s="107"/>
      <x:c r="J247" s="107"/>
      <x:c r="K247" s="107"/>
      <x:c r="L247" s="107"/>
      <x:c r="M247" s="148"/>
      <x:c r="N247" s="148"/>
      <x:c r="O247" s="148"/>
      <x:c r="P247" s="148"/>
      <x:c r="Q247" s="148"/>
      <x:c r="R247" s="148"/>
      <x:c r="S247" s="107"/>
      <x:c r="T247" s="88"/>
      <x:c r="U247" s="88"/>
      <x:c r="V247" s="108"/>
    </x:row>
    <x:row r="248" spans="1:31" ht="15" customHeight="1" hidden="1" x14ac:dyDescent="0.3">
      <x:c r="A248" s="87">
        <x:v>743059</x:v>
      </x:c>
      <x:c r="B248" s="87" t="s">
        <x:v>333</x:v>
      </x:c>
      <x:c r="C248" s="87" t="s">
        <x:v>334</x:v>
      </x:c>
      <x:c r="D248" s="89" t="s">
        <x:v>59</x:v>
      </x:c>
      <x:c r="E248" s="146"/>
      <x:c r="F248" s="146"/>
      <x:c r="G248" s="87"/>
      <x:c r="H248" s="87"/>
      <x:c r="I248" s="87"/>
      <x:c r="J248" s="87"/>
      <x:c r="K248" s="87"/>
      <x:c r="L248" s="87"/>
      <x:c r="M248" s="87"/>
      <x:c r="N248" s="87"/>
      <x:c r="O248" s="147"/>
      <x:c r="P248" s="147"/>
      <x:c r="Q248" s="147"/>
      <x:c r="R248" s="147"/>
      <x:c r="S248" s="107">
        <x:f>SUM(E248:R248)</x:f>
      </x:c>
      <x:c r="T248" s="88">
        <x:v>10.9</x:v>
      </x:c>
      <x:c r="U248" s="88">
        <x:v>23.9</x:v>
      </x:c>
      <x:c r="V248" s="108">
        <x:f>S248*T248</x:f>
      </x:c>
    </x:row>
    <x:row r="249" spans="1:31" ht="15" customHeight="1" hidden="1" x14ac:dyDescent="0.3">
      <x:c r="A249" s="87">
        <x:v>743059</x:v>
      </x:c>
      <x:c r="B249" s="87" t="s">
        <x:v>335</x:v>
      </x:c>
      <x:c r="C249" s="87" t="s">
        <x:v>336</x:v>
      </x:c>
      <x:c r="D249" s="89" t="s">
        <x:v>59</x:v>
      </x:c>
      <x:c r="E249" s="146"/>
      <x:c r="F249" s="146"/>
      <x:c r="G249" s="87"/>
      <x:c r="H249" s="87"/>
      <x:c r="I249" s="87"/>
      <x:c r="J249" s="87"/>
      <x:c r="K249" s="87"/>
      <x:c r="L249" s="87"/>
      <x:c r="M249" s="87"/>
      <x:c r="N249" s="87"/>
      <x:c r="O249" s="147"/>
      <x:c r="P249" s="147"/>
      <x:c r="Q249" s="147"/>
      <x:c r="R249" s="147"/>
      <x:c r="S249" s="107">
        <x:f>SUM(E249:R249)</x:f>
      </x:c>
      <x:c r="T249" s="88">
        <x:v>10.9</x:v>
      </x:c>
      <x:c r="U249" s="88">
        <x:v>23.9</x:v>
      </x:c>
      <x:c r="V249" s="108">
        <x:f>S249*T249</x:f>
      </x:c>
    </x:row>
    <x:row r="250" spans="1:31" ht="15" customHeight="1" hidden="1" x14ac:dyDescent="0.3">
      <x:c r="A250" s="87">
        <x:v>743059</x:v>
      </x:c>
      <x:c r="B250" s="87" t="s">
        <x:v>337</x:v>
      </x:c>
      <x:c r="C250" s="87" t="s">
        <x:v>323</x:v>
      </x:c>
      <x:c r="D250" s="89" t="s">
        <x:v>59</x:v>
      </x:c>
      <x:c r="E250" s="146"/>
      <x:c r="F250" s="146"/>
      <x:c r="G250" s="87"/>
      <x:c r="H250" s="87"/>
      <x:c r="I250" s="87"/>
      <x:c r="J250" s="87"/>
      <x:c r="K250" s="87"/>
      <x:c r="L250" s="87"/>
      <x:c r="M250" s="87"/>
      <x:c r="N250" s="87"/>
      <x:c r="O250" s="147"/>
      <x:c r="P250" s="147"/>
      <x:c r="Q250" s="147"/>
      <x:c r="R250" s="147"/>
      <x:c r="S250" s="107">
        <x:f>SUM(E250:R250)</x:f>
      </x:c>
      <x:c r="T250" s="88">
        <x:v>10.9</x:v>
      </x:c>
      <x:c r="U250" s="88">
        <x:v>23.9</x:v>
      </x:c>
      <x:c r="V250" s="108">
        <x:f>S250*T250</x:f>
      </x:c>
    </x:row>
    <x:row r="251" spans="1:31" ht="15" customHeight="1" hidden="1" x14ac:dyDescent="0.3">
      <x:c r="A251" s="87">
        <x:v>743059</x:v>
      </x:c>
      <x:c r="B251" s="87" t="s">
        <x:v>338</x:v>
      </x:c>
      <x:c r="C251" s="87" t="s">
        <x:v>233</x:v>
      </x:c>
      <x:c r="D251" s="89" t="s">
        <x:v>59</x:v>
      </x:c>
      <x:c r="E251" s="146"/>
      <x:c r="F251" s="146"/>
      <x:c r="G251" s="87"/>
      <x:c r="H251" s="87"/>
      <x:c r="I251" s="87"/>
      <x:c r="J251" s="87"/>
      <x:c r="K251" s="87"/>
      <x:c r="L251" s="87"/>
      <x:c r="M251" s="87"/>
      <x:c r="N251" s="87"/>
      <x:c r="O251" s="147"/>
      <x:c r="P251" s="147"/>
      <x:c r="Q251" s="147"/>
      <x:c r="R251" s="147"/>
      <x:c r="S251" s="107">
        <x:f>SUM(E251:R251)</x:f>
      </x:c>
      <x:c r="T251" s="88">
        <x:v>10.9</x:v>
      </x:c>
      <x:c r="U251" s="88">
        <x:v>23.9</x:v>
      </x:c>
      <x:c r="V251" s="108">
        <x:f>S251*T251</x:f>
      </x:c>
    </x:row>
    <x:row r="252" spans="1:31" ht="15" customHeight="1" hidden="1" x14ac:dyDescent="0.3">
      <x:c r="A252" s="87">
        <x:v>743059</x:v>
      </x:c>
      <x:c r="B252" s="87" t="s">
        <x:v>339</x:v>
      </x:c>
      <x:c r="C252" s="87" t="s">
        <x:v>325</x:v>
      </x:c>
      <x:c r="D252" s="89" t="s">
        <x:v>59</x:v>
      </x:c>
      <x:c r="E252" s="146"/>
      <x:c r="F252" s="146"/>
      <x:c r="G252" s="87"/>
      <x:c r="H252" s="87"/>
      <x:c r="I252" s="87"/>
      <x:c r="J252" s="87"/>
      <x:c r="K252" s="87"/>
      <x:c r="L252" s="87"/>
      <x:c r="M252" s="87"/>
      <x:c r="N252" s="87"/>
      <x:c r="O252" s="147"/>
      <x:c r="P252" s="147"/>
      <x:c r="Q252" s="147"/>
      <x:c r="R252" s="147"/>
      <x:c r="S252" s="107">
        <x:f>SUM(E252:R252)</x:f>
      </x:c>
      <x:c r="T252" s="88">
        <x:v>10.9</x:v>
      </x:c>
      <x:c r="U252" s="88">
        <x:v>23.9</x:v>
      </x:c>
      <x:c r="V252" s="108">
        <x:f>S252*T252</x:f>
      </x:c>
    </x:row>
    <x:row r="253" spans="1:31" ht="15" customHeight="1" hidden="1" x14ac:dyDescent="0.3">
      <x:c r="A253" s="87">
        <x:v>743059</x:v>
      </x:c>
      <x:c r="B253" s="87" t="s">
        <x:v>340</x:v>
      </x:c>
      <x:c r="C253" s="87" t="s">
        <x:v>331</x:v>
      </x:c>
      <x:c r="D253" s="89" t="s">
        <x:v>59</x:v>
      </x:c>
      <x:c r="E253" s="146"/>
      <x:c r="F253" s="146"/>
      <x:c r="G253" s="87"/>
      <x:c r="H253" s="87"/>
      <x:c r="I253" s="87"/>
      <x:c r="J253" s="87"/>
      <x:c r="K253" s="87"/>
      <x:c r="L253" s="87"/>
      <x:c r="M253" s="87"/>
      <x:c r="N253" s="87"/>
      <x:c r="O253" s="147"/>
      <x:c r="P253" s="147"/>
      <x:c r="Q253" s="147"/>
      <x:c r="R253" s="147"/>
      <x:c r="S253" s="107">
        <x:f>SUM(E253:R253)</x:f>
      </x:c>
      <x:c r="T253" s="88">
        <x:v>10.9</x:v>
      </x:c>
      <x:c r="U253" s="88">
        <x:v>23.9</x:v>
      </x:c>
      <x:c r="V253" s="108">
        <x:f>S253*T253</x:f>
      </x:c>
    </x:row>
    <x:row r="254" spans="1:31" ht="15" customHeight="1" hidden="1" x14ac:dyDescent="0.3">
      <x:c r="A254" s="87">
        <x:v>743065</x:v>
      </x:c>
      <x:c r="B254" s="87" t="s">
        <x:v>341</x:v>
      </x:c>
      <x:c r="C254" s="87" t="s">
        <x:v>342</x:v>
      </x:c>
      <x:c r="D254" s="89" t="s">
        <x:v>63</x:v>
      </x:c>
      <x:c r="E254" s="146"/>
      <x:c r="F254" s="146"/>
      <x:c r="G254" s="87"/>
      <x:c r="H254" s="87"/>
      <x:c r="I254" s="87"/>
      <x:c r="J254" s="87"/>
      <x:c r="K254" s="87"/>
      <x:c r="L254" s="87"/>
      <x:c r="M254" s="87"/>
      <x:c r="N254" s="146"/>
      <x:c r="O254" s="106"/>
      <x:c r="P254" s="147"/>
      <x:c r="Q254" s="106"/>
      <x:c r="R254" s="106"/>
      <x:c r="S254" s="107">
        <x:f>SUM(E254:R254)</x:f>
      </x:c>
      <x:c r="T254" s="88">
        <x:v>36.4</x:v>
      </x:c>
      <x:c r="U254" s="88">
        <x:v>79.9</x:v>
      </x:c>
      <x:c r="V254" s="108">
        <x:f>S254*T254</x:f>
      </x:c>
    </x:row>
    <x:row r="255" spans="1:31" ht="15" customHeight="1" hidden="1" x14ac:dyDescent="0.3">
      <x:c r="A255" s="87">
        <x:v>743065</x:v>
      </x:c>
      <x:c r="B255" s="87" t="s">
        <x:v>343</x:v>
      </x:c>
      <x:c r="C255" s="87" t="s">
        <x:v>323</x:v>
      </x:c>
      <x:c r="D255" s="89" t="s">
        <x:v>63</x:v>
      </x:c>
      <x:c r="E255" s="146"/>
      <x:c r="F255" s="146"/>
      <x:c r="G255" s="87"/>
      <x:c r="H255" s="87"/>
      <x:c r="I255" s="87"/>
      <x:c r="J255" s="87"/>
      <x:c r="K255" s="87"/>
      <x:c r="L255" s="87"/>
      <x:c r="M255" s="87"/>
      <x:c r="N255" s="146"/>
      <x:c r="O255" s="106"/>
      <x:c r="P255" s="147"/>
      <x:c r="Q255" s="106"/>
      <x:c r="R255" s="106"/>
      <x:c r="S255" s="107">
        <x:f>SUM(E255:R255)</x:f>
      </x:c>
      <x:c r="T255" s="88">
        <x:v>36.4</x:v>
      </x:c>
      <x:c r="U255" s="88">
        <x:v>79.9</x:v>
      </x:c>
      <x:c r="V255" s="108">
        <x:f>S255*T255</x:f>
      </x:c>
    </x:row>
    <x:row r="256" spans="1:31" ht="15" customHeight="1" hidden="1" x14ac:dyDescent="0.3">
      <x:c r="A256" s="87">
        <x:v>743065</x:v>
      </x:c>
      <x:c r="B256" s="87" t="s">
        <x:v>344</x:v>
      </x:c>
      <x:c r="C256" s="87" t="s">
        <x:v>345</x:v>
      </x:c>
      <x:c r="D256" s="89" t="s">
        <x:v>63</x:v>
      </x:c>
      <x:c r="E256" s="146"/>
      <x:c r="F256" s="146"/>
      <x:c r="G256" s="87"/>
      <x:c r="H256" s="87"/>
      <x:c r="I256" s="87"/>
      <x:c r="J256" s="87"/>
      <x:c r="K256" s="87"/>
      <x:c r="L256" s="87"/>
      <x:c r="M256" s="87"/>
      <x:c r="N256" s="146"/>
      <x:c r="O256" s="106"/>
      <x:c r="P256" s="147"/>
      <x:c r="Q256" s="106"/>
      <x:c r="R256" s="106"/>
      <x:c r="S256" s="107">
        <x:f>SUM(E256:R256)</x:f>
      </x:c>
      <x:c r="T256" s="88">
        <x:v>36.4</x:v>
      </x:c>
      <x:c r="U256" s="88">
        <x:v>79.9</x:v>
      </x:c>
      <x:c r="V256" s="108">
        <x:f>S256*T256</x:f>
      </x:c>
    </x:row>
    <x:row r="257" spans="1:31" ht="15" customHeight="1" hidden="1" x14ac:dyDescent="0.3">
      <x:c r="A257" s="87">
        <x:v>743068</x:v>
      </x:c>
      <x:c r="B257" s="87" t="s">
        <x:v>346</x:v>
      </x:c>
      <x:c r="C257" s="87" t="s">
        <x:v>347</x:v>
      </x:c>
      <x:c r="D257" s="89" t="s">
        <x:v>63</x:v>
      </x:c>
      <x:c r="E257" s="146"/>
      <x:c r="F257" s="146"/>
      <x:c r="G257" s="87"/>
      <x:c r="H257" s="87"/>
      <x:c r="I257" s="87"/>
      <x:c r="J257" s="87"/>
      <x:c r="K257" s="87"/>
      <x:c r="L257" s="87"/>
      <x:c r="M257" s="87"/>
      <x:c r="N257" s="146"/>
      <x:c r="O257" s="106"/>
      <x:c r="P257" s="147"/>
      <x:c r="Q257" s="106"/>
      <x:c r="R257" s="106"/>
      <x:c r="S257" s="107">
        <x:f>SUM(E257:R257)</x:f>
      </x:c>
      <x:c r="T257" s="88">
        <x:v>36.4</x:v>
      </x:c>
      <x:c r="U257" s="88">
        <x:v>79.9</x:v>
      </x:c>
      <x:c r="V257" s="108">
        <x:f>S257*T257</x:f>
      </x:c>
    </x:row>
    <x:row r="258" spans="1:31" ht="15" customHeight="1" hidden="1" x14ac:dyDescent="0.3">
      <x:c r="A258" s="87">
        <x:v>743069</x:v>
      </x:c>
      <x:c r="B258" s="87" t="s">
        <x:v>348</x:v>
      </x:c>
      <x:c r="C258" s="87" t="s">
        <x:v>334</x:v>
      </x:c>
      <x:c r="D258" s="89" t="s">
        <x:v>63</x:v>
      </x:c>
      <x:c r="E258" s="146"/>
      <x:c r="F258" s="146"/>
      <x:c r="G258" s="87"/>
      <x:c r="H258" s="87"/>
      <x:c r="I258" s="87"/>
      <x:c r="J258" s="87"/>
      <x:c r="K258" s="87"/>
      <x:c r="L258" s="87"/>
      <x:c r="M258" s="87"/>
      <x:c r="N258" s="146"/>
      <x:c r="O258" s="106"/>
      <x:c r="P258" s="147"/>
      <x:c r="Q258" s="106"/>
      <x:c r="R258" s="106"/>
      <x:c r="S258" s="107">
        <x:f>SUM(E258:R258)</x:f>
      </x:c>
      <x:c r="T258" s="88">
        <x:v>31.8</x:v>
      </x:c>
      <x:c r="U258" s="88">
        <x:v>69.9</x:v>
      </x:c>
      <x:c r="V258" s="108">
        <x:f>S258*T258</x:f>
      </x:c>
    </x:row>
    <x:row r="259" spans="1:31" ht="15" customHeight="1" hidden="1" x14ac:dyDescent="0.3">
      <x:c r="A259" s="87">
        <x:v>743073</x:v>
      </x:c>
      <x:c r="B259" s="87" t="s">
        <x:v>349</x:v>
      </x:c>
      <x:c r="C259" s="87" t="s">
        <x:v>325</x:v>
      </x:c>
      <x:c r="D259" s="89" t="s">
        <x:v>63</x:v>
      </x:c>
      <x:c r="E259" s="87"/>
      <x:c r="F259" s="146"/>
      <x:c r="G259" s="87"/>
      <x:c r="H259" s="146"/>
      <x:c r="I259" s="87"/>
      <x:c r="J259" s="146"/>
      <x:c r="K259" s="87"/>
      <x:c r="L259" s="146"/>
      <x:c r="M259" s="87"/>
      <x:c r="N259" s="146"/>
      <x:c r="O259" s="106"/>
      <x:c r="P259" s="147"/>
      <x:c r="Q259" s="106"/>
      <x:c r="R259" s="147"/>
      <x:c r="S259" s="107">
        <x:f>SUM(E259:R259)</x:f>
      </x:c>
      <x:c r="T259" s="88">
        <x:v>31.8</x:v>
      </x:c>
      <x:c r="U259" s="88">
        <x:v>69.9</x:v>
      </x:c>
      <x:c r="V259" s="108">
        <x:f>S259*T259</x:f>
      </x:c>
    </x:row>
    <x:row r="260" spans="1:31" ht="15" customHeight="1" hidden="1" x14ac:dyDescent="0.3">
      <x:c r="A260" s="87">
        <x:v>743073</x:v>
      </x:c>
      <x:c r="B260" s="87" t="s">
        <x:v>350</x:v>
      </x:c>
      <x:c r="C260" s="87" t="s">
        <x:v>351</x:v>
      </x:c>
      <x:c r="D260" s="89" t="s">
        <x:v>63</x:v>
      </x:c>
      <x:c r="E260" s="87"/>
      <x:c r="F260" s="146"/>
      <x:c r="G260" s="87"/>
      <x:c r="H260" s="146"/>
      <x:c r="I260" s="87"/>
      <x:c r="J260" s="146"/>
      <x:c r="K260" s="87"/>
      <x:c r="L260" s="146"/>
      <x:c r="M260" s="87"/>
      <x:c r="N260" s="146"/>
      <x:c r="O260" s="106"/>
      <x:c r="P260" s="147"/>
      <x:c r="Q260" s="106"/>
      <x:c r="R260" s="147"/>
      <x:c r="S260" s="107">
        <x:f>SUM(E260:R260)</x:f>
      </x:c>
      <x:c r="T260" s="88">
        <x:v>31.8</x:v>
      </x:c>
      <x:c r="U260" s="88">
        <x:v>69.9</x:v>
      </x:c>
      <x:c r="V260" s="108">
        <x:f>S260*T260</x:f>
      </x:c>
    </x:row>
    <x:row r="261" spans="1:31" ht="15" customHeight="1" hidden="1" x14ac:dyDescent="0.3">
      <x:c r="A261" s="87">
        <x:v>743073</x:v>
      </x:c>
      <x:c r="B261" s="87" t="s">
        <x:v>352</x:v>
      </x:c>
      <x:c r="C261" s="87" t="s">
        <x:v>353</x:v>
      </x:c>
      <x:c r="D261" s="89" t="s">
        <x:v>63</x:v>
      </x:c>
      <x:c r="E261" s="87"/>
      <x:c r="F261" s="146"/>
      <x:c r="G261" s="87"/>
      <x:c r="H261" s="146"/>
      <x:c r="I261" s="87"/>
      <x:c r="J261" s="146"/>
      <x:c r="K261" s="87"/>
      <x:c r="L261" s="146"/>
      <x:c r="M261" s="87"/>
      <x:c r="N261" s="146"/>
      <x:c r="O261" s="106"/>
      <x:c r="P261" s="147"/>
      <x:c r="Q261" s="106"/>
      <x:c r="R261" s="147"/>
      <x:c r="S261" s="107">
        <x:f>SUM(E261:R261)</x:f>
      </x:c>
      <x:c r="T261" s="88">
        <x:v>31.8</x:v>
      </x:c>
      <x:c r="U261" s="88">
        <x:v>69.9</x:v>
      </x:c>
      <x:c r="V261" s="108">
        <x:f>S261*T261</x:f>
      </x:c>
    </x:row>
    <x:row r="262" spans="1:31" ht="15" customHeight="1" hidden="1" x14ac:dyDescent="0.3">
      <x:c r="A262" s="87">
        <x:v>743077</x:v>
      </x:c>
      <x:c r="B262" s="87" t="s">
        <x:v>354</x:v>
      </x:c>
      <x:c r="C262" s="87" t="s">
        <x:v>347</x:v>
      </x:c>
      <x:c r="D262" s="89" t="s">
        <x:v>63</x:v>
      </x:c>
      <x:c r="E262" s="87"/>
      <x:c r="F262" s="87"/>
      <x:c r="G262" s="87"/>
      <x:c r="H262" s="87"/>
      <x:c r="I262" s="87"/>
      <x:c r="J262" s="87"/>
      <x:c r="K262" s="87"/>
      <x:c r="L262" s="87"/>
      <x:c r="M262" s="87"/>
      <x:c r="N262" s="146"/>
      <x:c r="O262" s="106"/>
      <x:c r="P262" s="147"/>
      <x:c r="Q262" s="106"/>
      <x:c r="R262" s="147"/>
      <x:c r="S262" s="107">
        <x:f>SUM(E262:R262)</x:f>
      </x:c>
      <x:c r="T262" s="88">
        <x:v>31.8</x:v>
      </x:c>
      <x:c r="U262" s="88">
        <x:v>69.9</x:v>
      </x:c>
      <x:c r="V262" s="108">
        <x:f>S262*T262</x:f>
      </x:c>
    </x:row>
    <x:row r="263" spans="1:31" ht="15" customHeight="1" hidden="1" x14ac:dyDescent="0.3">
      <x:c r="A263" s="87">
        <x:v>743077</x:v>
      </x:c>
      <x:c r="B263" s="87" t="s">
        <x:v>355</x:v>
      </x:c>
      <x:c r="C263" s="87" t="s">
        <x:v>331</x:v>
      </x:c>
      <x:c r="D263" s="89" t="s">
        <x:v>63</x:v>
      </x:c>
      <x:c r="E263" s="87"/>
      <x:c r="F263" s="87"/>
      <x:c r="G263" s="87"/>
      <x:c r="H263" s="87"/>
      <x:c r="I263" s="87"/>
      <x:c r="J263" s="87"/>
      <x:c r="K263" s="87"/>
      <x:c r="L263" s="87"/>
      <x:c r="M263" s="87"/>
      <x:c r="N263" s="146"/>
      <x:c r="O263" s="106"/>
      <x:c r="P263" s="147"/>
      <x:c r="Q263" s="106"/>
      <x:c r="R263" s="147"/>
      <x:c r="S263" s="107">
        <x:f>SUM(E263:R263)</x:f>
      </x:c>
      <x:c r="T263" s="88">
        <x:v>31.8</x:v>
      </x:c>
      <x:c r="U263" s="88">
        <x:v>69.9</x:v>
      </x:c>
      <x:c r="V263" s="108">
        <x:f>S263*T263</x:f>
      </x:c>
    </x:row>
    <x:row r="264" spans="1:31" ht="15" customHeight="1" hidden="1" x14ac:dyDescent="0.3">
      <x:c r="A264" s="87">
        <x:v>743079</x:v>
      </x:c>
      <x:c r="B264" s="87" t="s">
        <x:v>356</x:v>
      </x:c>
      <x:c r="C264" s="87" t="s">
        <x:v>357</x:v>
      </x:c>
      <x:c r="D264" s="89" t="s">
        <x:v>63</x:v>
      </x:c>
      <x:c r="E264" s="87"/>
      <x:c r="F264" s="87"/>
      <x:c r="G264" s="87"/>
      <x:c r="H264" s="87"/>
      <x:c r="I264" s="87"/>
      <x:c r="J264" s="87"/>
      <x:c r="K264" s="87"/>
      <x:c r="L264" s="87"/>
      <x:c r="M264" s="87"/>
      <x:c r="N264" s="146"/>
      <x:c r="O264" s="106"/>
      <x:c r="P264" s="147"/>
      <x:c r="Q264" s="106"/>
      <x:c r="R264" s="147"/>
      <x:c r="S264" s="107">
        <x:f>SUM(E264:R264)</x:f>
      </x:c>
      <x:c r="T264" s="88">
        <x:v>31.8</x:v>
      </x:c>
      <x:c r="U264" s="88">
        <x:v>69.9</x:v>
      </x:c>
      <x:c r="V264" s="108">
        <x:f>S264*T264</x:f>
      </x:c>
    </x:row>
    <x:row r="265" spans="1:31" ht="15" customHeight="1" hidden="1" x14ac:dyDescent="0.3">
      <x:c r="A265" s="87">
        <x:v>743079</x:v>
      </x:c>
      <x:c r="B265" s="87" t="s">
        <x:v>358</x:v>
      </x:c>
      <x:c r="C265" s="87" t="s">
        <x:v>347</x:v>
      </x:c>
      <x:c r="D265" s="89" t="s">
        <x:v>63</x:v>
      </x:c>
      <x:c r="E265" s="87"/>
      <x:c r="F265" s="87"/>
      <x:c r="G265" s="87"/>
      <x:c r="H265" s="87"/>
      <x:c r="I265" s="87"/>
      <x:c r="J265" s="87"/>
      <x:c r="K265" s="87"/>
      <x:c r="L265" s="87"/>
      <x:c r="M265" s="87"/>
      <x:c r="N265" s="146"/>
      <x:c r="O265" s="106"/>
      <x:c r="P265" s="147"/>
      <x:c r="Q265" s="106"/>
      <x:c r="R265" s="147"/>
      <x:c r="S265" s="107">
        <x:f>SUM(E265:R265)</x:f>
      </x:c>
      <x:c r="T265" s="88">
        <x:v>31.8</x:v>
      </x:c>
      <x:c r="U265" s="88">
        <x:v>69.9</x:v>
      </x:c>
      <x:c r="V265" s="108">
        <x:f>S265*T265</x:f>
      </x:c>
    </x:row>
    <x:row r="266" spans="1:31" ht="15" customHeight="1" hidden="1" x14ac:dyDescent="0.3">
      <x:c r="A266" s="87">
        <x:v>743079</x:v>
      </x:c>
      <x:c r="B266" s="87" t="s">
        <x:v>359</x:v>
      </x:c>
      <x:c r="C266" s="87" t="s">
        <x:v>351</x:v>
      </x:c>
      <x:c r="D266" s="89" t="s">
        <x:v>63</x:v>
      </x:c>
      <x:c r="E266" s="87"/>
      <x:c r="F266" s="87"/>
      <x:c r="G266" s="87"/>
      <x:c r="H266" s="87"/>
      <x:c r="I266" s="87"/>
      <x:c r="J266" s="87"/>
      <x:c r="K266" s="87"/>
      <x:c r="L266" s="87"/>
      <x:c r="M266" s="87"/>
      <x:c r="N266" s="146"/>
      <x:c r="O266" s="106"/>
      <x:c r="P266" s="147"/>
      <x:c r="Q266" s="106"/>
      <x:c r="R266" s="147"/>
      <x:c r="S266" s="107">
        <x:f>SUM(E266:R266)</x:f>
      </x:c>
      <x:c r="T266" s="88">
        <x:v>31.8</x:v>
      </x:c>
      <x:c r="U266" s="88">
        <x:v>69.9</x:v>
      </x:c>
      <x:c r="V266" s="108">
        <x:f>S266*T266</x:f>
      </x:c>
    </x:row>
    <x:row r="267" spans="1:31" ht="15" customHeight="1" x14ac:dyDescent="0.3">
      <x:c r="A267" s="87"/>
      <x:c r="B267" s="87"/>
      <x:c r="C267" s="87"/>
      <x:c r="D267" s="89"/>
      <x:c r="E267" s="107"/>
      <x:c r="F267" s="107"/>
      <x:c r="G267" s="107"/>
      <x:c r="H267" s="107"/>
      <x:c r="I267" s="107"/>
      <x:c r="J267" s="107"/>
      <x:c r="K267" s="107"/>
      <x:c r="L267" s="107"/>
      <x:c r="M267" s="107"/>
      <x:c r="N267" s="148"/>
      <x:c r="O267" s="107"/>
      <x:c r="P267" s="148"/>
      <x:c r="Q267" s="107"/>
      <x:c r="R267" s="148"/>
      <x:c r="S267" s="107"/>
      <x:c r="T267" s="88"/>
      <x:c r="U267" s="88"/>
      <x:c r="V267" s="108"/>
    </x:row>
    <x:row r="268" spans="1:31" ht="15" customHeight="1" hidden="1" x14ac:dyDescent="0.3">
      <x:c r="A268" s="87">
        <x:v>743087</x:v>
      </x:c>
      <x:c r="B268" s="87" t="s">
        <x:v>360</x:v>
      </x:c>
      <x:c r="C268" s="87" t="s">
        <x:v>286</x:v>
      </x:c>
      <x:c r="D268" s="89" t="s">
        <x:v>63</x:v>
      </x:c>
      <x:c r="E268" s="146"/>
      <x:c r="F268" s="87"/>
      <x:c r="G268" s="87"/>
      <x:c r="H268" s="87"/>
      <x:c r="I268" s="87"/>
      <x:c r="J268" s="87"/>
      <x:c r="K268" s="87"/>
      <x:c r="L268" s="87"/>
      <x:c r="M268" s="87"/>
      <x:c r="N268" s="146"/>
      <x:c r="O268" s="106"/>
      <x:c r="P268" s="147"/>
      <x:c r="Q268" s="106"/>
      <x:c r="R268" s="147"/>
      <x:c r="S268" s="107">
        <x:f>SUM(E268:R268)</x:f>
      </x:c>
      <x:c r="T268" s="88">
        <x:v>20.9</x:v>
      </x:c>
      <x:c r="U268" s="88">
        <x:v>45.9</x:v>
      </x:c>
      <x:c r="V268" s="108">
        <x:f>S268*T268</x:f>
      </x:c>
    </x:row>
    <x:row r="269" spans="1:31" ht="15" customHeight="1" hidden="1" x14ac:dyDescent="0.3">
      <x:c r="A269" s="87">
        <x:v>743087</x:v>
      </x:c>
      <x:c r="B269" s="87" t="s">
        <x:v>361</x:v>
      </x:c>
      <x:c r="C269" s="87" t="s">
        <x:v>225</x:v>
      </x:c>
      <x:c r="D269" s="89" t="s">
        <x:v>63</x:v>
      </x:c>
      <x:c r="E269" s="146"/>
      <x:c r="F269" s="87"/>
      <x:c r="G269" s="87"/>
      <x:c r="H269" s="87"/>
      <x:c r="I269" s="87"/>
      <x:c r="J269" s="87"/>
      <x:c r="K269" s="87"/>
      <x:c r="L269" s="87"/>
      <x:c r="M269" s="87"/>
      <x:c r="N269" s="146"/>
      <x:c r="O269" s="106"/>
      <x:c r="P269" s="147"/>
      <x:c r="Q269" s="106"/>
      <x:c r="R269" s="147"/>
      <x:c r="S269" s="107">
        <x:f>SUM(E269:R269)</x:f>
      </x:c>
      <x:c r="T269" s="88">
        <x:v>20.9</x:v>
      </x:c>
      <x:c r="U269" s="88">
        <x:v>45.9</x:v>
      </x:c>
      <x:c r="V269" s="108">
        <x:f>S269*T269</x:f>
      </x:c>
    </x:row>
    <x:row r="270" spans="1:31" ht="15" customHeight="1" hidden="1" x14ac:dyDescent="0.3">
      <x:c r="A270" s="87">
        <x:v>743087</x:v>
      </x:c>
      <x:c r="B270" s="87" t="s">
        <x:v>362</x:v>
      </x:c>
      <x:c r="C270" s="87" t="s">
        <x:v>347</x:v>
      </x:c>
      <x:c r="D270" s="89" t="s">
        <x:v>63</x:v>
      </x:c>
      <x:c r="E270" s="146"/>
      <x:c r="F270" s="87"/>
      <x:c r="G270" s="87"/>
      <x:c r="H270" s="87"/>
      <x:c r="I270" s="87"/>
      <x:c r="J270" s="87"/>
      <x:c r="K270" s="87"/>
      <x:c r="L270" s="87"/>
      <x:c r="M270" s="87"/>
      <x:c r="N270" s="146"/>
      <x:c r="O270" s="106"/>
      <x:c r="P270" s="147"/>
      <x:c r="Q270" s="106"/>
      <x:c r="R270" s="147"/>
      <x:c r="S270" s="107">
        <x:f>SUM(E270:R270)</x:f>
      </x:c>
      <x:c r="T270" s="88">
        <x:v>20.9</x:v>
      </x:c>
      <x:c r="U270" s="88">
        <x:v>45.9</x:v>
      </x:c>
      <x:c r="V270" s="108">
        <x:f>S270*T270</x:f>
      </x:c>
    </x:row>
    <x:row r="271" spans="1:31" ht="15" customHeight="1" hidden="1" x14ac:dyDescent="0.3">
      <x:c r="A271" s="87">
        <x:v>743087</x:v>
      </x:c>
      <x:c r="B271" s="87" t="s">
        <x:v>363</x:v>
      </x:c>
      <x:c r="C271" s="87" t="s">
        <x:v>331</x:v>
      </x:c>
      <x:c r="D271" s="89" t="s">
        <x:v>63</x:v>
      </x:c>
      <x:c r="E271" s="146"/>
      <x:c r="F271" s="87"/>
      <x:c r="G271" s="87"/>
      <x:c r="H271" s="87"/>
      <x:c r="I271" s="87"/>
      <x:c r="J271" s="87"/>
      <x:c r="K271" s="87"/>
      <x:c r="L271" s="87"/>
      <x:c r="M271" s="87"/>
      <x:c r="N271" s="146"/>
      <x:c r="O271" s="106"/>
      <x:c r="P271" s="147"/>
      <x:c r="Q271" s="106"/>
      <x:c r="R271" s="147"/>
      <x:c r="S271" s="107">
        <x:f>SUM(E271:R271)</x:f>
      </x:c>
      <x:c r="T271" s="88">
        <x:v>20.9</x:v>
      </x:c>
      <x:c r="U271" s="88">
        <x:v>45.9</x:v>
      </x:c>
      <x:c r="V271" s="108">
        <x:f>S271*T271</x:f>
      </x:c>
    </x:row>
    <x:row r="272" spans="1:31" ht="15" customHeight="1" hidden="1" x14ac:dyDescent="0.3">
      <x:c r="A272" s="87">
        <x:v>743087</x:v>
      </x:c>
      <x:c r="B272" s="87" t="s">
        <x:v>364</x:v>
      </x:c>
      <x:c r="C272" s="87" t="s">
        <x:v>351</x:v>
      </x:c>
      <x:c r="D272" s="89" t="s">
        <x:v>63</x:v>
      </x:c>
      <x:c r="E272" s="146"/>
      <x:c r="F272" s="87"/>
      <x:c r="G272" s="87"/>
      <x:c r="H272" s="87"/>
      <x:c r="I272" s="87"/>
      <x:c r="J272" s="87"/>
      <x:c r="K272" s="87"/>
      <x:c r="L272" s="87"/>
      <x:c r="M272" s="87"/>
      <x:c r="N272" s="146"/>
      <x:c r="O272" s="106"/>
      <x:c r="P272" s="147"/>
      <x:c r="Q272" s="106"/>
      <x:c r="R272" s="147"/>
      <x:c r="S272" s="107">
        <x:f>SUM(E272:R272)</x:f>
      </x:c>
      <x:c r="T272" s="88">
        <x:v>20.9</x:v>
      </x:c>
      <x:c r="U272" s="88">
        <x:v>45.9</x:v>
      </x:c>
      <x:c r="V272" s="108">
        <x:f>S272*T272</x:f>
      </x:c>
    </x:row>
    <x:row r="273" spans="1:31" ht="15" customHeight="1" hidden="1" x14ac:dyDescent="0.3">
      <x:c r="A273" s="87">
        <x:v>743091</x:v>
      </x:c>
      <x:c r="B273" s="87" t="s">
        <x:v>365</x:v>
      </x:c>
      <x:c r="C273" s="87" t="s">
        <x:v>323</x:v>
      </x:c>
      <x:c r="D273" s="89" t="s">
        <x:v>63</x:v>
      </x:c>
      <x:c r="E273" s="146"/>
      <x:c r="F273" s="87"/>
      <x:c r="G273" s="87"/>
      <x:c r="H273" s="87"/>
      <x:c r="I273" s="87"/>
      <x:c r="J273" s="87"/>
      <x:c r="K273" s="87"/>
      <x:c r="L273" s="87"/>
      <x:c r="M273" s="87"/>
      <x:c r="N273" s="146"/>
      <x:c r="O273" s="106"/>
      <x:c r="P273" s="147"/>
      <x:c r="Q273" s="106"/>
      <x:c r="R273" s="147"/>
      <x:c r="S273" s="107">
        <x:f>SUM(E273:R273)</x:f>
      </x:c>
      <x:c r="T273" s="88">
        <x:v>20.9</x:v>
      </x:c>
      <x:c r="U273" s="88">
        <x:v>45.9</x:v>
      </x:c>
      <x:c r="V273" s="108">
        <x:f>S273*T273</x:f>
      </x:c>
    </x:row>
    <x:row r="274" spans="1:31" ht="15" customHeight="1" hidden="1" x14ac:dyDescent="0.3">
      <x:c r="A274" s="87">
        <x:v>743091</x:v>
      </x:c>
      <x:c r="B274" s="87" t="s">
        <x:v>366</x:v>
      </x:c>
      <x:c r="C274" s="87" t="s">
        <x:v>325</x:v>
      </x:c>
      <x:c r="D274" s="89" t="s">
        <x:v>63</x:v>
      </x:c>
      <x:c r="E274" s="146"/>
      <x:c r="F274" s="87"/>
      <x:c r="G274" s="87"/>
      <x:c r="H274" s="87"/>
      <x:c r="I274" s="87"/>
      <x:c r="J274" s="87"/>
      <x:c r="K274" s="87"/>
      <x:c r="L274" s="87"/>
      <x:c r="M274" s="87"/>
      <x:c r="N274" s="146"/>
      <x:c r="O274" s="106"/>
      <x:c r="P274" s="147"/>
      <x:c r="Q274" s="106"/>
      <x:c r="R274" s="147"/>
      <x:c r="S274" s="107">
        <x:f>SUM(E274:R274)</x:f>
      </x:c>
      <x:c r="T274" s="88">
        <x:v>20.9</x:v>
      </x:c>
      <x:c r="U274" s="88">
        <x:v>45.9</x:v>
      </x:c>
      <x:c r="V274" s="108">
        <x:f>S274*T274</x:f>
      </x:c>
    </x:row>
    <x:row r="275" spans="1:31" ht="15" customHeight="1" hidden="1" x14ac:dyDescent="0.3">
      <x:c r="A275" s="87">
        <x:v>743093</x:v>
      </x:c>
      <x:c r="B275" s="87" t="s">
        <x:v>367</x:v>
      </x:c>
      <x:c r="C275" s="87" t="s">
        <x:v>286</x:v>
      </x:c>
      <x:c r="D275" s="89" t="s">
        <x:v>63</x:v>
      </x:c>
      <x:c r="E275" s="146"/>
      <x:c r="F275" s="87"/>
      <x:c r="G275" s="87"/>
      <x:c r="H275" s="87"/>
      <x:c r="I275" s="87"/>
      <x:c r="J275" s="87"/>
      <x:c r="K275" s="87"/>
      <x:c r="L275" s="87"/>
      <x:c r="M275" s="87"/>
      <x:c r="N275" s="146"/>
      <x:c r="O275" s="106"/>
      <x:c r="P275" s="147"/>
      <x:c r="Q275" s="106"/>
      <x:c r="R275" s="147"/>
      <x:c r="S275" s="107">
        <x:f>SUM(E275:R275)</x:f>
      </x:c>
      <x:c r="T275" s="88">
        <x:v>20</x:v>
      </x:c>
      <x:c r="U275" s="88">
        <x:v>43.9</x:v>
      </x:c>
      <x:c r="V275" s="108">
        <x:f>S275*T275</x:f>
      </x:c>
    </x:row>
    <x:row r="276" spans="1:31" ht="15" customHeight="1" hidden="1" x14ac:dyDescent="0.3">
      <x:c r="A276" s="87">
        <x:v>743093</x:v>
      </x:c>
      <x:c r="B276" s="87" t="s">
        <x:v>368</x:v>
      </x:c>
      <x:c r="C276" s="87" t="s">
        <x:v>225</x:v>
      </x:c>
      <x:c r="D276" s="89" t="s">
        <x:v>63</x:v>
      </x:c>
      <x:c r="E276" s="146"/>
      <x:c r="F276" s="87"/>
      <x:c r="G276" s="87"/>
      <x:c r="H276" s="87"/>
      <x:c r="I276" s="87"/>
      <x:c r="J276" s="87"/>
      <x:c r="K276" s="87"/>
      <x:c r="L276" s="87"/>
      <x:c r="M276" s="87"/>
      <x:c r="N276" s="146"/>
      <x:c r="O276" s="106"/>
      <x:c r="P276" s="147"/>
      <x:c r="Q276" s="106"/>
      <x:c r="R276" s="147"/>
      <x:c r="S276" s="107">
        <x:f>SUM(E276:R276)</x:f>
      </x:c>
      <x:c r="T276" s="88">
        <x:v>20</x:v>
      </x:c>
      <x:c r="U276" s="88">
        <x:v>43.9</x:v>
      </x:c>
      <x:c r="V276" s="108">
        <x:f>S276*T276</x:f>
      </x:c>
    </x:row>
    <x:row r="277" spans="1:31" ht="15" customHeight="1" hidden="1" x14ac:dyDescent="0.3">
      <x:c r="A277" s="87">
        <x:v>743093</x:v>
      </x:c>
      <x:c r="B277" s="87" t="s">
        <x:v>369</x:v>
      </x:c>
      <x:c r="C277" s="87" t="s">
        <x:v>347</x:v>
      </x:c>
      <x:c r="D277" s="89" t="s">
        <x:v>63</x:v>
      </x:c>
      <x:c r="E277" s="146"/>
      <x:c r="F277" s="87"/>
      <x:c r="G277" s="87"/>
      <x:c r="H277" s="87"/>
      <x:c r="I277" s="87"/>
      <x:c r="J277" s="87"/>
      <x:c r="K277" s="87"/>
      <x:c r="L277" s="87"/>
      <x:c r="M277" s="87"/>
      <x:c r="N277" s="146"/>
      <x:c r="O277" s="106"/>
      <x:c r="P277" s="147"/>
      <x:c r="Q277" s="106"/>
      <x:c r="R277" s="147"/>
      <x:c r="S277" s="107">
        <x:f>SUM(E277:R277)</x:f>
      </x:c>
      <x:c r="T277" s="88">
        <x:v>20</x:v>
      </x:c>
      <x:c r="U277" s="88">
        <x:v>43.9</x:v>
      </x:c>
      <x:c r="V277" s="108">
        <x:f>S277*T277</x:f>
      </x:c>
    </x:row>
    <x:row r="278" spans="1:31" ht="15" customHeight="1" hidden="1" x14ac:dyDescent="0.3">
      <x:c r="A278" s="87">
        <x:v>743093</x:v>
      </x:c>
      <x:c r="B278" s="87" t="s">
        <x:v>370</x:v>
      </x:c>
      <x:c r="C278" s="87" t="s">
        <x:v>331</x:v>
      </x:c>
      <x:c r="D278" s="89" t="s">
        <x:v>63</x:v>
      </x:c>
      <x:c r="E278" s="146"/>
      <x:c r="F278" s="87"/>
      <x:c r="G278" s="87"/>
      <x:c r="H278" s="87"/>
      <x:c r="I278" s="87"/>
      <x:c r="J278" s="87"/>
      <x:c r="K278" s="87"/>
      <x:c r="L278" s="87"/>
      <x:c r="M278" s="87"/>
      <x:c r="N278" s="146"/>
      <x:c r="O278" s="106"/>
      <x:c r="P278" s="147"/>
      <x:c r="Q278" s="106"/>
      <x:c r="R278" s="147"/>
      <x:c r="S278" s="107">
        <x:f>SUM(E278:R278)</x:f>
      </x:c>
      <x:c r="T278" s="88">
        <x:v>20</x:v>
      </x:c>
      <x:c r="U278" s="88">
        <x:v>43.9</x:v>
      </x:c>
      <x:c r="V278" s="108">
        <x:f>S278*T278</x:f>
      </x:c>
    </x:row>
    <x:row r="279" spans="1:31" ht="15" customHeight="1" hidden="1" x14ac:dyDescent="0.3">
      <x:c r="A279" s="87">
        <x:v>743093</x:v>
      </x:c>
      <x:c r="B279" s="87" t="s">
        <x:v>371</x:v>
      </x:c>
      <x:c r="C279" s="87" t="s">
        <x:v>351</x:v>
      </x:c>
      <x:c r="D279" s="89" t="s">
        <x:v>63</x:v>
      </x:c>
      <x:c r="E279" s="146"/>
      <x:c r="F279" s="87"/>
      <x:c r="G279" s="87"/>
      <x:c r="H279" s="87"/>
      <x:c r="I279" s="87"/>
      <x:c r="J279" s="87"/>
      <x:c r="K279" s="87"/>
      <x:c r="L279" s="87"/>
      <x:c r="M279" s="87"/>
      <x:c r="N279" s="146"/>
      <x:c r="O279" s="106"/>
      <x:c r="P279" s="147"/>
      <x:c r="Q279" s="106"/>
      <x:c r="R279" s="147"/>
      <x:c r="S279" s="107">
        <x:f>SUM(E279:R279)</x:f>
      </x:c>
      <x:c r="T279" s="88">
        <x:v>20</x:v>
      </x:c>
      <x:c r="U279" s="88">
        <x:v>43.9</x:v>
      </x:c>
      <x:c r="V279" s="108">
        <x:f>S279*T279</x:f>
      </x:c>
    </x:row>
    <x:row r="280" spans="1:31" ht="15" customHeight="1" x14ac:dyDescent="0.3">
      <x:c r="A280" s="87"/>
      <x:c r="B280" s="87"/>
      <x:c r="C280" s="87"/>
      <x:c r="D280" s="89"/>
      <x:c r="E280" s="148"/>
      <x:c r="F280" s="148"/>
      <x:c r="G280" s="107"/>
      <x:c r="H280" s="107"/>
      <x:c r="I280" s="107"/>
      <x:c r="J280" s="107"/>
      <x:c r="K280" s="107"/>
      <x:c r="L280" s="107"/>
      <x:c r="M280" s="107"/>
      <x:c r="N280" s="148"/>
      <x:c r="O280" s="107"/>
      <x:c r="P280" s="148"/>
      <x:c r="Q280" s="107"/>
      <x:c r="R280" s="107"/>
      <x:c r="S280" s="107"/>
      <x:c r="T280" s="88"/>
      <x:c r="U280" s="88"/>
      <x:c r="V280" s="108"/>
    </x:row>
    <x:row r="281" spans="1:31" ht="15" customHeight="1" x14ac:dyDescent="0.3">
      <x:c r="A281" s="87"/>
      <x:c r="B281" s="87"/>
      <x:c r="C281" s="87"/>
      <x:c r="D281" s="89"/>
      <x:c r="E281" s="148"/>
      <x:c r="F281" s="148"/>
      <x:c r="G281" s="107"/>
      <x:c r="H281" s="107"/>
      <x:c r="I281" s="107"/>
      <x:c r="J281" s="107"/>
      <x:c r="K281" s="107"/>
      <x:c r="L281" s="107"/>
      <x:c r="M281" s="107"/>
      <x:c r="N281" s="148"/>
      <x:c r="O281" s="107"/>
      <x:c r="P281" s="148"/>
      <x:c r="Q281" s="107"/>
      <x:c r="R281" s="107"/>
      <x:c r="S281" s="107"/>
      <x:c r="T281" s="88"/>
      <x:c r="U281" s="88"/>
      <x:c r="V281" s="108"/>
    </x:row>
    <x:row r="282" spans="1:31" ht="15" customHeight="1" hidden="1" x14ac:dyDescent="0.3">
      <x:c r="A282" s="87">
        <x:v>743097</x:v>
      </x:c>
      <x:c r="B282" s="87" t="s">
        <x:v>372</x:v>
      </x:c>
      <x:c r="C282" s="87" t="s">
        <x:v>347</x:v>
      </x:c>
      <x:c r="D282" s="89" t="s">
        <x:v>63</x:v>
      </x:c>
      <x:c r="E282" s="146"/>
      <x:c r="F282" s="146"/>
      <x:c r="G282" s="87"/>
      <x:c r="H282" s="87"/>
      <x:c r="I282" s="87"/>
      <x:c r="J282" s="87"/>
      <x:c r="K282" s="87"/>
      <x:c r="L282" s="87"/>
      <x:c r="M282" s="87"/>
      <x:c r="N282" s="146"/>
      <x:c r="O282" s="106"/>
      <x:c r="P282" s="147"/>
      <x:c r="Q282" s="106"/>
      <x:c r="R282" s="106"/>
      <x:c r="S282" s="107">
        <x:f>SUM(E282:R282)</x:f>
      </x:c>
      <x:c r="T282" s="88">
        <x:v>31.8</x:v>
      </x:c>
      <x:c r="U282" s="88">
        <x:v>69.9</x:v>
      </x:c>
      <x:c r="V282" s="108">
        <x:f>S282*T282</x:f>
      </x:c>
    </x:row>
    <x:row r="283" spans="1:31" ht="15" customHeight="1" hidden="1" x14ac:dyDescent="0.3">
      <x:c r="A283" s="87">
        <x:v>743097</x:v>
      </x:c>
      <x:c r="B283" s="87" t="s">
        <x:v>373</x:v>
      </x:c>
      <x:c r="C283" s="87" t="s">
        <x:v>331</x:v>
      </x:c>
      <x:c r="D283" s="89" t="s">
        <x:v>63</x:v>
      </x:c>
      <x:c r="E283" s="146"/>
      <x:c r="F283" s="146"/>
      <x:c r="G283" s="87"/>
      <x:c r="H283" s="87"/>
      <x:c r="I283" s="87"/>
      <x:c r="J283" s="87"/>
      <x:c r="K283" s="87"/>
      <x:c r="L283" s="87"/>
      <x:c r="M283" s="87"/>
      <x:c r="N283" s="146"/>
      <x:c r="O283" s="106"/>
      <x:c r="P283" s="147"/>
      <x:c r="Q283" s="106"/>
      <x:c r="R283" s="106"/>
      <x:c r="S283" s="107">
        <x:f>SUM(E283:R283)</x:f>
      </x:c>
      <x:c r="T283" s="88">
        <x:v>31.8</x:v>
      </x:c>
      <x:c r="U283" s="88">
        <x:v>69.9</x:v>
      </x:c>
      <x:c r="V283" s="108">
        <x:f>S283*T283</x:f>
      </x:c>
    </x:row>
    <x:row r="284" spans="1:31" ht="15" customHeight="1" hidden="1" x14ac:dyDescent="0.3">
      <x:c r="A284" s="87">
        <x:v>743097</x:v>
      </x:c>
      <x:c r="B284" s="87" t="s">
        <x:v>374</x:v>
      </x:c>
      <x:c r="C284" s="87" t="s">
        <x:v>351</x:v>
      </x:c>
      <x:c r="D284" s="89" t="s">
        <x:v>63</x:v>
      </x:c>
      <x:c r="E284" s="146"/>
      <x:c r="F284" s="146"/>
      <x:c r="G284" s="87"/>
      <x:c r="H284" s="87"/>
      <x:c r="I284" s="87"/>
      <x:c r="J284" s="87"/>
      <x:c r="K284" s="87"/>
      <x:c r="L284" s="87"/>
      <x:c r="M284" s="87"/>
      <x:c r="N284" s="146"/>
      <x:c r="O284" s="106"/>
      <x:c r="P284" s="147"/>
      <x:c r="Q284" s="106"/>
      <x:c r="R284" s="106"/>
      <x:c r="S284" s="107">
        <x:f>SUM(E284:R284)</x:f>
      </x:c>
      <x:c r="T284" s="88">
        <x:v>31.8</x:v>
      </x:c>
      <x:c r="U284" s="88">
        <x:v>69.9</x:v>
      </x:c>
      <x:c r="V284" s="108">
        <x:f>S284*T284</x:f>
      </x:c>
    </x:row>
    <x:row r="285" spans="1:31" ht="15" customHeight="1" hidden="1" x14ac:dyDescent="0.3">
      <x:c r="A285" s="87">
        <x:v>743098</x:v>
      </x:c>
      <x:c r="B285" s="87" t="s">
        <x:v>375</x:v>
      </x:c>
      <x:c r="C285" s="87" t="s">
        <x:v>325</x:v>
      </x:c>
      <x:c r="D285" s="89" t="s">
        <x:v>63</x:v>
      </x:c>
      <x:c r="E285" s="146"/>
      <x:c r="F285" s="87"/>
      <x:c r="G285" s="87"/>
      <x:c r="H285" s="87"/>
      <x:c r="I285" s="87"/>
      <x:c r="J285" s="87"/>
      <x:c r="K285" s="87"/>
      <x:c r="L285" s="87"/>
      <x:c r="M285" s="87"/>
      <x:c r="N285" s="146"/>
      <x:c r="O285" s="106"/>
      <x:c r="P285" s="147"/>
      <x:c r="Q285" s="106"/>
      <x:c r="R285" s="106"/>
      <x:c r="S285" s="107">
        <x:f>SUM(E285:R285)</x:f>
      </x:c>
      <x:c r="T285" s="88">
        <x:v>36.4</x:v>
      </x:c>
      <x:c r="U285" s="88">
        <x:v>79.9</x:v>
      </x:c>
      <x:c r="V285" s="108">
        <x:f>S285*T285</x:f>
      </x:c>
    </x:row>
    <x:row r="286" spans="1:31" ht="15" customHeight="1" hidden="1" x14ac:dyDescent="0.3">
      <x:c r="A286" s="87">
        <x:v>743098</x:v>
      </x:c>
      <x:c r="B286" s="87" t="s">
        <x:v>376</x:v>
      </x:c>
      <x:c r="C286" s="87" t="s">
        <x:v>347</x:v>
      </x:c>
      <x:c r="D286" s="89" t="s">
        <x:v>63</x:v>
      </x:c>
      <x:c r="E286" s="146"/>
      <x:c r="F286" s="87"/>
      <x:c r="G286" s="87"/>
      <x:c r="H286" s="87"/>
      <x:c r="I286" s="87"/>
      <x:c r="J286" s="87"/>
      <x:c r="K286" s="87"/>
      <x:c r="L286" s="87"/>
      <x:c r="M286" s="87"/>
      <x:c r="N286" s="146"/>
      <x:c r="O286" s="106"/>
      <x:c r="P286" s="147"/>
      <x:c r="Q286" s="106"/>
      <x:c r="R286" s="106"/>
      <x:c r="S286" s="107">
        <x:f>SUM(E286:R286)</x:f>
      </x:c>
      <x:c r="T286" s="88">
        <x:v>36.4</x:v>
      </x:c>
      <x:c r="U286" s="88">
        <x:v>79.9</x:v>
      </x:c>
      <x:c r="V286" s="108">
        <x:f>S286*T286</x:f>
      </x:c>
    </x:row>
    <x:row r="287" spans="1:31" ht="15" customHeight="1" hidden="1" x14ac:dyDescent="0.3">
      <x:c r="A287" s="87">
        <x:v>743103</x:v>
      </x:c>
      <x:c r="B287" s="87" t="s">
        <x:v>377</x:v>
      </x:c>
      <x:c r="C287" s="87" t="s">
        <x:v>331</x:v>
      </x:c>
      <x:c r="D287" s="89" t="s">
        <x:v>63</x:v>
      </x:c>
      <x:c r="E287" s="87"/>
      <x:c r="F287" s="87"/>
      <x:c r="G287" s="87"/>
      <x:c r="H287" s="87"/>
      <x:c r="I287" s="87"/>
      <x:c r="J287" s="87"/>
      <x:c r="K287" s="87"/>
      <x:c r="L287" s="87"/>
      <x:c r="M287" s="87"/>
      <x:c r="N287" s="87"/>
      <x:c r="O287" s="106"/>
      <x:c r="P287" s="106"/>
      <x:c r="Q287" s="106"/>
      <x:c r="R287" s="147"/>
      <x:c r="S287" s="107">
        <x:f>SUM(E287:R287)</x:f>
      </x:c>
      <x:c r="T287" s="88">
        <x:v>20.9</x:v>
      </x:c>
      <x:c r="U287" s="88">
        <x:v>45.9</x:v>
      </x:c>
      <x:c r="V287" s="108">
        <x:f>S287*T287</x:f>
      </x:c>
    </x:row>
    <x:row r="288" spans="1:31" ht="15" customHeight="1" hidden="1" x14ac:dyDescent="0.3">
      <x:c r="A288" s="87">
        <x:v>743105</x:v>
      </x:c>
      <x:c r="B288" s="87" t="s">
        <x:v>378</x:v>
      </x:c>
      <x:c r="C288" s="87" t="s">
        <x:v>325</x:v>
      </x:c>
      <x:c r="D288" s="89" t="s">
        <x:v>63</x:v>
      </x:c>
      <x:c r="E288" s="146"/>
      <x:c r="F288" s="87"/>
      <x:c r="G288" s="87"/>
      <x:c r="H288" s="87"/>
      <x:c r="I288" s="87"/>
      <x:c r="J288" s="87"/>
      <x:c r="K288" s="87"/>
      <x:c r="L288" s="87"/>
      <x:c r="M288" s="87"/>
      <x:c r="N288" s="146"/>
      <x:c r="O288" s="106"/>
      <x:c r="P288" s="147"/>
      <x:c r="Q288" s="147"/>
      <x:c r="R288" s="147"/>
      <x:c r="S288" s="107">
        <x:f>SUM(E288:R288)</x:f>
      </x:c>
      <x:c r="T288" s="88">
        <x:v>27.4</x:v>
      </x:c>
      <x:c r="U288" s="88">
        <x:v>59.9</x:v>
      </x:c>
      <x:c r="V288" s="108">
        <x:f>S288*T288</x:f>
      </x:c>
    </x:row>
    <x:row r="289" spans="1:31" ht="15" customHeight="1" hidden="1" x14ac:dyDescent="0.3">
      <x:c r="A289" s="87">
        <x:v>743105</x:v>
      </x:c>
      <x:c r="B289" s="87" t="s">
        <x:v>379</x:v>
      </x:c>
      <x:c r="C289" s="87" t="s">
        <x:v>353</x:v>
      </x:c>
      <x:c r="D289" s="89" t="s">
        <x:v>63</x:v>
      </x:c>
      <x:c r="E289" s="146"/>
      <x:c r="F289" s="87"/>
      <x:c r="G289" s="87"/>
      <x:c r="H289" s="87"/>
      <x:c r="I289" s="87"/>
      <x:c r="J289" s="87"/>
      <x:c r="K289" s="87"/>
      <x:c r="L289" s="87"/>
      <x:c r="M289" s="87"/>
      <x:c r="N289" s="146"/>
      <x:c r="O289" s="106"/>
      <x:c r="P289" s="147"/>
      <x:c r="Q289" s="147"/>
      <x:c r="R289" s="147"/>
      <x:c r="S289" s="107">
        <x:f>SUM(E289:R289)</x:f>
      </x:c>
      <x:c r="T289" s="88">
        <x:v>27.4</x:v>
      </x:c>
      <x:c r="U289" s="88">
        <x:v>59.9</x:v>
      </x:c>
      <x:c r="V289" s="108">
        <x:f>S289*T289</x:f>
      </x:c>
    </x:row>
    <x:row r="290" spans="1:31" ht="15" customHeight="1" hidden="1" x14ac:dyDescent="0.3">
      <x:c r="A290" s="87">
        <x:v>743107</x:v>
      </x:c>
      <x:c r="B290" s="87" t="s">
        <x:v>380</x:v>
      </x:c>
      <x:c r="C290" s="87" t="s">
        <x:v>347</x:v>
      </x:c>
      <x:c r="D290" s="89" t="s">
        <x:v>63</x:v>
      </x:c>
      <x:c r="E290" s="146"/>
      <x:c r="F290" s="87"/>
      <x:c r="G290" s="87"/>
      <x:c r="H290" s="87"/>
      <x:c r="I290" s="87"/>
      <x:c r="J290" s="87"/>
      <x:c r="K290" s="87"/>
      <x:c r="L290" s="87"/>
      <x:c r="M290" s="87"/>
      <x:c r="N290" s="87"/>
      <x:c r="O290" s="106"/>
      <x:c r="P290" s="106"/>
      <x:c r="Q290" s="106"/>
      <x:c r="R290" s="106"/>
      <x:c r="S290" s="107">
        <x:f>SUM(E290:R290)</x:f>
      </x:c>
      <x:c r="T290" s="88">
        <x:v>31.8</x:v>
      </x:c>
      <x:c r="U290" s="88">
        <x:v>69.9</x:v>
      </x:c>
      <x:c r="V290" s="108">
        <x:f>S290*T290</x:f>
      </x:c>
    </x:row>
    <x:row r="291" spans="1:31" ht="15" customHeight="1" hidden="1" x14ac:dyDescent="0.3">
      <x:c r="A291" s="87">
        <x:v>743107</x:v>
      </x:c>
      <x:c r="B291" s="87" t="s">
        <x:v>381</x:v>
      </x:c>
      <x:c r="C291" s="87" t="s">
        <x:v>351</x:v>
      </x:c>
      <x:c r="D291" s="89" t="s">
        <x:v>63</x:v>
      </x:c>
      <x:c r="E291" s="146"/>
      <x:c r="F291" s="87"/>
      <x:c r="G291" s="87"/>
      <x:c r="H291" s="87"/>
      <x:c r="I291" s="87"/>
      <x:c r="J291" s="87"/>
      <x:c r="K291" s="87"/>
      <x:c r="L291" s="87"/>
      <x:c r="M291" s="87"/>
      <x:c r="N291" s="87"/>
      <x:c r="O291" s="106"/>
      <x:c r="P291" s="106"/>
      <x:c r="Q291" s="106"/>
      <x:c r="R291" s="106"/>
      <x:c r="S291" s="107">
        <x:f>SUM(E291:R291)</x:f>
      </x:c>
      <x:c r="T291" s="88">
        <x:v>31.8</x:v>
      </x:c>
      <x:c r="U291" s="88">
        <x:v>69.9</x:v>
      </x:c>
      <x:c r="V291" s="108">
        <x:f>S291*T291</x:f>
      </x:c>
    </x:row>
    <x:row r="292" spans="1:31" ht="15" customHeight="1" hidden="1" x14ac:dyDescent="0.3">
      <x:c r="A292" s="87">
        <x:v>743109</x:v>
      </x:c>
      <x:c r="B292" s="87" t="s">
        <x:v>382</x:v>
      </x:c>
      <x:c r="C292" s="87" t="s">
        <x:v>342</x:v>
      </x:c>
      <x:c r="D292" s="89" t="s">
        <x:v>63</x:v>
      </x:c>
      <x:c r="E292" s="146"/>
      <x:c r="F292" s="87"/>
      <x:c r="G292" s="87"/>
      <x:c r="H292" s="87"/>
      <x:c r="I292" s="87"/>
      <x:c r="J292" s="87"/>
      <x:c r="K292" s="87"/>
      <x:c r="L292" s="87"/>
      <x:c r="M292" s="87"/>
      <x:c r="N292" s="87"/>
      <x:c r="O292" s="106"/>
      <x:c r="P292" s="106"/>
      <x:c r="Q292" s="106"/>
      <x:c r="R292" s="106"/>
      <x:c r="S292" s="107">
        <x:f>SUM(E292:R292)</x:f>
      </x:c>
      <x:c r="T292" s="88">
        <x:v>31.8</x:v>
      </x:c>
      <x:c r="U292" s="88">
        <x:v>69.9</x:v>
      </x:c>
      <x:c r="V292" s="108">
        <x:f>S292*T292</x:f>
      </x:c>
    </x:row>
    <x:row r="293" spans="1:31" ht="15" customHeight="1" x14ac:dyDescent="0.3">
      <x:c r="A293" s="87"/>
      <x:c r="B293" s="87"/>
      <x:c r="C293" s="87"/>
      <x:c r="D293" s="89"/>
      <x:c r="E293" s="148"/>
      <x:c r="F293" s="107"/>
      <x:c r="G293" s="107"/>
      <x:c r="H293" s="107"/>
      <x:c r="I293" s="107"/>
      <x:c r="J293" s="107"/>
      <x:c r="K293" s="107"/>
      <x:c r="L293" s="107"/>
      <x:c r="M293" s="107"/>
      <x:c r="N293" s="107"/>
      <x:c r="O293" s="107"/>
      <x:c r="P293" s="107"/>
      <x:c r="Q293" s="107"/>
      <x:c r="R293" s="107"/>
      <x:c r="S293" s="107"/>
      <x:c r="T293" s="88"/>
      <x:c r="U293" s="88"/>
      <x:c r="V293" s="108"/>
    </x:row>
    <x:row r="294" spans="1:31" ht="15" customHeight="1" hidden="1" x14ac:dyDescent="0.3">
      <x:c r="A294" s="87">
        <x:v>743109</x:v>
      </x:c>
      <x:c r="B294" s="87" t="s">
        <x:v>383</x:v>
      </x:c>
      <x:c r="C294" s="87" t="s">
        <x:v>325</x:v>
      </x:c>
      <x:c r="D294" s="89" t="s">
        <x:v>63</x:v>
      </x:c>
      <x:c r="E294" s="146"/>
      <x:c r="F294" s="87"/>
      <x:c r="G294" s="87"/>
      <x:c r="H294" s="87"/>
      <x:c r="I294" s="87"/>
      <x:c r="J294" s="87"/>
      <x:c r="K294" s="87"/>
      <x:c r="L294" s="87"/>
      <x:c r="M294" s="87"/>
      <x:c r="N294" s="87"/>
      <x:c r="O294" s="106"/>
      <x:c r="P294" s="106"/>
      <x:c r="Q294" s="106"/>
      <x:c r="R294" s="106"/>
      <x:c r="S294" s="107">
        <x:f>SUM(E294:R294)</x:f>
      </x:c>
      <x:c r="T294" s="88">
        <x:v>31.8</x:v>
      </x:c>
      <x:c r="U294" s="88">
        <x:v>69.9</x:v>
      </x:c>
      <x:c r="V294" s="108">
        <x:f>S294*T294</x:f>
      </x:c>
    </x:row>
    <x:row r="295" spans="1:31" ht="15" customHeight="1" hidden="1" x14ac:dyDescent="0.3">
      <x:c r="A295" s="87">
        <x:v>743109</x:v>
      </x:c>
      <x:c r="B295" s="87" t="s">
        <x:v>384</x:v>
      </x:c>
      <x:c r="C295" s="87" t="s">
        <x:v>347</x:v>
      </x:c>
      <x:c r="D295" s="89" t="s">
        <x:v>63</x:v>
      </x:c>
      <x:c r="E295" s="146"/>
      <x:c r="F295" s="87"/>
      <x:c r="G295" s="87"/>
      <x:c r="H295" s="87"/>
      <x:c r="I295" s="87"/>
      <x:c r="J295" s="87"/>
      <x:c r="K295" s="87"/>
      <x:c r="L295" s="87"/>
      <x:c r="M295" s="87"/>
      <x:c r="N295" s="87"/>
      <x:c r="O295" s="106"/>
      <x:c r="P295" s="106"/>
      <x:c r="Q295" s="106"/>
      <x:c r="R295" s="106"/>
      <x:c r="S295" s="107">
        <x:f>SUM(E295:R295)</x:f>
      </x:c>
      <x:c r="T295" s="88">
        <x:v>31.8</x:v>
      </x:c>
      <x:c r="U295" s="88">
        <x:v>69.9</x:v>
      </x:c>
      <x:c r="V295" s="108">
        <x:f>S295*T295</x:f>
      </x:c>
    </x:row>
    <x:row r="296" spans="1:31" ht="15" customHeight="1" x14ac:dyDescent="0.3">
      <x:c r="A296" s="87"/>
      <x:c r="B296" s="87"/>
      <x:c r="C296" s="87"/>
      <x:c r="D296" s="89"/>
      <x:c r="E296" s="148"/>
      <x:c r="F296" s="107"/>
      <x:c r="G296" s="107"/>
      <x:c r="H296" s="107"/>
      <x:c r="I296" s="107"/>
      <x:c r="J296" s="107"/>
      <x:c r="K296" s="107"/>
      <x:c r="L296" s="107"/>
      <x:c r="M296" s="107"/>
      <x:c r="N296" s="107"/>
      <x:c r="O296" s="107"/>
      <x:c r="P296" s="107"/>
      <x:c r="Q296" s="107"/>
      <x:c r="R296" s="107"/>
      <x:c r="S296" s="107"/>
      <x:c r="T296" s="88"/>
      <x:c r="U296" s="88"/>
      <x:c r="V296" s="108"/>
    </x:row>
    <x:row r="297" spans="1:31" ht="15" customHeight="1" hidden="1" x14ac:dyDescent="0.3">
      <x:c r="A297" s="87">
        <x:v>743109</x:v>
      </x:c>
      <x:c r="B297" s="87" t="s">
        <x:v>385</x:v>
      </x:c>
      <x:c r="C297" s="87" t="s">
        <x:v>353</x:v>
      </x:c>
      <x:c r="D297" s="89" t="s">
        <x:v>63</x:v>
      </x:c>
      <x:c r="E297" s="146"/>
      <x:c r="F297" s="87"/>
      <x:c r="G297" s="87"/>
      <x:c r="H297" s="87"/>
      <x:c r="I297" s="87"/>
      <x:c r="J297" s="87"/>
      <x:c r="K297" s="87"/>
      <x:c r="L297" s="87"/>
      <x:c r="M297" s="87"/>
      <x:c r="N297" s="87"/>
      <x:c r="O297" s="106"/>
      <x:c r="P297" s="106"/>
      <x:c r="Q297" s="106"/>
      <x:c r="R297" s="106"/>
      <x:c r="S297" s="107">
        <x:f>SUM(E297:R297)</x:f>
      </x:c>
      <x:c r="T297" s="88">
        <x:v>31.8</x:v>
      </x:c>
      <x:c r="U297" s="88">
        <x:v>69.9</x:v>
      </x:c>
      <x:c r="V297" s="108">
        <x:f>S297*T297</x:f>
      </x:c>
    </x:row>
    <x:row r="298" spans="1:31" ht="15" customHeight="1" hidden="1" x14ac:dyDescent="0.3">
      <x:c r="A298" s="87">
        <x:v>743111</x:v>
      </x:c>
      <x:c r="B298" s="87" t="s">
        <x:v>386</x:v>
      </x:c>
      <x:c r="C298" s="87" t="s">
        <x:v>342</x:v>
      </x:c>
      <x:c r="D298" s="89" t="s">
        <x:v>63</x:v>
      </x:c>
      <x:c r="E298" s="146"/>
      <x:c r="F298" s="87"/>
      <x:c r="G298" s="87"/>
      <x:c r="H298" s="87"/>
      <x:c r="I298" s="87"/>
      <x:c r="J298" s="87"/>
      <x:c r="K298" s="87"/>
      <x:c r="L298" s="87"/>
      <x:c r="M298" s="87"/>
      <x:c r="N298" s="87"/>
      <x:c r="O298" s="106"/>
      <x:c r="P298" s="106"/>
      <x:c r="Q298" s="106"/>
      <x:c r="R298" s="106"/>
      <x:c r="S298" s="107">
        <x:f>SUM(E298:R298)</x:f>
      </x:c>
      <x:c r="T298" s="88">
        <x:v>27.4</x:v>
      </x:c>
      <x:c r="U298" s="88">
        <x:v>59.9</x:v>
      </x:c>
      <x:c r="V298" s="108">
        <x:f>S298*T298</x:f>
      </x:c>
    </x:row>
    <x:row r="299" spans="1:31" ht="15" customHeight="1" hidden="1" x14ac:dyDescent="0.3">
      <x:c r="A299" s="87">
        <x:v>743111</x:v>
      </x:c>
      <x:c r="B299" s="87" t="s">
        <x:v>387</x:v>
      </x:c>
      <x:c r="C299" s="87" t="s">
        <x:v>331</x:v>
      </x:c>
      <x:c r="D299" s="89" t="s">
        <x:v>63</x:v>
      </x:c>
      <x:c r="E299" s="146"/>
      <x:c r="F299" s="87"/>
      <x:c r="G299" s="87"/>
      <x:c r="H299" s="87"/>
      <x:c r="I299" s="87"/>
      <x:c r="J299" s="87"/>
      <x:c r="K299" s="87"/>
      <x:c r="L299" s="87"/>
      <x:c r="M299" s="87"/>
      <x:c r="N299" s="87"/>
      <x:c r="O299" s="106"/>
      <x:c r="P299" s="106"/>
      <x:c r="Q299" s="106"/>
      <x:c r="R299" s="106"/>
      <x:c r="S299" s="107">
        <x:f>SUM(E299:R299)</x:f>
      </x:c>
      <x:c r="T299" s="88">
        <x:v>27.4</x:v>
      </x:c>
      <x:c r="U299" s="88">
        <x:v>59.9</x:v>
      </x:c>
      <x:c r="V299" s="108">
        <x:f>S299*T299</x:f>
      </x:c>
    </x:row>
    <x:row r="300" spans="1:31" ht="15" customHeight="1" hidden="1" x14ac:dyDescent="0.3">
      <x:c r="A300" s="87">
        <x:v>743113</x:v>
      </x:c>
      <x:c r="B300" s="87" t="s">
        <x:v>388</x:v>
      </x:c>
      <x:c r="C300" s="87" t="s">
        <x:v>342</x:v>
      </x:c>
      <x:c r="D300" s="89" t="s">
        <x:v>63</x:v>
      </x:c>
      <x:c r="E300" s="146"/>
      <x:c r="F300" s="87"/>
      <x:c r="G300" s="87"/>
      <x:c r="H300" s="87"/>
      <x:c r="I300" s="87"/>
      <x:c r="J300" s="87"/>
      <x:c r="K300" s="87"/>
      <x:c r="L300" s="87"/>
      <x:c r="M300" s="87"/>
      <x:c r="N300" s="87"/>
      <x:c r="O300" s="106"/>
      <x:c r="P300" s="106"/>
      <x:c r="Q300" s="106"/>
      <x:c r="R300" s="106"/>
      <x:c r="S300" s="107">
        <x:f>SUM(E300:R300)</x:f>
      </x:c>
      <x:c r="T300" s="88">
        <x:v>22.7</x:v>
      </x:c>
      <x:c r="U300" s="88">
        <x:v>49.9</x:v>
      </x:c>
      <x:c r="V300" s="108">
        <x:f>S300*T300</x:f>
      </x:c>
    </x:row>
    <x:row r="301" spans="1:31" ht="15" customHeight="1" hidden="1" x14ac:dyDescent="0.3">
      <x:c r="A301" s="87">
        <x:v>743113</x:v>
      </x:c>
      <x:c r="B301" s="87" t="s">
        <x:v>389</x:v>
      </x:c>
      <x:c r="C301" s="87" t="s">
        <x:v>351</x:v>
      </x:c>
      <x:c r="D301" s="89" t="s">
        <x:v>63</x:v>
      </x:c>
      <x:c r="E301" s="146"/>
      <x:c r="F301" s="87"/>
      <x:c r="G301" s="87"/>
      <x:c r="H301" s="87"/>
      <x:c r="I301" s="87"/>
      <x:c r="J301" s="87"/>
      <x:c r="K301" s="87"/>
      <x:c r="L301" s="87"/>
      <x:c r="M301" s="87"/>
      <x:c r="N301" s="87"/>
      <x:c r="O301" s="106"/>
      <x:c r="P301" s="106"/>
      <x:c r="Q301" s="106"/>
      <x:c r="R301" s="106"/>
      <x:c r="S301" s="107">
        <x:f>SUM(E301:R301)</x:f>
      </x:c>
      <x:c r="T301" s="88">
        <x:v>22.7</x:v>
      </x:c>
      <x:c r="U301" s="88">
        <x:v>49.9</x:v>
      </x:c>
      <x:c r="V301" s="108">
        <x:f>S301*T301</x:f>
      </x:c>
    </x:row>
    <x:row r="302" spans="1:31" ht="15" customHeight="1" hidden="1" x14ac:dyDescent="0.3">
      <x:c r="A302" s="87">
        <x:v>743115</x:v>
      </x:c>
      <x:c r="B302" s="87" t="s">
        <x:v>390</x:v>
      </x:c>
      <x:c r="C302" s="87" t="s">
        <x:v>342</x:v>
      </x:c>
      <x:c r="D302" s="89" t="s">
        <x:v>63</x:v>
      </x:c>
      <x:c r="E302" s="146"/>
      <x:c r="F302" s="87"/>
      <x:c r="G302" s="87"/>
      <x:c r="H302" s="87"/>
      <x:c r="I302" s="87"/>
      <x:c r="J302" s="87"/>
      <x:c r="K302" s="87"/>
      <x:c r="L302" s="87"/>
      <x:c r="M302" s="87"/>
      <x:c r="N302" s="146"/>
      <x:c r="O302" s="106"/>
      <x:c r="P302" s="147"/>
      <x:c r="Q302" s="106"/>
      <x:c r="R302" s="106"/>
      <x:c r="S302" s="107">
        <x:f>SUM(E302:R302)</x:f>
      </x:c>
      <x:c r="T302" s="88">
        <x:v>20.9</x:v>
      </x:c>
      <x:c r="U302" s="88">
        <x:v>45.9</x:v>
      </x:c>
      <x:c r="V302" s="108">
        <x:f>S302*T302</x:f>
      </x:c>
    </x:row>
    <x:row r="303" spans="1:31" ht="15" customHeight="1" hidden="1" x14ac:dyDescent="0.3">
      <x:c r="A303" s="87">
        <x:v>743115</x:v>
      </x:c>
      <x:c r="B303" s="87" t="s">
        <x:v>391</x:v>
      </x:c>
      <x:c r="C303" s="87" t="s">
        <x:v>345</x:v>
      </x:c>
      <x:c r="D303" s="89" t="s">
        <x:v>63</x:v>
      </x:c>
      <x:c r="E303" s="146"/>
      <x:c r="F303" s="87"/>
      <x:c r="G303" s="87"/>
      <x:c r="H303" s="87"/>
      <x:c r="I303" s="87"/>
      <x:c r="J303" s="87"/>
      <x:c r="K303" s="87"/>
      <x:c r="L303" s="87"/>
      <x:c r="M303" s="87"/>
      <x:c r="N303" s="146"/>
      <x:c r="O303" s="106"/>
      <x:c r="P303" s="147"/>
      <x:c r="Q303" s="106"/>
      <x:c r="R303" s="106"/>
      <x:c r="S303" s="107">
        <x:f>SUM(E303:R303)</x:f>
      </x:c>
      <x:c r="T303" s="88">
        <x:v>20.9</x:v>
      </x:c>
      <x:c r="U303" s="88">
        <x:v>45.9</x:v>
      </x:c>
      <x:c r="V303" s="108">
        <x:f>S303*T303</x:f>
      </x:c>
    </x:row>
    <x:row r="304" spans="1:31" ht="15" customHeight="1" hidden="1" x14ac:dyDescent="0.3">
      <x:c r="A304" s="87">
        <x:v>743117</x:v>
      </x:c>
      <x:c r="B304" s="87" t="s">
        <x:v>392</x:v>
      </x:c>
      <x:c r="C304" s="87" t="s">
        <x:v>393</x:v>
      </x:c>
      <x:c r="D304" s="89" t="s">
        <x:v>63</x:v>
      </x:c>
      <x:c r="E304" s="87"/>
      <x:c r="F304" s="87"/>
      <x:c r="G304" s="87"/>
      <x:c r="H304" s="87"/>
      <x:c r="I304" s="87"/>
      <x:c r="J304" s="87"/>
      <x:c r="K304" s="87"/>
      <x:c r="L304" s="87"/>
      <x:c r="M304" s="87"/>
      <x:c r="N304" s="146"/>
      <x:c r="O304" s="106"/>
      <x:c r="P304" s="147"/>
      <x:c r="Q304" s="106"/>
      <x:c r="R304" s="106"/>
      <x:c r="S304" s="107">
        <x:f>SUM(E304:R304)</x:f>
      </x:c>
      <x:c r="T304" s="88">
        <x:v>15.5</x:v>
      </x:c>
      <x:c r="U304" s="88">
        <x:v>33.9</x:v>
      </x:c>
      <x:c r="V304" s="108">
        <x:f>S304*T304</x:f>
      </x:c>
    </x:row>
    <x:row r="305" spans="1:31" ht="15" customHeight="1" hidden="1" x14ac:dyDescent="0.3">
      <x:c r="A305" s="87">
        <x:v>743117</x:v>
      </x:c>
      <x:c r="B305" s="87" t="s">
        <x:v>394</x:v>
      </x:c>
      <x:c r="C305" s="87" t="s">
        <x:v>345</x:v>
      </x:c>
      <x:c r="D305" s="89" t="s">
        <x:v>63</x:v>
      </x:c>
      <x:c r="E305" s="87"/>
      <x:c r="F305" s="87"/>
      <x:c r="G305" s="87"/>
      <x:c r="H305" s="87"/>
      <x:c r="I305" s="87"/>
      <x:c r="J305" s="87"/>
      <x:c r="K305" s="87"/>
      <x:c r="L305" s="87"/>
      <x:c r="M305" s="87"/>
      <x:c r="N305" s="146"/>
      <x:c r="O305" s="106"/>
      <x:c r="P305" s="147"/>
      <x:c r="Q305" s="106"/>
      <x:c r="R305" s="106"/>
      <x:c r="S305" s="107">
        <x:f>SUM(E305:R305)</x:f>
      </x:c>
      <x:c r="T305" s="88">
        <x:v>15.5</x:v>
      </x:c>
      <x:c r="U305" s="88">
        <x:v>33.9</x:v>
      </x:c>
      <x:c r="V305" s="108">
        <x:f>S305*T305</x:f>
      </x:c>
    </x:row>
    <x:row r="306" spans="1:31" ht="15" customHeight="1" hidden="1" x14ac:dyDescent="0.3">
      <x:c r="A306" s="87">
        <x:v>743117</x:v>
      </x:c>
      <x:c r="B306" s="87" t="s">
        <x:v>395</x:v>
      </x:c>
      <x:c r="C306" s="87" t="s">
        <x:v>325</x:v>
      </x:c>
      <x:c r="D306" s="89" t="s">
        <x:v>63</x:v>
      </x:c>
      <x:c r="E306" s="87"/>
      <x:c r="F306" s="87"/>
      <x:c r="G306" s="87"/>
      <x:c r="H306" s="87"/>
      <x:c r="I306" s="87"/>
      <x:c r="J306" s="87"/>
      <x:c r="K306" s="87"/>
      <x:c r="L306" s="87"/>
      <x:c r="M306" s="87"/>
      <x:c r="N306" s="146"/>
      <x:c r="O306" s="106"/>
      <x:c r="P306" s="147"/>
      <x:c r="Q306" s="106"/>
      <x:c r="R306" s="106"/>
      <x:c r="S306" s="107">
        <x:f>SUM(E306:R306)</x:f>
      </x:c>
      <x:c r="T306" s="88">
        <x:v>15.5</x:v>
      </x:c>
      <x:c r="U306" s="88">
        <x:v>33.9</x:v>
      </x:c>
      <x:c r="V306" s="108">
        <x:f>S306*T306</x:f>
      </x:c>
    </x:row>
    <x:row r="307" spans="1:31" ht="15" customHeight="1" hidden="1" x14ac:dyDescent="0.3">
      <x:c r="A307" s="87">
        <x:v>743117</x:v>
      </x:c>
      <x:c r="B307" s="87" t="s">
        <x:v>396</x:v>
      </x:c>
      <x:c r="C307" s="87" t="s">
        <x:v>347</x:v>
      </x:c>
      <x:c r="D307" s="89" t="s">
        <x:v>63</x:v>
      </x:c>
      <x:c r="E307" s="87"/>
      <x:c r="F307" s="87"/>
      <x:c r="G307" s="87"/>
      <x:c r="H307" s="87"/>
      <x:c r="I307" s="87"/>
      <x:c r="J307" s="87"/>
      <x:c r="K307" s="87"/>
      <x:c r="L307" s="87"/>
      <x:c r="M307" s="87"/>
      <x:c r="N307" s="146"/>
      <x:c r="O307" s="106"/>
      <x:c r="P307" s="147"/>
      <x:c r="Q307" s="106"/>
      <x:c r="R307" s="106"/>
      <x:c r="S307" s="107">
        <x:f>SUM(E307:R307)</x:f>
      </x:c>
      <x:c r="T307" s="88">
        <x:v>15.5</x:v>
      </x:c>
      <x:c r="U307" s="88">
        <x:v>33.9</x:v>
      </x:c>
      <x:c r="V307" s="108">
        <x:f>S307*T307</x:f>
      </x:c>
    </x:row>
    <x:row r="308" spans="1:31" ht="15" customHeight="1" hidden="1" x14ac:dyDescent="0.3">
      <x:c r="A308" s="87">
        <x:v>743117</x:v>
      </x:c>
      <x:c r="B308" s="87" t="s">
        <x:v>397</x:v>
      </x:c>
      <x:c r="C308" s="87" t="s">
        <x:v>331</x:v>
      </x:c>
      <x:c r="D308" s="89" t="s">
        <x:v>63</x:v>
      </x:c>
      <x:c r="E308" s="87"/>
      <x:c r="F308" s="87"/>
      <x:c r="G308" s="87"/>
      <x:c r="H308" s="87"/>
      <x:c r="I308" s="87"/>
      <x:c r="J308" s="87"/>
      <x:c r="K308" s="87"/>
      <x:c r="L308" s="87"/>
      <x:c r="M308" s="87"/>
      <x:c r="N308" s="146"/>
      <x:c r="O308" s="106"/>
      <x:c r="P308" s="147"/>
      <x:c r="Q308" s="106"/>
      <x:c r="R308" s="106"/>
      <x:c r="S308" s="107">
        <x:f>SUM(E308:R308)</x:f>
      </x:c>
      <x:c r="T308" s="88">
        <x:v>15.5</x:v>
      </x:c>
      <x:c r="U308" s="88">
        <x:v>33.9</x:v>
      </x:c>
      <x:c r="V308" s="108">
        <x:f>S308*T308</x:f>
      </x:c>
    </x:row>
    <x:row r="309" spans="1:31" ht="15" customHeight="1" hidden="1" x14ac:dyDescent="0.3">
      <x:c r="A309" s="87">
        <x:v>743117</x:v>
      </x:c>
      <x:c r="B309" s="87" t="s">
        <x:v>398</x:v>
      </x:c>
      <x:c r="C309" s="87" t="s">
        <x:v>353</x:v>
      </x:c>
      <x:c r="D309" s="89" t="s">
        <x:v>63</x:v>
      </x:c>
      <x:c r="E309" s="87"/>
      <x:c r="F309" s="87"/>
      <x:c r="G309" s="87"/>
      <x:c r="H309" s="87"/>
      <x:c r="I309" s="87"/>
      <x:c r="J309" s="87"/>
      <x:c r="K309" s="87"/>
      <x:c r="L309" s="87"/>
      <x:c r="M309" s="87"/>
      <x:c r="N309" s="146"/>
      <x:c r="O309" s="106"/>
      <x:c r="P309" s="147"/>
      <x:c r="Q309" s="106"/>
      <x:c r="R309" s="106"/>
      <x:c r="S309" s="107">
        <x:f>SUM(E309:R309)</x:f>
      </x:c>
      <x:c r="T309" s="88">
        <x:v>15.5</x:v>
      </x:c>
      <x:c r="U309" s="88">
        <x:v>33.9</x:v>
      </x:c>
      <x:c r="V309" s="108">
        <x:f>S309*T309</x:f>
      </x:c>
    </x:row>
    <x:row r="310" spans="1:31" ht="15" customHeight="1" hidden="1" x14ac:dyDescent="0.3">
      <x:c r="A310" s="87">
        <x:v>743121</x:v>
      </x:c>
      <x:c r="B310" s="87" t="s">
        <x:v>399</x:v>
      </x:c>
      <x:c r="C310" s="87" t="s">
        <x:v>323</x:v>
      </x:c>
      <x:c r="D310" s="89" t="s">
        <x:v>63</x:v>
      </x:c>
      <x:c r="E310" s="87"/>
      <x:c r="F310" s="87"/>
      <x:c r="G310" s="87"/>
      <x:c r="H310" s="87"/>
      <x:c r="I310" s="87"/>
      <x:c r="J310" s="87"/>
      <x:c r="K310" s="87"/>
      <x:c r="L310" s="87"/>
      <x:c r="M310" s="87"/>
      <x:c r="N310" s="146"/>
      <x:c r="O310" s="106"/>
      <x:c r="P310" s="147"/>
      <x:c r="Q310" s="106"/>
      <x:c r="R310" s="106"/>
      <x:c r="S310" s="107">
        <x:f>SUM(E310:R310)</x:f>
      </x:c>
      <x:c r="T310" s="88">
        <x:v>18.2</x:v>
      </x:c>
      <x:c r="U310" s="88">
        <x:v>39.9</x:v>
      </x:c>
      <x:c r="V310" s="108">
        <x:f>S310*T310</x:f>
      </x:c>
    </x:row>
    <x:row r="311" spans="1:31" ht="15" customHeight="1" hidden="1" x14ac:dyDescent="0.3">
      <x:c r="A311" s="87">
        <x:v>743121</x:v>
      </x:c>
      <x:c r="B311" s="87" t="s">
        <x:v>400</x:v>
      </x:c>
      <x:c r="C311" s="87" t="s">
        <x:v>325</x:v>
      </x:c>
      <x:c r="D311" s="89" t="s">
        <x:v>63</x:v>
      </x:c>
      <x:c r="E311" s="87"/>
      <x:c r="F311" s="87"/>
      <x:c r="G311" s="87"/>
      <x:c r="H311" s="87"/>
      <x:c r="I311" s="87"/>
      <x:c r="J311" s="87"/>
      <x:c r="K311" s="87"/>
      <x:c r="L311" s="87"/>
      <x:c r="M311" s="87"/>
      <x:c r="N311" s="146"/>
      <x:c r="O311" s="106"/>
      <x:c r="P311" s="147"/>
      <x:c r="Q311" s="106"/>
      <x:c r="R311" s="106"/>
      <x:c r="S311" s="107">
        <x:f>SUM(E311:R311)</x:f>
      </x:c>
      <x:c r="T311" s="88">
        <x:v>18.2</x:v>
      </x:c>
      <x:c r="U311" s="88">
        <x:v>39.9</x:v>
      </x:c>
      <x:c r="V311" s="108">
        <x:f>S311*T311</x:f>
      </x:c>
    </x:row>
    <x:row r="312" spans="1:31" ht="15" customHeight="1" hidden="1" x14ac:dyDescent="0.3">
      <x:c r="A312" s="87">
        <x:v>743129</x:v>
      </x:c>
      <x:c r="B312" s="87" t="s">
        <x:v>401</x:v>
      </x:c>
      <x:c r="C312" s="87" t="s">
        <x:v>323</x:v>
      </x:c>
      <x:c r="D312" s="89" t="s">
        <x:v>63</x:v>
      </x:c>
      <x:c r="E312" s="87"/>
      <x:c r="F312" s="87"/>
      <x:c r="G312" s="87"/>
      <x:c r="H312" s="87"/>
      <x:c r="I312" s="87"/>
      <x:c r="J312" s="87"/>
      <x:c r="K312" s="87"/>
      <x:c r="L312" s="87"/>
      <x:c r="M312" s="87"/>
      <x:c r="N312" s="146"/>
      <x:c r="O312" s="106"/>
      <x:c r="P312" s="147"/>
      <x:c r="Q312" s="106"/>
      <x:c r="R312" s="106"/>
      <x:c r="S312" s="107">
        <x:f>SUM(E312:R312)</x:f>
      </x:c>
      <x:c r="T312" s="88">
        <x:v>27.4</x:v>
      </x:c>
      <x:c r="U312" s="88">
        <x:v>59.9</x:v>
      </x:c>
      <x:c r="V312" s="108">
        <x:f>S312*T312</x:f>
      </x:c>
    </x:row>
    <x:row r="313" spans="1:31" ht="15" customHeight="1" hidden="1" x14ac:dyDescent="0.3">
      <x:c r="A313" s="87">
        <x:v>743129</x:v>
      </x:c>
      <x:c r="B313" s="87" t="s">
        <x:v>402</x:v>
      </x:c>
      <x:c r="C313" s="87" t="s">
        <x:v>325</x:v>
      </x:c>
      <x:c r="D313" s="89" t="s">
        <x:v>63</x:v>
      </x:c>
      <x:c r="E313" s="87"/>
      <x:c r="F313" s="87"/>
      <x:c r="G313" s="87"/>
      <x:c r="H313" s="87"/>
      <x:c r="I313" s="87"/>
      <x:c r="J313" s="87"/>
      <x:c r="K313" s="87"/>
      <x:c r="L313" s="87"/>
      <x:c r="M313" s="87"/>
      <x:c r="N313" s="146"/>
      <x:c r="O313" s="106"/>
      <x:c r="P313" s="147"/>
      <x:c r="Q313" s="106"/>
      <x:c r="R313" s="106"/>
      <x:c r="S313" s="107">
        <x:f>SUM(E313:R313)</x:f>
      </x:c>
      <x:c r="T313" s="88">
        <x:v>27.4</x:v>
      </x:c>
      <x:c r="U313" s="88">
        <x:v>59.9</x:v>
      </x:c>
      <x:c r="V313" s="108">
        <x:f>S313*T313</x:f>
      </x:c>
    </x:row>
    <x:row r="314" spans="1:31" ht="15" customHeight="1" hidden="1" x14ac:dyDescent="0.3">
      <x:c r="A314" s="87">
        <x:v>743133</x:v>
      </x:c>
      <x:c r="B314" s="87" t="s">
        <x:v>403</x:v>
      </x:c>
      <x:c r="C314" s="87" t="s">
        <x:v>323</x:v>
      </x:c>
      <x:c r="D314" s="89" t="s">
        <x:v>63</x:v>
      </x:c>
      <x:c r="E314" s="87"/>
      <x:c r="F314" s="87"/>
      <x:c r="G314" s="87"/>
      <x:c r="H314" s="87"/>
      <x:c r="I314" s="87"/>
      <x:c r="J314" s="87"/>
      <x:c r="K314" s="87"/>
      <x:c r="L314" s="87"/>
      <x:c r="M314" s="87"/>
      <x:c r="N314" s="146"/>
      <x:c r="O314" s="106"/>
      <x:c r="P314" s="147"/>
      <x:c r="Q314" s="106"/>
      <x:c r="R314" s="106"/>
      <x:c r="S314" s="107">
        <x:f>SUM(E314:R314)</x:f>
      </x:c>
      <x:c r="T314" s="88">
        <x:v>27.4</x:v>
      </x:c>
      <x:c r="U314" s="88">
        <x:v>59.9</x:v>
      </x:c>
      <x:c r="V314" s="108">
        <x:f>S314*T314</x:f>
      </x:c>
    </x:row>
    <x:row r="315" spans="1:31" ht="15" customHeight="1" hidden="1" x14ac:dyDescent="0.3">
      <x:c r="A315" s="87">
        <x:v>743133</x:v>
      </x:c>
      <x:c r="B315" s="87" t="s">
        <x:v>404</x:v>
      </x:c>
      <x:c r="C315" s="87" t="s">
        <x:v>325</x:v>
      </x:c>
      <x:c r="D315" s="89" t="s">
        <x:v>63</x:v>
      </x:c>
      <x:c r="E315" s="87"/>
      <x:c r="F315" s="87"/>
      <x:c r="G315" s="87"/>
      <x:c r="H315" s="87"/>
      <x:c r="I315" s="87"/>
      <x:c r="J315" s="87"/>
      <x:c r="K315" s="87"/>
      <x:c r="L315" s="87"/>
      <x:c r="M315" s="87"/>
      <x:c r="N315" s="146"/>
      <x:c r="O315" s="106"/>
      <x:c r="P315" s="147"/>
      <x:c r="Q315" s="106"/>
      <x:c r="R315" s="106"/>
      <x:c r="S315" s="107">
        <x:f>SUM(E315:R315)</x:f>
      </x:c>
      <x:c r="T315" s="88">
        <x:v>27.4</x:v>
      </x:c>
      <x:c r="U315" s="88">
        <x:v>59.9</x:v>
      </x:c>
      <x:c r="V315" s="108">
        <x:f>S315*T315</x:f>
      </x:c>
    </x:row>
    <x:row r="316" spans="1:31" ht="15" customHeight="1" hidden="1" x14ac:dyDescent="0.3">
      <x:c r="A316" s="87">
        <x:v>743133</x:v>
      </x:c>
      <x:c r="B316" s="87" t="s">
        <x:v>405</x:v>
      </x:c>
      <x:c r="C316" s="87" t="s">
        <x:v>347</x:v>
      </x:c>
      <x:c r="D316" s="89" t="s">
        <x:v>63</x:v>
      </x:c>
      <x:c r="E316" s="87"/>
      <x:c r="F316" s="87"/>
      <x:c r="G316" s="87"/>
      <x:c r="H316" s="87"/>
      <x:c r="I316" s="87"/>
      <x:c r="J316" s="87"/>
      <x:c r="K316" s="87"/>
      <x:c r="L316" s="87"/>
      <x:c r="M316" s="87"/>
      <x:c r="N316" s="146"/>
      <x:c r="O316" s="106"/>
      <x:c r="P316" s="147"/>
      <x:c r="Q316" s="106"/>
      <x:c r="R316" s="106"/>
      <x:c r="S316" s="107">
        <x:f>SUM(E316:R316)</x:f>
      </x:c>
      <x:c r="T316" s="88">
        <x:v>27.4</x:v>
      </x:c>
      <x:c r="U316" s="88">
        <x:v>59.9</x:v>
      </x:c>
      <x:c r="V316" s="108">
        <x:f>S316*T316</x:f>
      </x:c>
    </x:row>
    <x:row r="317" spans="1:31" ht="15" customHeight="1" hidden="1" x14ac:dyDescent="0.3">
      <x:c r="A317" s="87">
        <x:v>743133</x:v>
      </x:c>
      <x:c r="B317" s="87" t="s">
        <x:v>406</x:v>
      </x:c>
      <x:c r="C317" s="87" t="s">
        <x:v>351</x:v>
      </x:c>
      <x:c r="D317" s="89" t="s">
        <x:v>63</x:v>
      </x:c>
      <x:c r="E317" s="87"/>
      <x:c r="F317" s="87"/>
      <x:c r="G317" s="87"/>
      <x:c r="H317" s="87"/>
      <x:c r="I317" s="87"/>
      <x:c r="J317" s="87"/>
      <x:c r="K317" s="87"/>
      <x:c r="L317" s="87"/>
      <x:c r="M317" s="87"/>
      <x:c r="N317" s="146"/>
      <x:c r="O317" s="106"/>
      <x:c r="P317" s="147"/>
      <x:c r="Q317" s="106"/>
      <x:c r="R317" s="106"/>
      <x:c r="S317" s="107">
        <x:f>SUM(E317:R317)</x:f>
      </x:c>
      <x:c r="T317" s="88">
        <x:v>27.4</x:v>
      </x:c>
      <x:c r="U317" s="88">
        <x:v>59.9</x:v>
      </x:c>
      <x:c r="V317" s="108">
        <x:f>S317*T317</x:f>
      </x:c>
    </x:row>
    <x:row r="318" spans="1:31" ht="15" customHeight="1" hidden="1" x14ac:dyDescent="0.3">
      <x:c r="A318" s="87">
        <x:v>743134</x:v>
      </x:c>
      <x:c r="B318" s="87" t="s">
        <x:v>407</x:v>
      </x:c>
      <x:c r="C318" s="87" t="s">
        <x:v>323</x:v>
      </x:c>
      <x:c r="D318" s="89" t="s">
        <x:v>63</x:v>
      </x:c>
      <x:c r="E318" s="87"/>
      <x:c r="F318" s="87"/>
      <x:c r="G318" s="87"/>
      <x:c r="H318" s="87"/>
      <x:c r="I318" s="87"/>
      <x:c r="J318" s="87"/>
      <x:c r="K318" s="87"/>
      <x:c r="L318" s="87"/>
      <x:c r="M318" s="87"/>
      <x:c r="N318" s="146"/>
      <x:c r="O318" s="106"/>
      <x:c r="P318" s="147"/>
      <x:c r="Q318" s="106"/>
      <x:c r="R318" s="106"/>
      <x:c r="S318" s="107">
        <x:f>SUM(E318:R318)</x:f>
      </x:c>
      <x:c r="T318" s="88">
        <x:v>22.7</x:v>
      </x:c>
      <x:c r="U318" s="88">
        <x:v>49.9</x:v>
      </x:c>
      <x:c r="V318" s="108">
        <x:f>S318*T318</x:f>
      </x:c>
    </x:row>
    <x:row r="319" spans="1:31" ht="15" customHeight="1" hidden="1" x14ac:dyDescent="0.3">
      <x:c r="A319" s="87">
        <x:v>743134</x:v>
      </x:c>
      <x:c r="B319" s="87" t="s">
        <x:v>408</x:v>
      </x:c>
      <x:c r="C319" s="87" t="s">
        <x:v>325</x:v>
      </x:c>
      <x:c r="D319" s="89" t="s">
        <x:v>63</x:v>
      </x:c>
      <x:c r="E319" s="87"/>
      <x:c r="F319" s="87"/>
      <x:c r="G319" s="87"/>
      <x:c r="H319" s="87"/>
      <x:c r="I319" s="87"/>
      <x:c r="J319" s="87"/>
      <x:c r="K319" s="87"/>
      <x:c r="L319" s="87"/>
      <x:c r="M319" s="87"/>
      <x:c r="N319" s="146"/>
      <x:c r="O319" s="106"/>
      <x:c r="P319" s="147"/>
      <x:c r="Q319" s="106"/>
      <x:c r="R319" s="106"/>
      <x:c r="S319" s="107">
        <x:f>SUM(E319:R319)</x:f>
      </x:c>
      <x:c r="T319" s="88">
        <x:v>22.7</x:v>
      </x:c>
      <x:c r="U319" s="88">
        <x:v>49.9</x:v>
      </x:c>
      <x:c r="V319" s="108">
        <x:f>S319*T319</x:f>
      </x:c>
    </x:row>
    <x:row r="320" spans="1:31" ht="15" customHeight="1" hidden="1" x14ac:dyDescent="0.3">
      <x:c r="A320" s="87">
        <x:v>743134</x:v>
      </x:c>
      <x:c r="B320" s="87" t="s">
        <x:v>409</x:v>
      </x:c>
      <x:c r="C320" s="87" t="s">
        <x:v>347</x:v>
      </x:c>
      <x:c r="D320" s="89" t="s">
        <x:v>63</x:v>
      </x:c>
      <x:c r="E320" s="87"/>
      <x:c r="F320" s="87"/>
      <x:c r="G320" s="87"/>
      <x:c r="H320" s="87"/>
      <x:c r="I320" s="87"/>
      <x:c r="J320" s="87"/>
      <x:c r="K320" s="87"/>
      <x:c r="L320" s="87"/>
      <x:c r="M320" s="87"/>
      <x:c r="N320" s="146"/>
      <x:c r="O320" s="106"/>
      <x:c r="P320" s="147"/>
      <x:c r="Q320" s="106"/>
      <x:c r="R320" s="106"/>
      <x:c r="S320" s="107">
        <x:f>SUM(E320:R320)</x:f>
      </x:c>
      <x:c r="T320" s="88">
        <x:v>22.7</x:v>
      </x:c>
      <x:c r="U320" s="88">
        <x:v>49.9</x:v>
      </x:c>
      <x:c r="V320" s="108">
        <x:f>S320*T320</x:f>
      </x:c>
    </x:row>
    <x:row r="321" spans="1:31" ht="15" customHeight="1" hidden="1" x14ac:dyDescent="0.3">
      <x:c r="A321" s="87">
        <x:v>743134</x:v>
      </x:c>
      <x:c r="B321" s="87" t="s">
        <x:v>410</x:v>
      </x:c>
      <x:c r="C321" s="87" t="s">
        <x:v>351</x:v>
      </x:c>
      <x:c r="D321" s="89" t="s">
        <x:v>63</x:v>
      </x:c>
      <x:c r="E321" s="87"/>
      <x:c r="F321" s="87"/>
      <x:c r="G321" s="87"/>
      <x:c r="H321" s="87"/>
      <x:c r="I321" s="87"/>
      <x:c r="J321" s="87"/>
      <x:c r="K321" s="87"/>
      <x:c r="L321" s="87"/>
      <x:c r="M321" s="87"/>
      <x:c r="N321" s="146"/>
      <x:c r="O321" s="106"/>
      <x:c r="P321" s="147"/>
      <x:c r="Q321" s="106"/>
      <x:c r="R321" s="106"/>
      <x:c r="S321" s="107">
        <x:f>SUM(E321:R321)</x:f>
      </x:c>
      <x:c r="T321" s="88">
        <x:v>22.7</x:v>
      </x:c>
      <x:c r="U321" s="88">
        <x:v>49.9</x:v>
      </x:c>
      <x:c r="V321" s="108">
        <x:f>S321*T321</x:f>
      </x:c>
    </x:row>
    <x:row r="322" spans="1:31" ht="15" customHeight="1" hidden="1" x14ac:dyDescent="0.3">
      <x:c r="A322" s="87">
        <x:v>743135</x:v>
      </x:c>
      <x:c r="B322" s="87" t="s">
        <x:v>411</x:v>
      </x:c>
      <x:c r="C322" s="87" t="s">
        <x:v>345</x:v>
      </x:c>
      <x:c r="D322" s="89" t="s">
        <x:v>63</x:v>
      </x:c>
      <x:c r="E322" s="87"/>
      <x:c r="F322" s="87"/>
      <x:c r="G322" s="87"/>
      <x:c r="H322" s="87"/>
      <x:c r="I322" s="87"/>
      <x:c r="J322" s="87"/>
      <x:c r="K322" s="87"/>
      <x:c r="L322" s="87"/>
      <x:c r="M322" s="87"/>
      <x:c r="N322" s="146"/>
      <x:c r="O322" s="106"/>
      <x:c r="P322" s="147"/>
      <x:c r="Q322" s="106"/>
      <x:c r="R322" s="106"/>
      <x:c r="S322" s="107">
        <x:f>SUM(E322:R322)</x:f>
      </x:c>
      <x:c r="T322" s="88">
        <x:v>22.7</x:v>
      </x:c>
      <x:c r="U322" s="88">
        <x:v>49.9</x:v>
      </x:c>
      <x:c r="V322" s="108">
        <x:f>S322*T322</x:f>
      </x:c>
    </x:row>
    <x:row r="323" spans="1:31" ht="15" customHeight="1" hidden="1" x14ac:dyDescent="0.3">
      <x:c r="A323" s="87">
        <x:v>743135</x:v>
      </x:c>
      <x:c r="B323" s="87" t="s">
        <x:v>412</x:v>
      </x:c>
      <x:c r="C323" s="87" t="s">
        <x:v>325</x:v>
      </x:c>
      <x:c r="D323" s="89" t="s">
        <x:v>63</x:v>
      </x:c>
      <x:c r="E323" s="87"/>
      <x:c r="F323" s="87"/>
      <x:c r="G323" s="87"/>
      <x:c r="H323" s="87"/>
      <x:c r="I323" s="87"/>
      <x:c r="J323" s="87"/>
      <x:c r="K323" s="87"/>
      <x:c r="L323" s="87"/>
      <x:c r="M323" s="87"/>
      <x:c r="N323" s="146"/>
      <x:c r="O323" s="106"/>
      <x:c r="P323" s="147"/>
      <x:c r="Q323" s="106"/>
      <x:c r="R323" s="106"/>
      <x:c r="S323" s="107">
        <x:f>SUM(E323:R323)</x:f>
      </x:c>
      <x:c r="T323" s="88">
        <x:v>22.7</x:v>
      </x:c>
      <x:c r="U323" s="88">
        <x:v>49.9</x:v>
      </x:c>
      <x:c r="V323" s="108">
        <x:f>S323*T323</x:f>
      </x:c>
    </x:row>
    <x:row r="324" spans="1:31" ht="15" customHeight="1" hidden="1" x14ac:dyDescent="0.3">
      <x:c r="A324" s="87">
        <x:v>743135</x:v>
      </x:c>
      <x:c r="B324" s="87" t="s">
        <x:v>413</x:v>
      </x:c>
      <x:c r="C324" s="87" t="s">
        <x:v>351</x:v>
      </x:c>
      <x:c r="D324" s="89" t="s">
        <x:v>63</x:v>
      </x:c>
      <x:c r="E324" s="87"/>
      <x:c r="F324" s="87"/>
      <x:c r="G324" s="87"/>
      <x:c r="H324" s="87"/>
      <x:c r="I324" s="87"/>
      <x:c r="J324" s="87"/>
      <x:c r="K324" s="87"/>
      <x:c r="L324" s="87"/>
      <x:c r="M324" s="87"/>
      <x:c r="N324" s="146"/>
      <x:c r="O324" s="106"/>
      <x:c r="P324" s="147"/>
      <x:c r="Q324" s="106"/>
      <x:c r="R324" s="106"/>
      <x:c r="S324" s="107">
        <x:f>SUM(E324:R324)</x:f>
      </x:c>
      <x:c r="T324" s="88">
        <x:v>22.7</x:v>
      </x:c>
      <x:c r="U324" s="88">
        <x:v>49.9</x:v>
      </x:c>
      <x:c r="V324" s="108">
        <x:f>S324*T324</x:f>
      </x:c>
    </x:row>
    <x:row r="325" spans="1:31" ht="15" customHeight="1" hidden="1" x14ac:dyDescent="0.3">
      <x:c r="A325" s="87">
        <x:v>743136</x:v>
      </x:c>
      <x:c r="B325" s="87" t="s">
        <x:v>414</x:v>
      </x:c>
      <x:c r="C325" s="87" t="s">
        <x:v>286</x:v>
      </x:c>
      <x:c r="D325" s="89" t="s">
        <x:v>63</x:v>
      </x:c>
      <x:c r="E325" s="87"/>
      <x:c r="F325" s="87"/>
      <x:c r="G325" s="87"/>
      <x:c r="H325" s="87"/>
      <x:c r="I325" s="87"/>
      <x:c r="J325" s="87"/>
      <x:c r="K325" s="87"/>
      <x:c r="L325" s="87"/>
      <x:c r="M325" s="87"/>
      <x:c r="N325" s="146"/>
      <x:c r="O325" s="106"/>
      <x:c r="P325" s="147"/>
      <x:c r="Q325" s="106"/>
      <x:c r="R325" s="106"/>
      <x:c r="S325" s="107">
        <x:f>SUM(E325:R325)</x:f>
      </x:c>
      <x:c r="T325" s="88">
        <x:v>20.9</x:v>
      </x:c>
      <x:c r="U325" s="88">
        <x:v>45.9</x:v>
      </x:c>
      <x:c r="V325" s="108">
        <x:f>S325*T325</x:f>
      </x:c>
    </x:row>
    <x:row r="326" spans="1:31" ht="15" customHeight="1" hidden="1" x14ac:dyDescent="0.3">
      <x:c r="A326" s="87">
        <x:v>743136</x:v>
      </x:c>
      <x:c r="B326" s="87" t="s">
        <x:v>415</x:v>
      </x:c>
      <x:c r="C326" s="87" t="s">
        <x:v>325</x:v>
      </x:c>
      <x:c r="D326" s="89" t="s">
        <x:v>63</x:v>
      </x:c>
      <x:c r="E326" s="87"/>
      <x:c r="F326" s="87"/>
      <x:c r="G326" s="87"/>
      <x:c r="H326" s="87"/>
      <x:c r="I326" s="87"/>
      <x:c r="J326" s="87"/>
      <x:c r="K326" s="87"/>
      <x:c r="L326" s="87"/>
      <x:c r="M326" s="87"/>
      <x:c r="N326" s="146"/>
      <x:c r="O326" s="106"/>
      <x:c r="P326" s="147"/>
      <x:c r="Q326" s="106"/>
      <x:c r="R326" s="106"/>
      <x:c r="S326" s="107">
        <x:f>SUM(E326:R326)</x:f>
      </x:c>
      <x:c r="T326" s="88">
        <x:v>20.9</x:v>
      </x:c>
      <x:c r="U326" s="88">
        <x:v>45.9</x:v>
      </x:c>
      <x:c r="V326" s="108">
        <x:f>S326*T326</x:f>
      </x:c>
    </x:row>
    <x:row r="327" spans="1:31" ht="15" customHeight="1" hidden="1" x14ac:dyDescent="0.3">
      <x:c r="A327" s="87">
        <x:v>743136</x:v>
      </x:c>
      <x:c r="B327" s="87" t="s">
        <x:v>416</x:v>
      </x:c>
      <x:c r="C327" s="87" t="s">
        <x:v>331</x:v>
      </x:c>
      <x:c r="D327" s="89" t="s">
        <x:v>63</x:v>
      </x:c>
      <x:c r="E327" s="87"/>
      <x:c r="F327" s="87"/>
      <x:c r="G327" s="87"/>
      <x:c r="H327" s="87"/>
      <x:c r="I327" s="87"/>
      <x:c r="J327" s="87"/>
      <x:c r="K327" s="87"/>
      <x:c r="L327" s="87"/>
      <x:c r="M327" s="87"/>
      <x:c r="N327" s="146"/>
      <x:c r="O327" s="106"/>
      <x:c r="P327" s="147"/>
      <x:c r="Q327" s="106"/>
      <x:c r="R327" s="106"/>
      <x:c r="S327" s="107">
        <x:f>SUM(E327:R327)</x:f>
      </x:c>
      <x:c r="T327" s="88">
        <x:v>20.9</x:v>
      </x:c>
      <x:c r="U327" s="88">
        <x:v>45.9</x:v>
      </x:c>
      <x:c r="V327" s="108">
        <x:f>S327*T327</x:f>
      </x:c>
    </x:row>
    <x:row r="328" spans="1:31" ht="15" customHeight="1" hidden="1" x14ac:dyDescent="0.3">
      <x:c r="A328" s="87">
        <x:v>743136</x:v>
      </x:c>
      <x:c r="B328" s="87" t="s">
        <x:v>417</x:v>
      </x:c>
      <x:c r="C328" s="87" t="s">
        <x:v>351</x:v>
      </x:c>
      <x:c r="D328" s="89" t="s">
        <x:v>63</x:v>
      </x:c>
      <x:c r="E328" s="87"/>
      <x:c r="F328" s="87"/>
      <x:c r="G328" s="87"/>
      <x:c r="H328" s="87"/>
      <x:c r="I328" s="87"/>
      <x:c r="J328" s="87"/>
      <x:c r="K328" s="87"/>
      <x:c r="L328" s="87"/>
      <x:c r="M328" s="87"/>
      <x:c r="N328" s="146"/>
      <x:c r="O328" s="106"/>
      <x:c r="P328" s="147"/>
      <x:c r="Q328" s="106"/>
      <x:c r="R328" s="106"/>
      <x:c r="S328" s="107">
        <x:f>SUM(E328:R328)</x:f>
      </x:c>
      <x:c r="T328" s="88">
        <x:v>20.9</x:v>
      </x:c>
      <x:c r="U328" s="88">
        <x:v>45.9</x:v>
      </x:c>
      <x:c r="V328" s="108">
        <x:f>S328*T328</x:f>
      </x:c>
    </x:row>
    <x:row r="329" spans="1:31" ht="15" customHeight="1" hidden="1" x14ac:dyDescent="0.3">
      <x:c r="A329" s="87">
        <x:v>743139</x:v>
      </x:c>
      <x:c r="B329" s="87" t="s">
        <x:v>418</x:v>
      </x:c>
      <x:c r="C329" s="87" t="s">
        <x:v>323</x:v>
      </x:c>
      <x:c r="D329" s="89" t="s">
        <x:v>59</x:v>
      </x:c>
      <x:c r="E329" s="146"/>
      <x:c r="F329" s="146"/>
      <x:c r="G329" s="146"/>
      <x:c r="H329" s="87"/>
      <x:c r="I329" s="87"/>
      <x:c r="J329" s="146"/>
      <x:c r="K329" s="146"/>
      <x:c r="L329" s="146"/>
      <x:c r="M329" s="146"/>
      <x:c r="N329" s="146"/>
      <x:c r="O329" s="147"/>
      <x:c r="P329" s="147"/>
      <x:c r="Q329" s="147"/>
      <x:c r="R329" s="147"/>
      <x:c r="S329" s="107">
        <x:f>SUM(E329:R329)</x:f>
      </x:c>
      <x:c r="T329" s="88">
        <x:v>13.6</x:v>
      </x:c>
      <x:c r="U329" s="88">
        <x:v>29.9</x:v>
      </x:c>
      <x:c r="V329" s="108">
        <x:f>S329*T329</x:f>
      </x:c>
    </x:row>
    <x:row r="330" spans="1:31" ht="15" customHeight="1" hidden="1" x14ac:dyDescent="0.3">
      <x:c r="A330" s="87">
        <x:v>743139</x:v>
      </x:c>
      <x:c r="B330" s="87" t="s">
        <x:v>419</x:v>
      </x:c>
      <x:c r="C330" s="87" t="s">
        <x:v>323</x:v>
      </x:c>
      <x:c r="D330" s="89" t="s">
        <x:v>63</x:v>
      </x:c>
      <x:c r="E330" s="87"/>
      <x:c r="F330" s="87"/>
      <x:c r="G330" s="87"/>
      <x:c r="H330" s="87"/>
      <x:c r="I330" s="87"/>
      <x:c r="J330" s="87"/>
      <x:c r="K330" s="87"/>
      <x:c r="L330" s="87"/>
      <x:c r="M330" s="87"/>
      <x:c r="N330" s="146"/>
      <x:c r="O330" s="106"/>
      <x:c r="P330" s="147"/>
      <x:c r="Q330" s="147"/>
      <x:c r="R330" s="147"/>
      <x:c r="S330" s="107">
        <x:f>SUM(E330:R330)</x:f>
      </x:c>
      <x:c r="T330" s="88">
        <x:v>13.6</x:v>
      </x:c>
      <x:c r="U330" s="88">
        <x:v>29.9</x:v>
      </x:c>
      <x:c r="V330" s="108">
        <x:f>S330*T330</x:f>
      </x:c>
    </x:row>
    <x:row r="331" spans="1:31" ht="15" customHeight="1" hidden="1" x14ac:dyDescent="0.3">
      <x:c r="A331" s="87">
        <x:v>743139</x:v>
      </x:c>
      <x:c r="B331" s="87" t="s">
        <x:v>420</x:v>
      </x:c>
      <x:c r="C331" s="87" t="s">
        <x:v>225</x:v>
      </x:c>
      <x:c r="D331" s="89" t="s">
        <x:v>59</x:v>
      </x:c>
      <x:c r="E331" s="146"/>
      <x:c r="F331" s="146"/>
      <x:c r="G331" s="146"/>
      <x:c r="H331" s="87"/>
      <x:c r="I331" s="87"/>
      <x:c r="J331" s="146"/>
      <x:c r="K331" s="146"/>
      <x:c r="L331" s="146"/>
      <x:c r="M331" s="146"/>
      <x:c r="N331" s="146"/>
      <x:c r="O331" s="147"/>
      <x:c r="P331" s="147"/>
      <x:c r="Q331" s="147"/>
      <x:c r="R331" s="147"/>
      <x:c r="S331" s="107">
        <x:f>SUM(E331:R331)</x:f>
      </x:c>
      <x:c r="T331" s="88">
        <x:v>13.6</x:v>
      </x:c>
      <x:c r="U331" s="88">
        <x:v>29.9</x:v>
      </x:c>
      <x:c r="V331" s="108">
        <x:f>S331*T331</x:f>
      </x:c>
    </x:row>
    <x:row r="332" spans="1:31" ht="15" customHeight="1" hidden="1" x14ac:dyDescent="0.3">
      <x:c r="A332" s="87">
        <x:v>743139</x:v>
      </x:c>
      <x:c r="B332" s="87" t="s">
        <x:v>421</x:v>
      </x:c>
      <x:c r="C332" s="87" t="s">
        <x:v>225</x:v>
      </x:c>
      <x:c r="D332" s="89" t="s">
        <x:v>63</x:v>
      </x:c>
      <x:c r="E332" s="87"/>
      <x:c r="F332" s="87"/>
      <x:c r="G332" s="87"/>
      <x:c r="H332" s="87"/>
      <x:c r="I332" s="87"/>
      <x:c r="J332" s="87"/>
      <x:c r="K332" s="87"/>
      <x:c r="L332" s="87"/>
      <x:c r="M332" s="87"/>
      <x:c r="N332" s="146"/>
      <x:c r="O332" s="106"/>
      <x:c r="P332" s="147"/>
      <x:c r="Q332" s="147"/>
      <x:c r="R332" s="147"/>
      <x:c r="S332" s="107">
        <x:f>SUM(E332:R332)</x:f>
      </x:c>
      <x:c r="T332" s="88">
        <x:v>13.6</x:v>
      </x:c>
      <x:c r="U332" s="88">
        <x:v>29.9</x:v>
      </x:c>
      <x:c r="V332" s="108">
        <x:f>S332*T332</x:f>
      </x:c>
    </x:row>
    <x:row r="333" spans="1:31" ht="15" customHeight="1" hidden="1" x14ac:dyDescent="0.3">
      <x:c r="A333" s="87">
        <x:v>743139</x:v>
      </x:c>
      <x:c r="B333" s="87" t="s">
        <x:v>422</x:v>
      </x:c>
      <x:c r="C333" s="87" t="s">
        <x:v>325</x:v>
      </x:c>
      <x:c r="D333" s="89" t="s">
        <x:v>59</x:v>
      </x:c>
      <x:c r="E333" s="146"/>
      <x:c r="F333" s="146"/>
      <x:c r="G333" s="146"/>
      <x:c r="H333" s="87"/>
      <x:c r="I333" s="87"/>
      <x:c r="J333" s="146"/>
      <x:c r="K333" s="146"/>
      <x:c r="L333" s="146"/>
      <x:c r="M333" s="146"/>
      <x:c r="N333" s="146"/>
      <x:c r="O333" s="147"/>
      <x:c r="P333" s="147"/>
      <x:c r="Q333" s="147"/>
      <x:c r="R333" s="147"/>
      <x:c r="S333" s="107">
        <x:f>SUM(E333:R333)</x:f>
      </x:c>
      <x:c r="T333" s="88">
        <x:v>13.6</x:v>
      </x:c>
      <x:c r="U333" s="88">
        <x:v>29.9</x:v>
      </x:c>
      <x:c r="V333" s="108">
        <x:f>S333*T333</x:f>
      </x:c>
    </x:row>
    <x:row r="334" spans="1:31" ht="15" customHeight="1" hidden="1" x14ac:dyDescent="0.3">
      <x:c r="A334" s="87">
        <x:v>743139</x:v>
      </x:c>
      <x:c r="B334" s="87" t="s">
        <x:v>423</x:v>
      </x:c>
      <x:c r="C334" s="87" t="s">
        <x:v>325</x:v>
      </x:c>
      <x:c r="D334" s="89" t="s">
        <x:v>63</x:v>
      </x:c>
      <x:c r="E334" s="87"/>
      <x:c r="F334" s="87"/>
      <x:c r="G334" s="87"/>
      <x:c r="H334" s="87"/>
      <x:c r="I334" s="87"/>
      <x:c r="J334" s="87"/>
      <x:c r="K334" s="87"/>
      <x:c r="L334" s="87"/>
      <x:c r="M334" s="87"/>
      <x:c r="N334" s="146"/>
      <x:c r="O334" s="106"/>
      <x:c r="P334" s="147"/>
      <x:c r="Q334" s="147"/>
      <x:c r="R334" s="147"/>
      <x:c r="S334" s="107">
        <x:f>SUM(E334:R334)</x:f>
      </x:c>
      <x:c r="T334" s="88">
        <x:v>13.6</x:v>
      </x:c>
      <x:c r="U334" s="88">
        <x:v>29.9</x:v>
      </x:c>
      <x:c r="V334" s="108">
        <x:f>S334*T334</x:f>
      </x:c>
    </x:row>
    <x:row r="335" spans="1:31" ht="15" customHeight="1" hidden="1" x14ac:dyDescent="0.3">
      <x:c r="A335" s="87">
        <x:v>743139</x:v>
      </x:c>
      <x:c r="B335" s="87" t="s">
        <x:v>424</x:v>
      </x:c>
      <x:c r="C335" s="87" t="s">
        <x:v>351</x:v>
      </x:c>
      <x:c r="D335" s="89" t="s">
        <x:v>59</x:v>
      </x:c>
      <x:c r="E335" s="146"/>
      <x:c r="F335" s="146"/>
      <x:c r="G335" s="146"/>
      <x:c r="H335" s="87"/>
      <x:c r="I335" s="87"/>
      <x:c r="J335" s="146"/>
      <x:c r="K335" s="146"/>
      <x:c r="L335" s="146"/>
      <x:c r="M335" s="146"/>
      <x:c r="N335" s="146"/>
      <x:c r="O335" s="147"/>
      <x:c r="P335" s="147"/>
      <x:c r="Q335" s="147"/>
      <x:c r="R335" s="147"/>
      <x:c r="S335" s="107">
        <x:f>SUM(E335:R335)</x:f>
      </x:c>
      <x:c r="T335" s="88">
        <x:v>13.6</x:v>
      </x:c>
      <x:c r="U335" s="88">
        <x:v>29.9</x:v>
      </x:c>
      <x:c r="V335" s="108">
        <x:f>S335*T335</x:f>
      </x:c>
    </x:row>
    <x:row r="336" spans="1:31" ht="15" customHeight="1" hidden="1" x14ac:dyDescent="0.3">
      <x:c r="A336" s="87">
        <x:v>743139</x:v>
      </x:c>
      <x:c r="B336" s="87" t="s">
        <x:v>425</x:v>
      </x:c>
      <x:c r="C336" s="87" t="s">
        <x:v>351</x:v>
      </x:c>
      <x:c r="D336" s="89" t="s">
        <x:v>63</x:v>
      </x:c>
      <x:c r="E336" s="87"/>
      <x:c r="F336" s="87"/>
      <x:c r="G336" s="87"/>
      <x:c r="H336" s="87"/>
      <x:c r="I336" s="87"/>
      <x:c r="J336" s="87"/>
      <x:c r="K336" s="87"/>
      <x:c r="L336" s="87"/>
      <x:c r="M336" s="87"/>
      <x:c r="N336" s="146"/>
      <x:c r="O336" s="106"/>
      <x:c r="P336" s="147"/>
      <x:c r="Q336" s="147"/>
      <x:c r="R336" s="147"/>
      <x:c r="S336" s="107">
        <x:f>SUM(E336:R336)</x:f>
      </x:c>
      <x:c r="T336" s="88">
        <x:v>13.6</x:v>
      </x:c>
      <x:c r="U336" s="88">
        <x:v>29.9</x:v>
      </x:c>
      <x:c r="V336" s="108">
        <x:f>S336*T336</x:f>
      </x:c>
    </x:row>
    <x:row r="337" spans="1:31" ht="15" customHeight="1" hidden="1" x14ac:dyDescent="0.3">
      <x:c r="A337" s="87">
        <x:v>743144</x:v>
      </x:c>
      <x:c r="B337" s="87" t="s">
        <x:v>426</x:v>
      </x:c>
      <x:c r="C337" s="87" t="s">
        <x:v>233</x:v>
      </x:c>
      <x:c r="D337" s="89" t="s">
        <x:v>63</x:v>
      </x:c>
      <x:c r="E337" s="87"/>
      <x:c r="F337" s="87"/>
      <x:c r="G337" s="87"/>
      <x:c r="H337" s="87"/>
      <x:c r="I337" s="87"/>
      <x:c r="J337" s="87"/>
      <x:c r="K337" s="87"/>
      <x:c r="L337" s="87"/>
      <x:c r="M337" s="87"/>
      <x:c r="N337" s="146"/>
      <x:c r="O337" s="106"/>
      <x:c r="P337" s="147"/>
      <x:c r="Q337" s="106"/>
      <x:c r="R337" s="106"/>
      <x:c r="S337" s="107">
        <x:f>SUM(E337:R337)</x:f>
      </x:c>
      <x:c r="T337" s="88">
        <x:v>18.2</x:v>
      </x:c>
      <x:c r="U337" s="88">
        <x:v>39.9</x:v>
      </x:c>
      <x:c r="V337" s="108">
        <x:f>S337*T337</x:f>
      </x:c>
    </x:row>
    <x:row r="338" spans="1:31" ht="15" customHeight="1" hidden="1" x14ac:dyDescent="0.3">
      <x:c r="A338" s="87">
        <x:v>743144</x:v>
      </x:c>
      <x:c r="B338" s="87" t="s">
        <x:v>427</x:v>
      </x:c>
      <x:c r="C338" s="87" t="s">
        <x:v>351</x:v>
      </x:c>
      <x:c r="D338" s="89" t="s">
        <x:v>63</x:v>
      </x:c>
      <x:c r="E338" s="87"/>
      <x:c r="F338" s="87"/>
      <x:c r="G338" s="87"/>
      <x:c r="H338" s="87"/>
      <x:c r="I338" s="87"/>
      <x:c r="J338" s="87"/>
      <x:c r="K338" s="87"/>
      <x:c r="L338" s="87"/>
      <x:c r="M338" s="87"/>
      <x:c r="N338" s="146"/>
      <x:c r="O338" s="106"/>
      <x:c r="P338" s="147"/>
      <x:c r="Q338" s="106"/>
      <x:c r="R338" s="106"/>
      <x:c r="S338" s="107">
        <x:f>SUM(E338:R338)</x:f>
      </x:c>
      <x:c r="T338" s="88">
        <x:v>18.2</x:v>
      </x:c>
      <x:c r="U338" s="88">
        <x:v>39.9</x:v>
      </x:c>
      <x:c r="V338" s="108">
        <x:f>S338*T338</x:f>
      </x:c>
    </x:row>
    <x:row r="339" spans="1:31" ht="15" customHeight="1" hidden="1" x14ac:dyDescent="0.3">
      <x:c r="A339" s="87">
        <x:v>743145</x:v>
      </x:c>
      <x:c r="B339" s="87" t="s">
        <x:v>428</x:v>
      </x:c>
      <x:c r="C339" s="87" t="s">
        <x:v>323</x:v>
      </x:c>
      <x:c r="D339" s="89" t="s">
        <x:v>63</x:v>
      </x:c>
      <x:c r="E339" s="87"/>
      <x:c r="F339" s="87"/>
      <x:c r="G339" s="87"/>
      <x:c r="H339" s="87"/>
      <x:c r="I339" s="87"/>
      <x:c r="J339" s="87"/>
      <x:c r="K339" s="87"/>
      <x:c r="L339" s="87"/>
      <x:c r="M339" s="87"/>
      <x:c r="N339" s="146"/>
      <x:c r="O339" s="106"/>
      <x:c r="P339" s="147"/>
      <x:c r="Q339" s="106"/>
      <x:c r="R339" s="106"/>
      <x:c r="S339" s="107">
        <x:f>SUM(E339:R339)</x:f>
      </x:c>
      <x:c r="T339" s="88">
        <x:v>22.7</x:v>
      </x:c>
      <x:c r="U339" s="88">
        <x:v>49.9</x:v>
      </x:c>
      <x:c r="V339" s="108">
        <x:f>S339*T339</x:f>
      </x:c>
    </x:row>
    <x:row r="340" spans="1:31" ht="15" customHeight="1" hidden="1" x14ac:dyDescent="0.3">
      <x:c r="A340" s="87">
        <x:v>743145</x:v>
      </x:c>
      <x:c r="B340" s="87" t="s">
        <x:v>429</x:v>
      </x:c>
      <x:c r="C340" s="87" t="s">
        <x:v>347</x:v>
      </x:c>
      <x:c r="D340" s="89" t="s">
        <x:v>63</x:v>
      </x:c>
      <x:c r="E340" s="87"/>
      <x:c r="F340" s="87"/>
      <x:c r="G340" s="87"/>
      <x:c r="H340" s="87"/>
      <x:c r="I340" s="87"/>
      <x:c r="J340" s="87"/>
      <x:c r="K340" s="87"/>
      <x:c r="L340" s="87"/>
      <x:c r="M340" s="87"/>
      <x:c r="N340" s="146"/>
      <x:c r="O340" s="106"/>
      <x:c r="P340" s="147"/>
      <x:c r="Q340" s="106"/>
      <x:c r="R340" s="106"/>
      <x:c r="S340" s="107">
        <x:f>SUM(E340:R340)</x:f>
      </x:c>
      <x:c r="T340" s="88">
        <x:v>22.7</x:v>
      </x:c>
      <x:c r="U340" s="88">
        <x:v>49.9</x:v>
      </x:c>
      <x:c r="V340" s="108">
        <x:f>S340*T340</x:f>
      </x:c>
    </x:row>
    <x:row r="341" spans="1:31" ht="15" customHeight="1" hidden="1" x14ac:dyDescent="0.3">
      <x:c r="A341" s="87">
        <x:v>743146</x:v>
      </x:c>
      <x:c r="B341" s="87" t="s">
        <x:v>430</x:v>
      </x:c>
      <x:c r="C341" s="87" t="s">
        <x:v>347</x:v>
      </x:c>
      <x:c r="D341" s="89" t="s">
        <x:v>63</x:v>
      </x:c>
      <x:c r="E341" s="87"/>
      <x:c r="F341" s="87"/>
      <x:c r="G341" s="87"/>
      <x:c r="H341" s="87"/>
      <x:c r="I341" s="87"/>
      <x:c r="J341" s="87"/>
      <x:c r="K341" s="87"/>
      <x:c r="L341" s="87"/>
      <x:c r="M341" s="87"/>
      <x:c r="N341" s="146"/>
      <x:c r="O341" s="106"/>
      <x:c r="P341" s="147"/>
      <x:c r="Q341" s="106"/>
      <x:c r="R341" s="106"/>
      <x:c r="S341" s="107">
        <x:f>SUM(E341:R341)</x:f>
      </x:c>
      <x:c r="T341" s="88">
        <x:v>16.8</x:v>
      </x:c>
      <x:c r="U341" s="88">
        <x:v>36.9</x:v>
      </x:c>
      <x:c r="V341" s="108">
        <x:f>S341*T341</x:f>
      </x:c>
    </x:row>
    <x:row r="342" spans="1:31" ht="15" customHeight="1" hidden="1" x14ac:dyDescent="0.3">
      <x:c r="A342" s="87">
        <x:v>743147</x:v>
      </x:c>
      <x:c r="B342" s="87" t="s">
        <x:v>431</x:v>
      </x:c>
      <x:c r="C342" s="87" t="s">
        <x:v>342</x:v>
      </x:c>
      <x:c r="D342" s="89" t="s">
        <x:v>63</x:v>
      </x:c>
      <x:c r="E342" s="87"/>
      <x:c r="F342" s="87"/>
      <x:c r="G342" s="87"/>
      <x:c r="H342" s="87"/>
      <x:c r="I342" s="87"/>
      <x:c r="J342" s="87"/>
      <x:c r="K342" s="87"/>
      <x:c r="L342" s="87"/>
      <x:c r="M342" s="87"/>
      <x:c r="N342" s="146"/>
      <x:c r="O342" s="106"/>
      <x:c r="P342" s="147"/>
      <x:c r="Q342" s="106"/>
      <x:c r="R342" s="106"/>
      <x:c r="S342" s="107">
        <x:f>SUM(E342:R342)</x:f>
      </x:c>
      <x:c r="T342" s="88">
        <x:v>20.9</x:v>
      </x:c>
      <x:c r="U342" s="88">
        <x:v>45.9</x:v>
      </x:c>
      <x:c r="V342" s="108">
        <x:f>S342*T342</x:f>
      </x:c>
    </x:row>
    <x:row r="343" spans="1:31" ht="15" customHeight="1" hidden="1" x14ac:dyDescent="0.3">
      <x:c r="A343" s="87">
        <x:v>743150</x:v>
      </x:c>
      <x:c r="B343" s="87" t="s">
        <x:v>432</x:v>
      </x:c>
      <x:c r="C343" s="87" t="s">
        <x:v>325</x:v>
      </x:c>
      <x:c r="D343" s="89" t="s">
        <x:v>63</x:v>
      </x:c>
      <x:c r="E343" s="87"/>
      <x:c r="F343" s="87"/>
      <x:c r="G343" s="87"/>
      <x:c r="H343" s="87"/>
      <x:c r="I343" s="87"/>
      <x:c r="J343" s="87"/>
      <x:c r="K343" s="87"/>
      <x:c r="L343" s="87"/>
      <x:c r="M343" s="87"/>
      <x:c r="N343" s="146"/>
      <x:c r="O343" s="106"/>
      <x:c r="P343" s="147"/>
      <x:c r="Q343" s="106"/>
      <x:c r="R343" s="106"/>
      <x:c r="S343" s="107">
        <x:f>SUM(E343:R343)</x:f>
      </x:c>
      <x:c r="T343" s="88">
        <x:v>12.3</x:v>
      </x:c>
      <x:c r="U343" s="88">
        <x:v>26.9</x:v>
      </x:c>
      <x:c r="V343" s="108">
        <x:f>S343*T343</x:f>
      </x:c>
    </x:row>
    <x:row r="344" spans="1:31" ht="15" customHeight="1" hidden="1" x14ac:dyDescent="0.3">
      <x:c r="A344" s="87">
        <x:v>743150</x:v>
      </x:c>
      <x:c r="B344" s="87" t="s">
        <x:v>433</x:v>
      </x:c>
      <x:c r="C344" s="87" t="s">
        <x:v>331</x:v>
      </x:c>
      <x:c r="D344" s="89" t="s">
        <x:v>63</x:v>
      </x:c>
      <x:c r="E344" s="87"/>
      <x:c r="F344" s="87"/>
      <x:c r="G344" s="87"/>
      <x:c r="H344" s="87"/>
      <x:c r="I344" s="87"/>
      <x:c r="J344" s="87"/>
      <x:c r="K344" s="87"/>
      <x:c r="L344" s="87"/>
      <x:c r="M344" s="87"/>
      <x:c r="N344" s="146"/>
      <x:c r="O344" s="106"/>
      <x:c r="P344" s="147"/>
      <x:c r="Q344" s="106"/>
      <x:c r="R344" s="106"/>
      <x:c r="S344" s="107">
        <x:f>SUM(E344:R344)</x:f>
      </x:c>
      <x:c r="T344" s="88">
        <x:v>12.3</x:v>
      </x:c>
      <x:c r="U344" s="88">
        <x:v>26.9</x:v>
      </x:c>
      <x:c r="V344" s="108">
        <x:f>S344*T344</x:f>
      </x:c>
    </x:row>
    <x:row r="345" spans="1:31" ht="15" customHeight="1" hidden="1" x14ac:dyDescent="0.3">
      <x:c r="A345" s="87">
        <x:v>743152</x:v>
      </x:c>
      <x:c r="B345" s="87" t="s">
        <x:v>434</x:v>
      </x:c>
      <x:c r="C345" s="87" t="s">
        <x:v>325</x:v>
      </x:c>
      <x:c r="D345" s="89" t="s">
        <x:v>63</x:v>
      </x:c>
      <x:c r="E345" s="87"/>
      <x:c r="F345" s="87"/>
      <x:c r="G345" s="87"/>
      <x:c r="H345" s="87"/>
      <x:c r="I345" s="87"/>
      <x:c r="J345" s="87"/>
      <x:c r="K345" s="87"/>
      <x:c r="L345" s="87"/>
      <x:c r="M345" s="87"/>
      <x:c r="N345" s="146"/>
      <x:c r="O345" s="106"/>
      <x:c r="P345" s="147"/>
      <x:c r="Q345" s="106"/>
      <x:c r="R345" s="106"/>
      <x:c r="S345" s="107">
        <x:f>SUM(E345:R345)</x:f>
      </x:c>
      <x:c r="T345" s="88">
        <x:v>15</x:v>
      </x:c>
      <x:c r="U345" s="88">
        <x:v>32.9</x:v>
      </x:c>
      <x:c r="V345" s="108">
        <x:f>S345*T345</x:f>
      </x:c>
    </x:row>
    <x:row r="346" spans="1:31" ht="15" customHeight="1" hidden="1" x14ac:dyDescent="0.3">
      <x:c r="A346" s="87">
        <x:v>743152</x:v>
      </x:c>
      <x:c r="B346" s="87" t="s">
        <x:v>435</x:v>
      </x:c>
      <x:c r="C346" s="87" t="s">
        <x:v>331</x:v>
      </x:c>
      <x:c r="D346" s="89" t="s">
        <x:v>63</x:v>
      </x:c>
      <x:c r="E346" s="87"/>
      <x:c r="F346" s="87"/>
      <x:c r="G346" s="87"/>
      <x:c r="H346" s="87"/>
      <x:c r="I346" s="87"/>
      <x:c r="J346" s="87"/>
      <x:c r="K346" s="87"/>
      <x:c r="L346" s="87"/>
      <x:c r="M346" s="87"/>
      <x:c r="N346" s="146"/>
      <x:c r="O346" s="106"/>
      <x:c r="P346" s="147"/>
      <x:c r="Q346" s="106"/>
      <x:c r="R346" s="106"/>
      <x:c r="S346" s="107">
        <x:f>SUM(E346:R346)</x:f>
      </x:c>
      <x:c r="T346" s="88">
        <x:v>15</x:v>
      </x:c>
      <x:c r="U346" s="88">
        <x:v>32.9</x:v>
      </x:c>
      <x:c r="V346" s="108">
        <x:f>S346*T346</x:f>
      </x:c>
    </x:row>
    <x:row r="347" spans="1:31" ht="15" customHeight="1" hidden="1" x14ac:dyDescent="0.3">
      <x:c r="A347" s="87">
        <x:v>743153</x:v>
      </x:c>
      <x:c r="B347" s="87" t="s">
        <x:v>436</x:v>
      </x:c>
      <x:c r="C347" s="87" t="s">
        <x:v>393</x:v>
      </x:c>
      <x:c r="D347" s="89" t="s">
        <x:v>63</x:v>
      </x:c>
      <x:c r="E347" s="87"/>
      <x:c r="F347" s="87"/>
      <x:c r="G347" s="87"/>
      <x:c r="H347" s="87"/>
      <x:c r="I347" s="87"/>
      <x:c r="J347" s="87"/>
      <x:c r="K347" s="87"/>
      <x:c r="L347" s="87"/>
      <x:c r="M347" s="87"/>
      <x:c r="N347" s="146"/>
      <x:c r="O347" s="106"/>
      <x:c r="P347" s="147"/>
      <x:c r="Q347" s="106"/>
      <x:c r="R347" s="106"/>
      <x:c r="S347" s="107">
        <x:f>SUM(E347:R347)</x:f>
      </x:c>
      <x:c r="T347" s="88">
        <x:v>13.6</x:v>
      </x:c>
      <x:c r="U347" s="88">
        <x:v>29.9</x:v>
      </x:c>
      <x:c r="V347" s="108">
        <x:f>S347*T347</x:f>
      </x:c>
    </x:row>
    <x:row r="348" spans="1:31" ht="15" customHeight="1" hidden="1" x14ac:dyDescent="0.3">
      <x:c r="A348" s="87">
        <x:v>743153</x:v>
      </x:c>
      <x:c r="B348" s="87" t="s">
        <x:v>437</x:v>
      </x:c>
      <x:c r="C348" s="87" t="s">
        <x:v>225</x:v>
      </x:c>
      <x:c r="D348" s="89" t="s">
        <x:v>63</x:v>
      </x:c>
      <x:c r="E348" s="87"/>
      <x:c r="F348" s="87"/>
      <x:c r="G348" s="87"/>
      <x:c r="H348" s="87"/>
      <x:c r="I348" s="87"/>
      <x:c r="J348" s="87"/>
      <x:c r="K348" s="87"/>
      <x:c r="L348" s="87"/>
      <x:c r="M348" s="87"/>
      <x:c r="N348" s="146"/>
      <x:c r="O348" s="106"/>
      <x:c r="P348" s="147"/>
      <x:c r="Q348" s="106"/>
      <x:c r="R348" s="106"/>
      <x:c r="S348" s="107">
        <x:f>SUM(E348:R348)</x:f>
      </x:c>
      <x:c r="T348" s="88">
        <x:v>13.6</x:v>
      </x:c>
      <x:c r="U348" s="88">
        <x:v>29.9</x:v>
      </x:c>
      <x:c r="V348" s="108">
        <x:f>S348*T348</x:f>
      </x:c>
    </x:row>
    <x:row r="349" spans="1:31" ht="15" customHeight="1" hidden="1" x14ac:dyDescent="0.3">
      <x:c r="A349" s="87">
        <x:v>743154</x:v>
      </x:c>
      <x:c r="B349" s="87" t="s">
        <x:v>438</x:v>
      </x:c>
      <x:c r="C349" s="87" t="s">
        <x:v>393</x:v>
      </x:c>
      <x:c r="D349" s="89" t="s">
        <x:v>63</x:v>
      </x:c>
      <x:c r="E349" s="87"/>
      <x:c r="F349" s="87"/>
      <x:c r="G349" s="87"/>
      <x:c r="H349" s="87"/>
      <x:c r="I349" s="87"/>
      <x:c r="J349" s="87"/>
      <x:c r="K349" s="87"/>
      <x:c r="L349" s="87"/>
      <x:c r="M349" s="87"/>
      <x:c r="N349" s="146"/>
      <x:c r="O349" s="106"/>
      <x:c r="P349" s="147"/>
      <x:c r="Q349" s="106"/>
      <x:c r="R349" s="106"/>
      <x:c r="S349" s="107">
        <x:f>SUM(E349:R349)</x:f>
      </x:c>
      <x:c r="T349" s="88">
        <x:v>12.3</x:v>
      </x:c>
      <x:c r="U349" s="88">
        <x:v>26.9</x:v>
      </x:c>
      <x:c r="V349" s="108">
        <x:f>S349*T349</x:f>
      </x:c>
    </x:row>
    <x:row r="350" spans="1:31" ht="15" customHeight="1" hidden="1" x14ac:dyDescent="0.3">
      <x:c r="A350" s="87">
        <x:v>743154</x:v>
      </x:c>
      <x:c r="B350" s="87" t="s">
        <x:v>439</x:v>
      </x:c>
      <x:c r="C350" s="87" t="s">
        <x:v>225</x:v>
      </x:c>
      <x:c r="D350" s="89" t="s">
        <x:v>63</x:v>
      </x:c>
      <x:c r="E350" s="87"/>
      <x:c r="F350" s="87"/>
      <x:c r="G350" s="87"/>
      <x:c r="H350" s="87"/>
      <x:c r="I350" s="87"/>
      <x:c r="J350" s="87"/>
      <x:c r="K350" s="87"/>
      <x:c r="L350" s="87"/>
      <x:c r="M350" s="87"/>
      <x:c r="N350" s="146"/>
      <x:c r="O350" s="106"/>
      <x:c r="P350" s="147"/>
      <x:c r="Q350" s="106"/>
      <x:c r="R350" s="106"/>
      <x:c r="S350" s="107">
        <x:f>SUM(E350:R350)</x:f>
      </x:c>
      <x:c r="T350" s="88">
        <x:v>12.3</x:v>
      </x:c>
      <x:c r="U350" s="88">
        <x:v>26.9</x:v>
      </x:c>
      <x:c r="V350" s="108">
        <x:f>S350*T350</x:f>
      </x:c>
    </x:row>
    <x:row r="351" spans="1:31" ht="15" customHeight="1" hidden="1" x14ac:dyDescent="0.3">
      <x:c r="A351" s="87">
        <x:v>743157</x:v>
      </x:c>
      <x:c r="B351" s="87" t="s">
        <x:v>440</x:v>
      </x:c>
      <x:c r="C351" s="87" t="s">
        <x:v>323</x:v>
      </x:c>
      <x:c r="D351" s="89" t="s">
        <x:v>63</x:v>
      </x:c>
      <x:c r="E351" s="87"/>
      <x:c r="F351" s="87"/>
      <x:c r="G351" s="87"/>
      <x:c r="H351" s="87"/>
      <x:c r="I351" s="87"/>
      <x:c r="J351" s="87"/>
      <x:c r="K351" s="87"/>
      <x:c r="L351" s="87"/>
      <x:c r="M351" s="87"/>
      <x:c r="N351" s="146"/>
      <x:c r="O351" s="106"/>
      <x:c r="P351" s="147"/>
      <x:c r="Q351" s="147"/>
      <x:c r="R351" s="147"/>
      <x:c r="S351" s="107">
        <x:f>SUM(E351:R351)</x:f>
      </x:c>
      <x:c r="T351" s="88">
        <x:v>13.6</x:v>
      </x:c>
      <x:c r="U351" s="88">
        <x:v>29.9</x:v>
      </x:c>
      <x:c r="V351" s="108">
        <x:f>S351*T351</x:f>
      </x:c>
    </x:row>
    <x:row r="352" spans="1:31" ht="15" customHeight="1" hidden="1" x14ac:dyDescent="0.3">
      <x:c r="A352" s="87">
        <x:v>743157</x:v>
      </x:c>
      <x:c r="B352" s="87" t="s">
        <x:v>441</x:v>
      </x:c>
      <x:c r="C352" s="87" t="s">
        <x:v>347</x:v>
      </x:c>
      <x:c r="D352" s="89" t="s">
        <x:v>63</x:v>
      </x:c>
      <x:c r="E352" s="87"/>
      <x:c r="F352" s="87"/>
      <x:c r="G352" s="87"/>
      <x:c r="H352" s="87"/>
      <x:c r="I352" s="87"/>
      <x:c r="J352" s="87"/>
      <x:c r="K352" s="87"/>
      <x:c r="L352" s="87"/>
      <x:c r="M352" s="87"/>
      <x:c r="N352" s="146"/>
      <x:c r="O352" s="106"/>
      <x:c r="P352" s="147"/>
      <x:c r="Q352" s="147"/>
      <x:c r="R352" s="147"/>
      <x:c r="S352" s="107">
        <x:f>SUM(E352:R352)</x:f>
      </x:c>
      <x:c r="T352" s="88">
        <x:v>13.6</x:v>
      </x:c>
      <x:c r="U352" s="88">
        <x:v>29.9</x:v>
      </x:c>
      <x:c r="V352" s="108">
        <x:f>S352*T352</x:f>
      </x:c>
    </x:row>
    <x:row r="353" spans="1:31" ht="15" customHeight="1" hidden="1" x14ac:dyDescent="0.3">
      <x:c r="A353" s="87">
        <x:v>743157</x:v>
      </x:c>
      <x:c r="B353" s="87" t="s">
        <x:v>442</x:v>
      </x:c>
      <x:c r="C353" s="87" t="s">
        <x:v>351</x:v>
      </x:c>
      <x:c r="D353" s="89" t="s">
        <x:v>63</x:v>
      </x:c>
      <x:c r="E353" s="87"/>
      <x:c r="F353" s="87"/>
      <x:c r="G353" s="87"/>
      <x:c r="H353" s="87"/>
      <x:c r="I353" s="87"/>
      <x:c r="J353" s="87"/>
      <x:c r="K353" s="87"/>
      <x:c r="L353" s="87"/>
      <x:c r="M353" s="87"/>
      <x:c r="N353" s="146"/>
      <x:c r="O353" s="106"/>
      <x:c r="P353" s="147"/>
      <x:c r="Q353" s="147"/>
      <x:c r="R353" s="147"/>
      <x:c r="S353" s="107">
        <x:f>SUM(E353:R353)</x:f>
      </x:c>
      <x:c r="T353" s="88">
        <x:v>13.6</x:v>
      </x:c>
      <x:c r="U353" s="88">
        <x:v>29.9</x:v>
      </x:c>
      <x:c r="V353" s="108">
        <x:f>S353*T353</x:f>
      </x:c>
    </x:row>
    <x:row r="354" spans="1:31" ht="15" customHeight="1" hidden="1" x14ac:dyDescent="0.3">
      <x:c r="A354" s="87">
        <x:v>743158</x:v>
      </x:c>
      <x:c r="B354" s="87" t="s">
        <x:v>443</x:v>
      </x:c>
      <x:c r="C354" s="87" t="s">
        <x:v>331</x:v>
      </x:c>
      <x:c r="D354" s="89" t="s">
        <x:v>63</x:v>
      </x:c>
      <x:c r="E354" s="87"/>
      <x:c r="F354" s="87"/>
      <x:c r="G354" s="87"/>
      <x:c r="H354" s="87"/>
      <x:c r="I354" s="87"/>
      <x:c r="J354" s="87"/>
      <x:c r="K354" s="87"/>
      <x:c r="L354" s="87"/>
      <x:c r="M354" s="87"/>
      <x:c r="N354" s="87"/>
      <x:c r="O354" s="106"/>
      <x:c r="P354" s="147"/>
      <x:c r="Q354" s="147"/>
      <x:c r="R354" s="147"/>
      <x:c r="S354" s="107">
        <x:f>SUM(E354:R354)</x:f>
      </x:c>
      <x:c r="T354" s="88">
        <x:v>10.9</x:v>
      </x:c>
      <x:c r="U354" s="88">
        <x:v>23.9</x:v>
      </x:c>
      <x:c r="V354" s="108">
        <x:f>S354*T354</x:f>
      </x:c>
    </x:row>
    <x:row r="355" spans="1:31" ht="15" customHeight="1" hidden="1" x14ac:dyDescent="0.3">
      <x:c r="A355" s="87">
        <x:v>743161</x:v>
      </x:c>
      <x:c r="B355" s="87" t="s">
        <x:v>444</x:v>
      </x:c>
      <x:c r="C355" s="87" t="s">
        <x:v>336</x:v>
      </x:c>
      <x:c r="D355" s="89" t="s">
        <x:v>63</x:v>
      </x:c>
      <x:c r="E355" s="87"/>
      <x:c r="F355" s="87"/>
      <x:c r="G355" s="87"/>
      <x:c r="H355" s="87"/>
      <x:c r="I355" s="87"/>
      <x:c r="J355" s="87"/>
      <x:c r="K355" s="87"/>
      <x:c r="L355" s="87"/>
      <x:c r="M355" s="87"/>
      <x:c r="N355" s="146"/>
      <x:c r="O355" s="106"/>
      <x:c r="P355" s="147"/>
      <x:c r="Q355" s="106"/>
      <x:c r="R355" s="106"/>
      <x:c r="S355" s="107">
        <x:f>SUM(E355:R355)</x:f>
      </x:c>
      <x:c r="T355" s="88">
        <x:v>13.6</x:v>
      </x:c>
      <x:c r="U355" s="88">
        <x:v>29.9</x:v>
      </x:c>
      <x:c r="V355" s="108">
        <x:f>S355*T355</x:f>
      </x:c>
    </x:row>
    <x:row r="356" spans="1:31" ht="15" customHeight="1" hidden="1" x14ac:dyDescent="0.3">
      <x:c r="A356" s="87">
        <x:v>743161</x:v>
      </x:c>
      <x:c r="B356" s="87" t="s">
        <x:v>445</x:v>
      </x:c>
      <x:c r="C356" s="87" t="s">
        <x:v>393</x:v>
      </x:c>
      <x:c r="D356" s="89" t="s">
        <x:v>63</x:v>
      </x:c>
      <x:c r="E356" s="87"/>
      <x:c r="F356" s="87"/>
      <x:c r="G356" s="87"/>
      <x:c r="H356" s="87"/>
      <x:c r="I356" s="87"/>
      <x:c r="J356" s="87"/>
      <x:c r="K356" s="87"/>
      <x:c r="L356" s="87"/>
      <x:c r="M356" s="87"/>
      <x:c r="N356" s="146"/>
      <x:c r="O356" s="106"/>
      <x:c r="P356" s="147"/>
      <x:c r="Q356" s="106"/>
      <x:c r="R356" s="106"/>
      <x:c r="S356" s="107">
        <x:f>SUM(E356:R356)</x:f>
      </x:c>
      <x:c r="T356" s="88">
        <x:v>13.6</x:v>
      </x:c>
      <x:c r="U356" s="88">
        <x:v>29.9</x:v>
      </x:c>
      <x:c r="V356" s="108">
        <x:f>S356*T356</x:f>
      </x:c>
    </x:row>
    <x:row r="357" spans="1:31" ht="15" customHeight="1" hidden="1" x14ac:dyDescent="0.3">
      <x:c r="A357" s="87">
        <x:v>743161</x:v>
      </x:c>
      <x:c r="B357" s="87" t="s">
        <x:v>446</x:v>
      </x:c>
      <x:c r="C357" s="87" t="s">
        <x:v>331</x:v>
      </x:c>
      <x:c r="D357" s="89" t="s">
        <x:v>63</x:v>
      </x:c>
      <x:c r="E357" s="87"/>
      <x:c r="F357" s="87"/>
      <x:c r="G357" s="87"/>
      <x:c r="H357" s="87"/>
      <x:c r="I357" s="87"/>
      <x:c r="J357" s="87"/>
      <x:c r="K357" s="87"/>
      <x:c r="L357" s="87"/>
      <x:c r="M357" s="87"/>
      <x:c r="N357" s="146"/>
      <x:c r="O357" s="106"/>
      <x:c r="P357" s="147"/>
      <x:c r="Q357" s="106"/>
      <x:c r="R357" s="106"/>
      <x:c r="S357" s="107">
        <x:f>SUM(E357:R357)</x:f>
      </x:c>
      <x:c r="T357" s="88">
        <x:v>13.6</x:v>
      </x:c>
      <x:c r="U357" s="88">
        <x:v>29.9</x:v>
      </x:c>
      <x:c r="V357" s="108">
        <x:f>S357*T357</x:f>
      </x:c>
    </x:row>
    <x:row r="358" spans="1:31" ht="15" customHeight="1" hidden="1" x14ac:dyDescent="0.3">
      <x:c r="A358" s="87">
        <x:v>743164</x:v>
      </x:c>
      <x:c r="B358" s="87" t="s">
        <x:v>447</x:v>
      </x:c>
      <x:c r="C358" s="87" t="s">
        <x:v>347</x:v>
      </x:c>
      <x:c r="D358" s="89" t="s">
        <x:v>63</x:v>
      </x:c>
      <x:c r="E358" s="87"/>
      <x:c r="F358" s="87"/>
      <x:c r="G358" s="87"/>
      <x:c r="H358" s="87"/>
      <x:c r="I358" s="87"/>
      <x:c r="J358" s="87"/>
      <x:c r="K358" s="87"/>
      <x:c r="L358" s="87"/>
      <x:c r="M358" s="87"/>
      <x:c r="N358" s="146"/>
      <x:c r="O358" s="106"/>
      <x:c r="P358" s="147"/>
      <x:c r="Q358" s="106"/>
      <x:c r="R358" s="106"/>
      <x:c r="S358" s="107">
        <x:f>SUM(E358:R358)</x:f>
      </x:c>
      <x:c r="T358" s="88">
        <x:v>13.6</x:v>
      </x:c>
      <x:c r="U358" s="88">
        <x:v>29.9</x:v>
      </x:c>
      <x:c r="V358" s="108">
        <x:f>S358*T358</x:f>
      </x:c>
    </x:row>
    <x:row r="359" spans="1:31" ht="15" customHeight="1" hidden="1" x14ac:dyDescent="0.3">
      <x:c r="A359" s="87">
        <x:v>743164</x:v>
      </x:c>
      <x:c r="B359" s="87" t="s">
        <x:v>448</x:v>
      </x:c>
      <x:c r="C359" s="87" t="s">
        <x:v>331</x:v>
      </x:c>
      <x:c r="D359" s="89" t="s">
        <x:v>63</x:v>
      </x:c>
      <x:c r="E359" s="87"/>
      <x:c r="F359" s="87"/>
      <x:c r="G359" s="87"/>
      <x:c r="H359" s="87"/>
      <x:c r="I359" s="87"/>
      <x:c r="J359" s="87"/>
      <x:c r="K359" s="87"/>
      <x:c r="L359" s="87"/>
      <x:c r="M359" s="87"/>
      <x:c r="N359" s="146"/>
      <x:c r="O359" s="106"/>
      <x:c r="P359" s="147"/>
      <x:c r="Q359" s="106"/>
      <x:c r="R359" s="106"/>
      <x:c r="S359" s="107">
        <x:f>SUM(E359:R359)</x:f>
      </x:c>
      <x:c r="T359" s="88">
        <x:v>13.6</x:v>
      </x:c>
      <x:c r="U359" s="88">
        <x:v>29.9</x:v>
      </x:c>
      <x:c r="V359" s="108">
        <x:f>S359*T359</x:f>
      </x:c>
    </x:row>
    <x:row r="360" spans="1:31" ht="15" customHeight="1" hidden="1" x14ac:dyDescent="0.3">
      <x:c r="A360" s="87">
        <x:v>743165</x:v>
      </x:c>
      <x:c r="B360" s="87" t="s">
        <x:v>449</x:v>
      </x:c>
      <x:c r="C360" s="87" t="s">
        <x:v>393</x:v>
      </x:c>
      <x:c r="D360" s="89" t="s">
        <x:v>63</x:v>
      </x:c>
      <x:c r="E360" s="87"/>
      <x:c r="F360" s="87"/>
      <x:c r="G360" s="87"/>
      <x:c r="H360" s="87"/>
      <x:c r="I360" s="87"/>
      <x:c r="J360" s="87"/>
      <x:c r="K360" s="87"/>
      <x:c r="L360" s="87"/>
      <x:c r="M360" s="87"/>
      <x:c r="N360" s="146"/>
      <x:c r="O360" s="106"/>
      <x:c r="P360" s="147"/>
      <x:c r="Q360" s="106"/>
      <x:c r="R360" s="106"/>
      <x:c r="S360" s="107">
        <x:f>SUM(E360:R360)</x:f>
      </x:c>
      <x:c r="T360" s="88">
        <x:v>13.6</x:v>
      </x:c>
      <x:c r="U360" s="88">
        <x:v>29.9</x:v>
      </x:c>
      <x:c r="V360" s="108">
        <x:f>S360*T360</x:f>
      </x:c>
    </x:row>
    <x:row r="361" spans="1:31" ht="15" customHeight="1" hidden="1" x14ac:dyDescent="0.3">
      <x:c r="A361" s="87">
        <x:v>743165</x:v>
      </x:c>
      <x:c r="B361" s="87" t="s">
        <x:v>450</x:v>
      </x:c>
      <x:c r="C361" s="87" t="s">
        <x:v>325</x:v>
      </x:c>
      <x:c r="D361" s="89" t="s">
        <x:v>63</x:v>
      </x:c>
      <x:c r="E361" s="87"/>
      <x:c r="F361" s="87"/>
      <x:c r="G361" s="87"/>
      <x:c r="H361" s="87"/>
      <x:c r="I361" s="87"/>
      <x:c r="J361" s="87"/>
      <x:c r="K361" s="87"/>
      <x:c r="L361" s="87"/>
      <x:c r="M361" s="87"/>
      <x:c r="N361" s="146"/>
      <x:c r="O361" s="106"/>
      <x:c r="P361" s="147"/>
      <x:c r="Q361" s="106"/>
      <x:c r="R361" s="106"/>
      <x:c r="S361" s="107">
        <x:f>SUM(E361:R361)</x:f>
      </x:c>
      <x:c r="T361" s="88">
        <x:v>13.6</x:v>
      </x:c>
      <x:c r="U361" s="88">
        <x:v>29.9</x:v>
      </x:c>
      <x:c r="V361" s="108">
        <x:f>S361*T361</x:f>
      </x:c>
    </x:row>
    <x:row r="362" spans="1:31" ht="15" customHeight="1" hidden="1" x14ac:dyDescent="0.3">
      <x:c r="A362" s="87">
        <x:v>743165</x:v>
      </x:c>
      <x:c r="B362" s="87" t="s">
        <x:v>451</x:v>
      </x:c>
      <x:c r="C362" s="87" t="s">
        <x:v>347</x:v>
      </x:c>
      <x:c r="D362" s="89" t="s">
        <x:v>63</x:v>
      </x:c>
      <x:c r="E362" s="87"/>
      <x:c r="F362" s="87"/>
      <x:c r="G362" s="87"/>
      <x:c r="H362" s="87"/>
      <x:c r="I362" s="87"/>
      <x:c r="J362" s="87"/>
      <x:c r="K362" s="87"/>
      <x:c r="L362" s="87"/>
      <x:c r="M362" s="87"/>
      <x:c r="N362" s="146"/>
      <x:c r="O362" s="106"/>
      <x:c r="P362" s="147"/>
      <x:c r="Q362" s="106"/>
      <x:c r="R362" s="106"/>
      <x:c r="S362" s="107">
        <x:f>SUM(E362:R362)</x:f>
      </x:c>
      <x:c r="T362" s="88">
        <x:v>13.6</x:v>
      </x:c>
      <x:c r="U362" s="88">
        <x:v>29.9</x:v>
      </x:c>
      <x:c r="V362" s="108">
        <x:f>S362*T362</x:f>
      </x:c>
    </x:row>
    <x:row r="363" spans="1:31" ht="15" customHeight="1" hidden="1" x14ac:dyDescent="0.3">
      <x:c r="A363" s="87">
        <x:v>743168</x:v>
      </x:c>
      <x:c r="B363" s="87" t="s">
        <x:v>452</x:v>
      </x:c>
      <x:c r="C363" s="87" t="s">
        <x:v>225</x:v>
      </x:c>
      <x:c r="D363" s="89" t="s">
        <x:v>63</x:v>
      </x:c>
      <x:c r="E363" s="87"/>
      <x:c r="F363" s="87"/>
      <x:c r="G363" s="87"/>
      <x:c r="H363" s="87"/>
      <x:c r="I363" s="87"/>
      <x:c r="J363" s="87"/>
      <x:c r="K363" s="87"/>
      <x:c r="L363" s="87"/>
      <x:c r="M363" s="87"/>
      <x:c r="N363" s="146"/>
      <x:c r="O363" s="106"/>
      <x:c r="P363" s="147"/>
      <x:c r="Q363" s="106"/>
      <x:c r="R363" s="106"/>
      <x:c r="S363" s="107">
        <x:f>SUM(E363:R363)</x:f>
      </x:c>
      <x:c r="T363" s="88">
        <x:v>11.8</x:v>
      </x:c>
      <x:c r="U363" s="88">
        <x:v>25.9</x:v>
      </x:c>
      <x:c r="V363" s="108">
        <x:f>S363*T363</x:f>
      </x:c>
    </x:row>
    <x:row r="364" spans="1:31" ht="15" customHeight="1" hidden="1" x14ac:dyDescent="0.3">
      <x:c r="A364" s="87">
        <x:v>743168</x:v>
      </x:c>
      <x:c r="B364" s="87" t="s">
        <x:v>453</x:v>
      </x:c>
      <x:c r="C364" s="87" t="s">
        <x:v>325</x:v>
      </x:c>
      <x:c r="D364" s="89" t="s">
        <x:v>63</x:v>
      </x:c>
      <x:c r="E364" s="87"/>
      <x:c r="F364" s="87"/>
      <x:c r="G364" s="87"/>
      <x:c r="H364" s="87"/>
      <x:c r="I364" s="87"/>
      <x:c r="J364" s="87"/>
      <x:c r="K364" s="87"/>
      <x:c r="L364" s="87"/>
      <x:c r="M364" s="87"/>
      <x:c r="N364" s="146"/>
      <x:c r="O364" s="106"/>
      <x:c r="P364" s="147"/>
      <x:c r="Q364" s="106"/>
      <x:c r="R364" s="106"/>
      <x:c r="S364" s="107">
        <x:f>SUM(E364:R364)</x:f>
      </x:c>
      <x:c r="T364" s="88">
        <x:v>11.8</x:v>
      </x:c>
      <x:c r="U364" s="88">
        <x:v>25.9</x:v>
      </x:c>
      <x:c r="V364" s="108">
        <x:f>S364*T364</x:f>
      </x:c>
    </x:row>
    <x:row r="365" spans="1:31" ht="15" customHeight="1" hidden="1" x14ac:dyDescent="0.3">
      <x:c r="A365" s="87">
        <x:v>743170</x:v>
      </x:c>
      <x:c r="B365" s="87" t="s">
        <x:v>454</x:v>
      </x:c>
      <x:c r="C365" s="87" t="s">
        <x:v>357</x:v>
      </x:c>
      <x:c r="D365" s="89" t="s">
        <x:v>63</x:v>
      </x:c>
      <x:c r="E365" s="87"/>
      <x:c r="F365" s="87"/>
      <x:c r="G365" s="87"/>
      <x:c r="H365" s="87"/>
      <x:c r="I365" s="87"/>
      <x:c r="J365" s="87"/>
      <x:c r="K365" s="87"/>
      <x:c r="L365" s="87"/>
      <x:c r="M365" s="87"/>
      <x:c r="N365" s="146"/>
      <x:c r="O365" s="106"/>
      <x:c r="P365" s="147"/>
      <x:c r="Q365" s="106"/>
      <x:c r="R365" s="106"/>
      <x:c r="S365" s="107">
        <x:f>SUM(E365:R365)</x:f>
      </x:c>
      <x:c r="T365" s="88">
        <x:v>11.8</x:v>
      </x:c>
      <x:c r="U365" s="88">
        <x:v>25.9</x:v>
      </x:c>
      <x:c r="V365" s="108">
        <x:f>S365*T365</x:f>
      </x:c>
    </x:row>
    <x:row r="366" spans="1:31" ht="15" customHeight="1" hidden="1" x14ac:dyDescent="0.3">
      <x:c r="A366" s="87">
        <x:v>743170</x:v>
      </x:c>
      <x:c r="B366" s="87" t="s">
        <x:v>455</x:v>
      </x:c>
      <x:c r="C366" s="87" t="s">
        <x:v>233</x:v>
      </x:c>
      <x:c r="D366" s="89" t="s">
        <x:v>63</x:v>
      </x:c>
      <x:c r="E366" s="87"/>
      <x:c r="F366" s="87"/>
      <x:c r="G366" s="87"/>
      <x:c r="H366" s="87"/>
      <x:c r="I366" s="87"/>
      <x:c r="J366" s="87"/>
      <x:c r="K366" s="87"/>
      <x:c r="L366" s="87"/>
      <x:c r="M366" s="87"/>
      <x:c r="N366" s="146"/>
      <x:c r="O366" s="106"/>
      <x:c r="P366" s="147"/>
      <x:c r="Q366" s="106"/>
      <x:c r="R366" s="106"/>
      <x:c r="S366" s="107">
        <x:f>SUM(E366:R366)</x:f>
      </x:c>
      <x:c r="T366" s="88">
        <x:v>11.8</x:v>
      </x:c>
      <x:c r="U366" s="88">
        <x:v>25.9</x:v>
      </x:c>
      <x:c r="V366" s="108">
        <x:f>S366*T366</x:f>
      </x:c>
    </x:row>
    <x:row r="367" spans="1:31" ht="15" customHeight="1" hidden="1" x14ac:dyDescent="0.3">
      <x:c r="A367" s="87">
        <x:v>743170</x:v>
      </x:c>
      <x:c r="B367" s="87" t="s">
        <x:v>456</x:v>
      </x:c>
      <x:c r="C367" s="87" t="s">
        <x:v>347</x:v>
      </x:c>
      <x:c r="D367" s="89" t="s">
        <x:v>63</x:v>
      </x:c>
      <x:c r="E367" s="87"/>
      <x:c r="F367" s="87"/>
      <x:c r="G367" s="87"/>
      <x:c r="H367" s="87"/>
      <x:c r="I367" s="87"/>
      <x:c r="J367" s="87"/>
      <x:c r="K367" s="87"/>
      <x:c r="L367" s="87"/>
      <x:c r="M367" s="87"/>
      <x:c r="N367" s="146"/>
      <x:c r="O367" s="106"/>
      <x:c r="P367" s="147"/>
      <x:c r="Q367" s="106"/>
      <x:c r="R367" s="106"/>
      <x:c r="S367" s="107">
        <x:f>SUM(E367:R367)</x:f>
      </x:c>
      <x:c r="T367" s="88">
        <x:v>11.8</x:v>
      </x:c>
      <x:c r="U367" s="88">
        <x:v>25.9</x:v>
      </x:c>
      <x:c r="V367" s="108">
        <x:f>S367*T367</x:f>
      </x:c>
    </x:row>
    <x:row r="368" spans="1:31" ht="15" customHeight="1" hidden="1" x14ac:dyDescent="0.3">
      <x:c r="A368" s="87">
        <x:v>743170</x:v>
      </x:c>
      <x:c r="B368" s="87" t="s">
        <x:v>457</x:v>
      </x:c>
      <x:c r="C368" s="87" t="s">
        <x:v>331</x:v>
      </x:c>
      <x:c r="D368" s="89" t="s">
        <x:v>63</x:v>
      </x:c>
      <x:c r="E368" s="87"/>
      <x:c r="F368" s="87"/>
      <x:c r="G368" s="87"/>
      <x:c r="H368" s="87"/>
      <x:c r="I368" s="87"/>
      <x:c r="J368" s="87"/>
      <x:c r="K368" s="87"/>
      <x:c r="L368" s="87"/>
      <x:c r="M368" s="87"/>
      <x:c r="N368" s="146"/>
      <x:c r="O368" s="106"/>
      <x:c r="P368" s="147"/>
      <x:c r="Q368" s="106"/>
      <x:c r="R368" s="106"/>
      <x:c r="S368" s="107">
        <x:f>SUM(E368:R368)</x:f>
      </x:c>
      <x:c r="T368" s="88">
        <x:v>11.8</x:v>
      </x:c>
      <x:c r="U368" s="88">
        <x:v>25.9</x:v>
      </x:c>
      <x:c r="V368" s="108">
        <x:f>S368*T368</x:f>
      </x:c>
    </x:row>
    <x:row r="369" spans="1:31" ht="15" customHeight="1" hidden="1" x14ac:dyDescent="0.3">
      <x:c r="A369" s="87">
        <x:v>743170</x:v>
      </x:c>
      <x:c r="B369" s="87" t="s">
        <x:v>458</x:v>
      </x:c>
      <x:c r="C369" s="87" t="s">
        <x:v>351</x:v>
      </x:c>
      <x:c r="D369" s="89" t="s">
        <x:v>63</x:v>
      </x:c>
      <x:c r="E369" s="87"/>
      <x:c r="F369" s="87"/>
      <x:c r="G369" s="87"/>
      <x:c r="H369" s="87"/>
      <x:c r="I369" s="87"/>
      <x:c r="J369" s="87"/>
      <x:c r="K369" s="87"/>
      <x:c r="L369" s="87"/>
      <x:c r="M369" s="87"/>
      <x:c r="N369" s="146"/>
      <x:c r="O369" s="106"/>
      <x:c r="P369" s="147"/>
      <x:c r="Q369" s="106"/>
      <x:c r="R369" s="106"/>
      <x:c r="S369" s="107">
        <x:f>SUM(E369:R369)</x:f>
      </x:c>
      <x:c r="T369" s="88">
        <x:v>11.8</x:v>
      </x:c>
      <x:c r="U369" s="88">
        <x:v>25.9</x:v>
      </x:c>
      <x:c r="V369" s="108">
        <x:f>S369*T369</x:f>
      </x:c>
    </x:row>
    <x:row r="370" spans="1:31" ht="15" customHeight="1" hidden="1" x14ac:dyDescent="0.3">
      <x:c r="A370" s="87">
        <x:v>743172</x:v>
      </x:c>
      <x:c r="B370" s="87" t="s">
        <x:v>459</x:v>
      </x:c>
      <x:c r="C370" s="87" t="s">
        <x:v>357</x:v>
      </x:c>
      <x:c r="D370" s="89" t="s">
        <x:v>63</x:v>
      </x:c>
      <x:c r="E370" s="87"/>
      <x:c r="F370" s="87"/>
      <x:c r="G370" s="87"/>
      <x:c r="H370" s="87"/>
      <x:c r="I370" s="87"/>
      <x:c r="J370" s="87"/>
      <x:c r="K370" s="87"/>
      <x:c r="L370" s="87"/>
      <x:c r="M370" s="87"/>
      <x:c r="N370" s="146"/>
      <x:c r="O370" s="106"/>
      <x:c r="P370" s="147"/>
      <x:c r="Q370" s="147"/>
      <x:c r="R370" s="147"/>
      <x:c r="S370" s="107">
        <x:f>SUM(E370:R370)</x:f>
      </x:c>
      <x:c r="T370" s="88">
        <x:v>18.2</x:v>
      </x:c>
      <x:c r="U370" s="88">
        <x:v>39.9</x:v>
      </x:c>
      <x:c r="V370" s="108">
        <x:f>S370*T370</x:f>
      </x:c>
    </x:row>
    <x:row r="371" spans="1:31" ht="15" customHeight="1" hidden="1" x14ac:dyDescent="0.3">
      <x:c r="A371" s="87">
        <x:v>743172</x:v>
      </x:c>
      <x:c r="B371" s="87" t="s">
        <x:v>460</x:v>
      </x:c>
      <x:c r="C371" s="87" t="s">
        <x:v>233</x:v>
      </x:c>
      <x:c r="D371" s="89" t="s">
        <x:v>63</x:v>
      </x:c>
      <x:c r="E371" s="87"/>
      <x:c r="F371" s="87"/>
      <x:c r="G371" s="87"/>
      <x:c r="H371" s="87"/>
      <x:c r="I371" s="87"/>
      <x:c r="J371" s="87"/>
      <x:c r="K371" s="87"/>
      <x:c r="L371" s="87"/>
      <x:c r="M371" s="87"/>
      <x:c r="N371" s="146"/>
      <x:c r="O371" s="106"/>
      <x:c r="P371" s="147"/>
      <x:c r="Q371" s="147"/>
      <x:c r="R371" s="147"/>
      <x:c r="S371" s="107">
        <x:f>SUM(E371:R371)</x:f>
      </x:c>
      <x:c r="T371" s="88">
        <x:v>18.2</x:v>
      </x:c>
      <x:c r="U371" s="88">
        <x:v>39.9</x:v>
      </x:c>
      <x:c r="V371" s="108">
        <x:f>S371*T371</x:f>
      </x:c>
    </x:row>
    <x:row r="372" spans="1:31" ht="15" customHeight="1" hidden="1" x14ac:dyDescent="0.3">
      <x:c r="A372" s="87">
        <x:v>743174</x:v>
      </x:c>
      <x:c r="B372" s="87" t="s">
        <x:v>461</x:v>
      </x:c>
      <x:c r="C372" s="87" t="s">
        <x:v>325</x:v>
      </x:c>
      <x:c r="D372" s="89" t="s">
        <x:v>63</x:v>
      </x:c>
      <x:c r="E372" s="87"/>
      <x:c r="F372" s="87"/>
      <x:c r="G372" s="87"/>
      <x:c r="H372" s="87"/>
      <x:c r="I372" s="87"/>
      <x:c r="J372" s="87"/>
      <x:c r="K372" s="87"/>
      <x:c r="L372" s="87"/>
      <x:c r="M372" s="87"/>
      <x:c r="N372" s="87"/>
      <x:c r="O372" s="106"/>
      <x:c r="P372" s="147"/>
      <x:c r="Q372" s="147"/>
      <x:c r="R372" s="147"/>
      <x:c r="S372" s="107">
        <x:f>SUM(E372:R372)</x:f>
      </x:c>
      <x:c r="T372" s="88">
        <x:v>15.5</x:v>
      </x:c>
      <x:c r="U372" s="88">
        <x:v>33.9</x:v>
      </x:c>
      <x:c r="V372" s="108">
        <x:f>S372*T372</x:f>
      </x:c>
    </x:row>
    <x:row r="373" spans="1:31" ht="15" customHeight="1" hidden="1" x14ac:dyDescent="0.3">
      <x:c r="A373" s="87">
        <x:v>743174</x:v>
      </x:c>
      <x:c r="B373" s="87" t="s">
        <x:v>462</x:v>
      </x:c>
      <x:c r="C373" s="87" t="s">
        <x:v>347</x:v>
      </x:c>
      <x:c r="D373" s="89" t="s">
        <x:v>63</x:v>
      </x:c>
      <x:c r="E373" s="87"/>
      <x:c r="F373" s="87"/>
      <x:c r="G373" s="87"/>
      <x:c r="H373" s="87"/>
      <x:c r="I373" s="87"/>
      <x:c r="J373" s="87"/>
      <x:c r="K373" s="87"/>
      <x:c r="L373" s="87"/>
      <x:c r="M373" s="87"/>
      <x:c r="N373" s="87"/>
      <x:c r="O373" s="106"/>
      <x:c r="P373" s="147"/>
      <x:c r="Q373" s="147"/>
      <x:c r="R373" s="147"/>
      <x:c r="S373" s="107">
        <x:f>SUM(E373:R373)</x:f>
      </x:c>
      <x:c r="T373" s="88">
        <x:v>15.5</x:v>
      </x:c>
      <x:c r="U373" s="88">
        <x:v>33.9</x:v>
      </x:c>
      <x:c r="V373" s="108">
        <x:f>S373*T373</x:f>
      </x:c>
    </x:row>
    <x:row r="374" spans="1:31" ht="15" customHeight="1" hidden="1" x14ac:dyDescent="0.3">
      <x:c r="A374" s="87">
        <x:v>743176</x:v>
      </x:c>
      <x:c r="B374" s="87" t="s">
        <x:v>463</x:v>
      </x:c>
      <x:c r="C374" s="87" t="s">
        <x:v>233</x:v>
      </x:c>
      <x:c r="D374" s="89" t="s">
        <x:v>63</x:v>
      </x:c>
      <x:c r="E374" s="87"/>
      <x:c r="F374" s="87"/>
      <x:c r="G374" s="87"/>
      <x:c r="H374" s="87"/>
      <x:c r="I374" s="87"/>
      <x:c r="J374" s="87"/>
      <x:c r="K374" s="87"/>
      <x:c r="L374" s="87"/>
      <x:c r="M374" s="87"/>
      <x:c r="N374" s="146"/>
      <x:c r="O374" s="106"/>
      <x:c r="P374" s="147"/>
      <x:c r="Q374" s="106"/>
      <x:c r="R374" s="106"/>
      <x:c r="S374" s="107">
        <x:f>SUM(E374:R374)</x:f>
      </x:c>
      <x:c r="T374" s="88">
        <x:v>10.9</x:v>
      </x:c>
      <x:c r="U374" s="88">
        <x:v>23.9</x:v>
      </x:c>
      <x:c r="V374" s="108">
        <x:f>S374*T374</x:f>
      </x:c>
    </x:row>
    <x:row r="375" spans="1:31" ht="15" customHeight="1" hidden="1" x14ac:dyDescent="0.3">
      <x:c r="A375" s="87">
        <x:v>743176</x:v>
      </x:c>
      <x:c r="B375" s="87" t="s">
        <x:v>464</x:v>
      </x:c>
      <x:c r="C375" s="87" t="s">
        <x:v>325</x:v>
      </x:c>
      <x:c r="D375" s="89" t="s">
        <x:v>63</x:v>
      </x:c>
      <x:c r="E375" s="87"/>
      <x:c r="F375" s="87"/>
      <x:c r="G375" s="87"/>
      <x:c r="H375" s="87"/>
      <x:c r="I375" s="87"/>
      <x:c r="J375" s="87"/>
      <x:c r="K375" s="87"/>
      <x:c r="L375" s="87"/>
      <x:c r="M375" s="87"/>
      <x:c r="N375" s="146"/>
      <x:c r="O375" s="106"/>
      <x:c r="P375" s="147"/>
      <x:c r="Q375" s="106"/>
      <x:c r="R375" s="106"/>
      <x:c r="S375" s="107">
        <x:f>SUM(E375:R375)</x:f>
      </x:c>
      <x:c r="T375" s="88">
        <x:v>10.9</x:v>
      </x:c>
      <x:c r="U375" s="88">
        <x:v>23.9</x:v>
      </x:c>
      <x:c r="V375" s="108">
        <x:f>S375*T375</x:f>
      </x:c>
    </x:row>
    <x:row r="376" spans="1:31" ht="15" customHeight="1" hidden="1" x14ac:dyDescent="0.3">
      <x:c r="A376" s="87">
        <x:v>743176</x:v>
      </x:c>
      <x:c r="B376" s="87" t="s">
        <x:v>465</x:v>
      </x:c>
      <x:c r="C376" s="87" t="s">
        <x:v>347</x:v>
      </x:c>
      <x:c r="D376" s="89" t="s">
        <x:v>63</x:v>
      </x:c>
      <x:c r="E376" s="87"/>
      <x:c r="F376" s="87"/>
      <x:c r="G376" s="87"/>
      <x:c r="H376" s="87"/>
      <x:c r="I376" s="87"/>
      <x:c r="J376" s="87"/>
      <x:c r="K376" s="87"/>
      <x:c r="L376" s="87"/>
      <x:c r="M376" s="87"/>
      <x:c r="N376" s="146"/>
      <x:c r="O376" s="106"/>
      <x:c r="P376" s="147"/>
      <x:c r="Q376" s="106"/>
      <x:c r="R376" s="106"/>
      <x:c r="S376" s="107">
        <x:f>SUM(E376:R376)</x:f>
      </x:c>
      <x:c r="T376" s="88">
        <x:v>10.9</x:v>
      </x:c>
      <x:c r="U376" s="88">
        <x:v>23.9</x:v>
      </x:c>
      <x:c r="V376" s="108">
        <x:f>S376*T376</x:f>
      </x:c>
    </x:row>
    <x:row r="377" spans="1:31" ht="15" customHeight="1" hidden="1" x14ac:dyDescent="0.3">
      <x:c r="A377" s="87">
        <x:v>743177</x:v>
      </x:c>
      <x:c r="B377" s="87" t="s">
        <x:v>466</x:v>
      </x:c>
      <x:c r="C377" s="87" t="s">
        <x:v>342</x:v>
      </x:c>
      <x:c r="D377" s="89" t="s">
        <x:v>63</x:v>
      </x:c>
      <x:c r="E377" s="87"/>
      <x:c r="F377" s="87"/>
      <x:c r="G377" s="87"/>
      <x:c r="H377" s="87"/>
      <x:c r="I377" s="87"/>
      <x:c r="J377" s="87"/>
      <x:c r="K377" s="87"/>
      <x:c r="L377" s="87"/>
      <x:c r="M377" s="87"/>
      <x:c r="N377" s="146"/>
      <x:c r="O377" s="106"/>
      <x:c r="P377" s="147"/>
      <x:c r="Q377" s="106"/>
      <x:c r="R377" s="106"/>
      <x:c r="S377" s="107">
        <x:f>SUM(E377:R377)</x:f>
      </x:c>
      <x:c r="T377" s="88">
        <x:v>11.8</x:v>
      </x:c>
      <x:c r="U377" s="88">
        <x:v>25.9</x:v>
      </x:c>
      <x:c r="V377" s="108">
        <x:f>S377*T377</x:f>
      </x:c>
    </x:row>
    <x:row r="378" spans="1:31" ht="15" customHeight="1" hidden="1" x14ac:dyDescent="0.3">
      <x:c r="A378" s="87">
        <x:v>743177</x:v>
      </x:c>
      <x:c r="B378" s="87" t="s">
        <x:v>467</x:v>
      </x:c>
      <x:c r="C378" s="87" t="s">
        <x:v>286</x:v>
      </x:c>
      <x:c r="D378" s="89" t="s">
        <x:v>63</x:v>
      </x:c>
      <x:c r="E378" s="87"/>
      <x:c r="F378" s="87"/>
      <x:c r="G378" s="87"/>
      <x:c r="H378" s="87"/>
      <x:c r="I378" s="87"/>
      <x:c r="J378" s="87"/>
      <x:c r="K378" s="87"/>
      <x:c r="L378" s="87"/>
      <x:c r="M378" s="87"/>
      <x:c r="N378" s="146"/>
      <x:c r="O378" s="106"/>
      <x:c r="P378" s="147"/>
      <x:c r="Q378" s="106"/>
      <x:c r="R378" s="106"/>
      <x:c r="S378" s="107">
        <x:f>SUM(E378:R378)</x:f>
      </x:c>
      <x:c r="T378" s="88">
        <x:v>11.8</x:v>
      </x:c>
      <x:c r="U378" s="88">
        <x:v>25.9</x:v>
      </x:c>
      <x:c r="V378" s="108">
        <x:f>S378*T378</x:f>
      </x:c>
    </x:row>
    <x:row r="379" spans="1:31" ht="15" customHeight="1" hidden="1" x14ac:dyDescent="0.3">
      <x:c r="A379" s="87">
        <x:v>743177</x:v>
      </x:c>
      <x:c r="B379" s="87" t="s">
        <x:v>468</x:v>
      </x:c>
      <x:c r="C379" s="87" t="s">
        <x:v>223</x:v>
      </x:c>
      <x:c r="D379" s="89" t="s">
        <x:v>63</x:v>
      </x:c>
      <x:c r="E379" s="87"/>
      <x:c r="F379" s="87"/>
      <x:c r="G379" s="87"/>
      <x:c r="H379" s="87"/>
      <x:c r="I379" s="87"/>
      <x:c r="J379" s="87"/>
      <x:c r="K379" s="87"/>
      <x:c r="L379" s="87"/>
      <x:c r="M379" s="87"/>
      <x:c r="N379" s="146"/>
      <x:c r="O379" s="106"/>
      <x:c r="P379" s="147"/>
      <x:c r="Q379" s="106"/>
      <x:c r="R379" s="106"/>
      <x:c r="S379" s="107">
        <x:f>SUM(E379:R379)</x:f>
      </x:c>
      <x:c r="T379" s="88">
        <x:v>11.8</x:v>
      </x:c>
      <x:c r="U379" s="88">
        <x:v>25.9</x:v>
      </x:c>
      <x:c r="V379" s="108">
        <x:f>S379*T379</x:f>
      </x:c>
    </x:row>
    <x:row r="380" spans="1:31" ht="15" customHeight="1" hidden="1" x14ac:dyDescent="0.3">
      <x:c r="A380" s="87">
        <x:v>743177</x:v>
      </x:c>
      <x:c r="B380" s="87" t="s">
        <x:v>469</x:v>
      </x:c>
      <x:c r="C380" s="87" t="s">
        <x:v>331</x:v>
      </x:c>
      <x:c r="D380" s="89" t="s">
        <x:v>63</x:v>
      </x:c>
      <x:c r="E380" s="87"/>
      <x:c r="F380" s="87"/>
      <x:c r="G380" s="87"/>
      <x:c r="H380" s="87"/>
      <x:c r="I380" s="87"/>
      <x:c r="J380" s="87"/>
      <x:c r="K380" s="87"/>
      <x:c r="L380" s="87"/>
      <x:c r="M380" s="87"/>
      <x:c r="N380" s="146"/>
      <x:c r="O380" s="106"/>
      <x:c r="P380" s="147"/>
      <x:c r="Q380" s="106"/>
      <x:c r="R380" s="106"/>
      <x:c r="S380" s="107">
        <x:f>SUM(E380:R380)</x:f>
      </x:c>
      <x:c r="T380" s="88">
        <x:v>11.8</x:v>
      </x:c>
      <x:c r="U380" s="88">
        <x:v>25.9</x:v>
      </x:c>
      <x:c r="V380" s="108">
        <x:f>S380*T380</x:f>
      </x:c>
    </x:row>
    <x:row r="381" spans="1:31" ht="15" customHeight="1" hidden="1" x14ac:dyDescent="0.3">
      <x:c r="A381" s="87">
        <x:v>743177</x:v>
      </x:c>
      <x:c r="B381" s="87" t="s">
        <x:v>470</x:v>
      </x:c>
      <x:c r="C381" s="87" t="s">
        <x:v>353</x:v>
      </x:c>
      <x:c r="D381" s="89" t="s">
        <x:v>63</x:v>
      </x:c>
      <x:c r="E381" s="87"/>
      <x:c r="F381" s="87"/>
      <x:c r="G381" s="87"/>
      <x:c r="H381" s="87"/>
      <x:c r="I381" s="87"/>
      <x:c r="J381" s="87"/>
      <x:c r="K381" s="87"/>
      <x:c r="L381" s="87"/>
      <x:c r="M381" s="87"/>
      <x:c r="N381" s="146"/>
      <x:c r="O381" s="106"/>
      <x:c r="P381" s="147"/>
      <x:c r="Q381" s="106"/>
      <x:c r="R381" s="106"/>
      <x:c r="S381" s="107">
        <x:f>SUM(E381:R381)</x:f>
      </x:c>
      <x:c r="T381" s="88">
        <x:v>11.8</x:v>
      </x:c>
      <x:c r="U381" s="88">
        <x:v>25.9</x:v>
      </x:c>
      <x:c r="V381" s="108">
        <x:f>S381*T381</x:f>
      </x:c>
    </x:row>
    <x:row r="382" spans="1:31" ht="15" customHeight="1" hidden="1" x14ac:dyDescent="0.3">
      <x:c r="A382" s="87">
        <x:v>743179</x:v>
      </x:c>
      <x:c r="B382" s="87" t="s">
        <x:v>471</x:v>
      </x:c>
      <x:c r="C382" s="87" t="s">
        <x:v>323</x:v>
      </x:c>
      <x:c r="D382" s="89" t="s">
        <x:v>63</x:v>
      </x:c>
      <x:c r="E382" s="87"/>
      <x:c r="F382" s="87"/>
      <x:c r="G382" s="87"/>
      <x:c r="H382" s="87"/>
      <x:c r="I382" s="87"/>
      <x:c r="J382" s="87"/>
      <x:c r="K382" s="87"/>
      <x:c r="L382" s="87"/>
      <x:c r="M382" s="87"/>
      <x:c r="N382" s="87"/>
      <x:c r="O382" s="106"/>
      <x:c r="P382" s="147"/>
      <x:c r="Q382" s="106"/>
      <x:c r="R382" s="106"/>
      <x:c r="S382" s="107">
        <x:f>SUM(E382:R382)</x:f>
      </x:c>
      <x:c r="T382" s="88">
        <x:v>15.5</x:v>
      </x:c>
      <x:c r="U382" s="88">
        <x:v>33.9</x:v>
      </x:c>
      <x:c r="V382" s="108">
        <x:f>S382*T382</x:f>
      </x:c>
    </x:row>
    <x:row r="383" spans="1:31" ht="15" customHeight="1" hidden="1" x14ac:dyDescent="0.3">
      <x:c r="A383" s="87">
        <x:v>743179</x:v>
      </x:c>
      <x:c r="B383" s="87" t="s">
        <x:v>472</x:v>
      </x:c>
      <x:c r="C383" s="87" t="s">
        <x:v>351</x:v>
      </x:c>
      <x:c r="D383" s="89" t="s">
        <x:v>63</x:v>
      </x:c>
      <x:c r="E383" s="87"/>
      <x:c r="F383" s="87"/>
      <x:c r="G383" s="87"/>
      <x:c r="H383" s="87"/>
      <x:c r="I383" s="87"/>
      <x:c r="J383" s="87"/>
      <x:c r="K383" s="87"/>
      <x:c r="L383" s="87"/>
      <x:c r="M383" s="87"/>
      <x:c r="N383" s="87"/>
      <x:c r="O383" s="106"/>
      <x:c r="P383" s="147"/>
      <x:c r="Q383" s="106"/>
      <x:c r="R383" s="106"/>
      <x:c r="S383" s="107">
        <x:f>SUM(E383:R383)</x:f>
      </x:c>
      <x:c r="T383" s="88">
        <x:v>15.5</x:v>
      </x:c>
      <x:c r="U383" s="88">
        <x:v>33.9</x:v>
      </x:c>
      <x:c r="V383" s="108">
        <x:f>S383*T383</x:f>
      </x:c>
    </x:row>
    <x:row r="384" spans="1:31" ht="15" customHeight="1" hidden="1" x14ac:dyDescent="0.3">
      <x:c r="A384" s="87">
        <x:v>743183</x:v>
      </x:c>
      <x:c r="B384" s="87" t="s">
        <x:v>473</x:v>
      </x:c>
      <x:c r="C384" s="87" t="s">
        <x:v>334</x:v>
      </x:c>
      <x:c r="D384" s="89" t="s">
        <x:v>63</x:v>
      </x:c>
      <x:c r="E384" s="87"/>
      <x:c r="F384" s="87"/>
      <x:c r="G384" s="87"/>
      <x:c r="H384" s="87"/>
      <x:c r="I384" s="87"/>
      <x:c r="J384" s="87"/>
      <x:c r="K384" s="87"/>
      <x:c r="L384" s="87"/>
      <x:c r="M384" s="87"/>
      <x:c r="N384" s="146"/>
      <x:c r="O384" s="106"/>
      <x:c r="P384" s="147"/>
      <x:c r="Q384" s="106"/>
      <x:c r="R384" s="106"/>
      <x:c r="S384" s="107">
        <x:f>SUM(E384:R384)</x:f>
      </x:c>
      <x:c r="T384" s="88">
        <x:v>12.3</x:v>
      </x:c>
      <x:c r="U384" s="88">
        <x:v>26.9</x:v>
      </x:c>
      <x:c r="V384" s="108">
        <x:f>S384*T384</x:f>
      </x:c>
    </x:row>
    <x:row r="385" spans="1:31" ht="15" customHeight="1" hidden="1" x14ac:dyDescent="0.3">
      <x:c r="A385" s="87">
        <x:v>743183</x:v>
      </x:c>
      <x:c r="B385" s="87" t="s">
        <x:v>474</x:v>
      </x:c>
      <x:c r="C385" s="87" t="s">
        <x:v>323</x:v>
      </x:c>
      <x:c r="D385" s="89" t="s">
        <x:v>63</x:v>
      </x:c>
      <x:c r="E385" s="87"/>
      <x:c r="F385" s="87"/>
      <x:c r="G385" s="87"/>
      <x:c r="H385" s="87"/>
      <x:c r="I385" s="87"/>
      <x:c r="J385" s="87"/>
      <x:c r="K385" s="87"/>
      <x:c r="L385" s="87"/>
      <x:c r="M385" s="87"/>
      <x:c r="N385" s="146"/>
      <x:c r="O385" s="106"/>
      <x:c r="P385" s="147"/>
      <x:c r="Q385" s="106"/>
      <x:c r="R385" s="106"/>
      <x:c r="S385" s="107">
        <x:f>SUM(E385:R385)</x:f>
      </x:c>
      <x:c r="T385" s="88">
        <x:v>12.3</x:v>
      </x:c>
      <x:c r="U385" s="88">
        <x:v>26.9</x:v>
      </x:c>
      <x:c r="V385" s="108">
        <x:f>S385*T385</x:f>
      </x:c>
    </x:row>
    <x:row r="386" spans="1:31" ht="15" customHeight="1" hidden="1" x14ac:dyDescent="0.3">
      <x:c r="A386" s="87">
        <x:v>743183</x:v>
      </x:c>
      <x:c r="B386" s="87" t="s">
        <x:v>475</x:v>
      </x:c>
      <x:c r="C386" s="87" t="s">
        <x:v>331</x:v>
      </x:c>
      <x:c r="D386" s="89" t="s">
        <x:v>63</x:v>
      </x:c>
      <x:c r="E386" s="87"/>
      <x:c r="F386" s="87"/>
      <x:c r="G386" s="87"/>
      <x:c r="H386" s="87"/>
      <x:c r="I386" s="87"/>
      <x:c r="J386" s="87"/>
      <x:c r="K386" s="87"/>
      <x:c r="L386" s="87"/>
      <x:c r="M386" s="87"/>
      <x:c r="N386" s="146"/>
      <x:c r="O386" s="106"/>
      <x:c r="P386" s="147"/>
      <x:c r="Q386" s="106"/>
      <x:c r="R386" s="106"/>
      <x:c r="S386" s="107">
        <x:f>SUM(E386:R386)</x:f>
      </x:c>
      <x:c r="T386" s="88">
        <x:v>12.3</x:v>
      </x:c>
      <x:c r="U386" s="88">
        <x:v>26.9</x:v>
      </x:c>
      <x:c r="V386" s="108">
        <x:f>S386*T386</x:f>
      </x:c>
    </x:row>
    <x:row r="387" spans="1:31" ht="15" customHeight="1" hidden="1" x14ac:dyDescent="0.3">
      <x:c r="A387" s="87">
        <x:v>743185</x:v>
      </x:c>
      <x:c r="B387" s="87" t="s">
        <x:v>476</x:v>
      </x:c>
      <x:c r="C387" s="87" t="s">
        <x:v>336</x:v>
      </x:c>
      <x:c r="D387" s="89" t="s">
        <x:v>63</x:v>
      </x:c>
      <x:c r="E387" s="87"/>
      <x:c r="F387" s="87"/>
      <x:c r="G387" s="87"/>
      <x:c r="H387" s="87"/>
      <x:c r="I387" s="87"/>
      <x:c r="J387" s="87"/>
      <x:c r="K387" s="87"/>
      <x:c r="L387" s="87"/>
      <x:c r="M387" s="87"/>
      <x:c r="N387" s="146"/>
      <x:c r="O387" s="106"/>
      <x:c r="P387" s="147"/>
      <x:c r="Q387" s="106"/>
      <x:c r="R387" s="106"/>
      <x:c r="S387" s="107">
        <x:f>SUM(E387:R387)</x:f>
      </x:c>
      <x:c r="T387" s="88">
        <x:v>10.9</x:v>
      </x:c>
      <x:c r="U387" s="88">
        <x:v>23.9</x:v>
      </x:c>
      <x:c r="V387" s="108">
        <x:f>S387*T387</x:f>
      </x:c>
    </x:row>
    <x:row r="388" spans="1:31" ht="15" customHeight="1" hidden="1" x14ac:dyDescent="0.3">
      <x:c r="A388" s="87">
        <x:v>743185</x:v>
      </x:c>
      <x:c r="B388" s="87" t="s">
        <x:v>477</x:v>
      </x:c>
      <x:c r="C388" s="87" t="s">
        <x:v>331</x:v>
      </x:c>
      <x:c r="D388" s="89" t="s">
        <x:v>63</x:v>
      </x:c>
      <x:c r="E388" s="87"/>
      <x:c r="F388" s="87"/>
      <x:c r="G388" s="87"/>
      <x:c r="H388" s="87"/>
      <x:c r="I388" s="87"/>
      <x:c r="J388" s="87"/>
      <x:c r="K388" s="87"/>
      <x:c r="L388" s="87"/>
      <x:c r="M388" s="87"/>
      <x:c r="N388" s="146"/>
      <x:c r="O388" s="106"/>
      <x:c r="P388" s="147"/>
      <x:c r="Q388" s="106"/>
      <x:c r="R388" s="106"/>
      <x:c r="S388" s="107">
        <x:f>SUM(E388:R388)</x:f>
      </x:c>
      <x:c r="T388" s="88">
        <x:v>10.9</x:v>
      </x:c>
      <x:c r="U388" s="88">
        <x:v>23.9</x:v>
      </x:c>
      <x:c r="V388" s="108">
        <x:f>S388*T388</x:f>
      </x:c>
    </x:row>
    <x:row r="389" spans="1:31" ht="15" customHeight="1" hidden="1" x14ac:dyDescent="0.3">
      <x:c r="A389" s="87">
        <x:v>743185</x:v>
      </x:c>
      <x:c r="B389" s="87" t="s">
        <x:v>478</x:v>
      </x:c>
      <x:c r="C389" s="87" t="s">
        <x:v>351</x:v>
      </x:c>
      <x:c r="D389" s="89" t="s">
        <x:v>63</x:v>
      </x:c>
      <x:c r="E389" s="87"/>
      <x:c r="F389" s="87"/>
      <x:c r="G389" s="87"/>
      <x:c r="H389" s="87"/>
      <x:c r="I389" s="87"/>
      <x:c r="J389" s="87"/>
      <x:c r="K389" s="87"/>
      <x:c r="L389" s="87"/>
      <x:c r="M389" s="87"/>
      <x:c r="N389" s="146"/>
      <x:c r="O389" s="106"/>
      <x:c r="P389" s="147"/>
      <x:c r="Q389" s="106"/>
      <x:c r="R389" s="106"/>
      <x:c r="S389" s="107">
        <x:f>SUM(E389:R389)</x:f>
      </x:c>
      <x:c r="T389" s="88">
        <x:v>10.9</x:v>
      </x:c>
      <x:c r="U389" s="88">
        <x:v>23.9</x:v>
      </x:c>
      <x:c r="V389" s="108">
        <x:f>S389*T389</x:f>
      </x:c>
    </x:row>
    <x:row r="390" spans="1:31" ht="15" customHeight="1" hidden="1" x14ac:dyDescent="0.3">
      <x:c r="A390" s="87">
        <x:v>743187</x:v>
      </x:c>
      <x:c r="B390" s="87" t="s">
        <x:v>479</x:v>
      </x:c>
      <x:c r="C390" s="87" t="s">
        <x:v>323</x:v>
      </x:c>
      <x:c r="D390" s="89" t="s">
        <x:v>90</x:v>
      </x:c>
      <x:c r="E390" s="146"/>
      <x:c r="F390" s="146"/>
      <x:c r="G390" s="87"/>
      <x:c r="H390" s="87"/>
      <x:c r="I390" s="87"/>
      <x:c r="J390" s="146"/>
      <x:c r="K390" s="146"/>
      <x:c r="L390" s="146"/>
      <x:c r="M390" s="146"/>
      <x:c r="N390" s="146"/>
      <x:c r="O390" s="147"/>
      <x:c r="P390" s="147"/>
      <x:c r="Q390" s="147"/>
      <x:c r="R390" s="147"/>
      <x:c r="S390" s="107">
        <x:f>SUM(E390:R390)</x:f>
      </x:c>
      <x:c r="T390" s="88">
        <x:v>10.9</x:v>
      </x:c>
      <x:c r="U390" s="88">
        <x:v>23.9</x:v>
      </x:c>
      <x:c r="V390" s="108">
        <x:f>S390*T390</x:f>
      </x:c>
    </x:row>
    <x:row r="391" spans="1:31" ht="15" customHeight="1" hidden="1" x14ac:dyDescent="0.3">
      <x:c r="A391" s="87">
        <x:v>743187</x:v>
      </x:c>
      <x:c r="B391" s="87" t="s">
        <x:v>480</x:v>
      </x:c>
      <x:c r="C391" s="87" t="s">
        <x:v>325</x:v>
      </x:c>
      <x:c r="D391" s="89" t="s">
        <x:v>90</x:v>
      </x:c>
      <x:c r="E391" s="146"/>
      <x:c r="F391" s="146"/>
      <x:c r="G391" s="87"/>
      <x:c r="H391" s="87"/>
      <x:c r="I391" s="87"/>
      <x:c r="J391" s="146"/>
      <x:c r="K391" s="146"/>
      <x:c r="L391" s="146"/>
      <x:c r="M391" s="146"/>
      <x:c r="N391" s="146"/>
      <x:c r="O391" s="147"/>
      <x:c r="P391" s="147"/>
      <x:c r="Q391" s="147"/>
      <x:c r="R391" s="147"/>
      <x:c r="S391" s="107">
        <x:f>SUM(E391:R391)</x:f>
      </x:c>
      <x:c r="T391" s="88">
        <x:v>10.9</x:v>
      </x:c>
      <x:c r="U391" s="88">
        <x:v>23.9</x:v>
      </x:c>
      <x:c r="V391" s="108">
        <x:f>S391*T391</x:f>
      </x:c>
    </x:row>
    <x:row r="392" spans="1:31" ht="15" customHeight="1" hidden="1" x14ac:dyDescent="0.3">
      <x:c r="A392" s="87">
        <x:v>743188</x:v>
      </x:c>
      <x:c r="B392" s="87" t="s">
        <x:v>481</x:v>
      </x:c>
      <x:c r="C392" s="87" t="s">
        <x:v>323</x:v>
      </x:c>
      <x:c r="D392" s="89" t="s">
        <x:v>90</x:v>
      </x:c>
      <x:c r="E392" s="146"/>
      <x:c r="F392" s="146"/>
      <x:c r="G392" s="87"/>
      <x:c r="H392" s="87"/>
      <x:c r="I392" s="87"/>
      <x:c r="J392" s="146"/>
      <x:c r="K392" s="146"/>
      <x:c r="L392" s="146"/>
      <x:c r="M392" s="146"/>
      <x:c r="N392" s="146"/>
      <x:c r="O392" s="147"/>
      <x:c r="P392" s="147"/>
      <x:c r="Q392" s="147"/>
      <x:c r="R392" s="147"/>
      <x:c r="S392" s="107">
        <x:f>SUM(E392:R392)</x:f>
      </x:c>
      <x:c r="T392" s="88">
        <x:v>10.9</x:v>
      </x:c>
      <x:c r="U392" s="88">
        <x:v>23.9</x:v>
      </x:c>
      <x:c r="V392" s="108">
        <x:f>S392*T392</x:f>
      </x:c>
    </x:row>
    <x:row r="393" spans="1:31" ht="15" customHeight="1" hidden="1" x14ac:dyDescent="0.3">
      <x:c r="A393" s="87">
        <x:v>743188</x:v>
      </x:c>
      <x:c r="B393" s="87" t="s">
        <x:v>482</x:v>
      </x:c>
      <x:c r="C393" s="87" t="s">
        <x:v>347</x:v>
      </x:c>
      <x:c r="D393" s="89" t="s">
        <x:v>90</x:v>
      </x:c>
      <x:c r="E393" s="146"/>
      <x:c r="F393" s="146"/>
      <x:c r="G393" s="87"/>
      <x:c r="H393" s="87"/>
      <x:c r="I393" s="87"/>
      <x:c r="J393" s="146"/>
      <x:c r="K393" s="146"/>
      <x:c r="L393" s="146"/>
      <x:c r="M393" s="146"/>
      <x:c r="N393" s="146"/>
      <x:c r="O393" s="147"/>
      <x:c r="P393" s="147"/>
      <x:c r="Q393" s="147"/>
      <x:c r="R393" s="147"/>
      <x:c r="S393" s="107">
        <x:f>SUM(E393:R393)</x:f>
      </x:c>
      <x:c r="T393" s="88">
        <x:v>10.9</x:v>
      </x:c>
      <x:c r="U393" s="88">
        <x:v>23.9</x:v>
      </x:c>
      <x:c r="V393" s="108">
        <x:f>S393*T393</x:f>
      </x:c>
    </x:row>
    <x:row r="394" spans="1:31" ht="15" customHeight="1" hidden="1" x14ac:dyDescent="0.3">
      <x:c r="A394" s="87">
        <x:v>743189</x:v>
      </x:c>
      <x:c r="B394" s="87" t="s">
        <x:v>483</x:v>
      </x:c>
      <x:c r="C394" s="87" t="s">
        <x:v>225</x:v>
      </x:c>
      <x:c r="D394" s="89" t="s">
        <x:v>90</x:v>
      </x:c>
      <x:c r="E394" s="146"/>
      <x:c r="F394" s="146"/>
      <x:c r="G394" s="87"/>
      <x:c r="H394" s="87"/>
      <x:c r="I394" s="87"/>
      <x:c r="J394" s="146"/>
      <x:c r="K394" s="146"/>
      <x:c r="L394" s="146"/>
      <x:c r="M394" s="146"/>
      <x:c r="N394" s="146"/>
      <x:c r="O394" s="147"/>
      <x:c r="P394" s="147"/>
      <x:c r="Q394" s="147"/>
      <x:c r="R394" s="147"/>
      <x:c r="S394" s="107">
        <x:f>SUM(E394:R394)</x:f>
      </x:c>
      <x:c r="T394" s="88">
        <x:v>10.9</x:v>
      </x:c>
      <x:c r="U394" s="88">
        <x:v>23.9</x:v>
      </x:c>
      <x:c r="V394" s="108">
        <x:f>S394*T394</x:f>
      </x:c>
    </x:row>
    <x:row r="395" spans="1:31" ht="15" customHeight="1" hidden="1" x14ac:dyDescent="0.3">
      <x:c r="A395" s="87">
        <x:v>743189</x:v>
      </x:c>
      <x:c r="B395" s="87" t="s">
        <x:v>484</x:v>
      </x:c>
      <x:c r="C395" s="87" t="s">
        <x:v>351</x:v>
      </x:c>
      <x:c r="D395" s="89" t="s">
        <x:v>90</x:v>
      </x:c>
      <x:c r="E395" s="146"/>
      <x:c r="F395" s="146"/>
      <x:c r="G395" s="87"/>
      <x:c r="H395" s="87"/>
      <x:c r="I395" s="87"/>
      <x:c r="J395" s="146"/>
      <x:c r="K395" s="146"/>
      <x:c r="L395" s="146"/>
      <x:c r="M395" s="146"/>
      <x:c r="N395" s="146"/>
      <x:c r="O395" s="147"/>
      <x:c r="P395" s="147"/>
      <x:c r="Q395" s="147"/>
      <x:c r="R395" s="147"/>
      <x:c r="S395" s="107">
        <x:f>SUM(E395:R395)</x:f>
      </x:c>
      <x:c r="T395" s="88">
        <x:v>10.9</x:v>
      </x:c>
      <x:c r="U395" s="88">
        <x:v>23.9</x:v>
      </x:c>
      <x:c r="V395" s="108">
        <x:f>S395*T395</x:f>
      </x:c>
    </x:row>
    <x:row r="396" spans="1:31" ht="15" customHeight="1" hidden="1" x14ac:dyDescent="0.3">
      <x:c r="A396" s="87">
        <x:v>760401</x:v>
      </x:c>
      <x:c r="B396" s="87" t="s">
        <x:v>485</x:v>
      </x:c>
      <x:c r="C396" s="87" t="s">
        <x:v>187</x:v>
      </x:c>
      <x:c r="D396" s="89" t="s">
        <x:v>33</x:v>
      </x:c>
      <x:c r="E396" s="87"/>
      <x:c r="F396" s="87"/>
      <x:c r="G396" s="87"/>
      <x:c r="H396" s="87"/>
      <x:c r="I396" s="87"/>
      <x:c r="J396" s="87"/>
      <x:c r="K396" s="87"/>
      <x:c r="L396" s="87"/>
      <x:c r="M396" s="87"/>
      <x:c r="N396" s="87"/>
      <x:c r="O396" s="147"/>
      <x:c r="P396" s="147"/>
      <x:c r="Q396" s="147"/>
      <x:c r="R396" s="147"/>
      <x:c r="S396" s="107">
        <x:f>SUM(E396:R396)</x:f>
      </x:c>
      <x:c r="T396" s="88">
        <x:v>10.9</x:v>
      </x:c>
      <x:c r="U396" s="88">
        <x:v>23.9</x:v>
      </x:c>
      <x:c r="V396" s="108">
        <x:f>S396*T396</x:f>
      </x:c>
    </x:row>
    <x:row r="397" spans="1:31" ht="15" customHeight="1" hidden="1" x14ac:dyDescent="0.3">
      <x:c r="A397" s="87">
        <x:v>760401</x:v>
      </x:c>
      <x:c r="B397" s="87" t="s">
        <x:v>486</x:v>
      </x:c>
      <x:c r="C397" s="87" t="s">
        <x:v>191</x:v>
      </x:c>
      <x:c r="D397" s="89" t="s">
        <x:v>33</x:v>
      </x:c>
      <x:c r="E397" s="87"/>
      <x:c r="F397" s="87"/>
      <x:c r="G397" s="87"/>
      <x:c r="H397" s="87"/>
      <x:c r="I397" s="87"/>
      <x:c r="J397" s="87"/>
      <x:c r="K397" s="87"/>
      <x:c r="L397" s="87"/>
      <x:c r="M397" s="87"/>
      <x:c r="N397" s="87"/>
      <x:c r="O397" s="147"/>
      <x:c r="P397" s="147"/>
      <x:c r="Q397" s="147"/>
      <x:c r="R397" s="147"/>
      <x:c r="S397" s="107">
        <x:f>SUM(E397:R397)</x:f>
      </x:c>
      <x:c r="T397" s="88">
        <x:v>10.9</x:v>
      </x:c>
      <x:c r="U397" s="88">
        <x:v>23.9</x:v>
      </x:c>
      <x:c r="V397" s="108">
        <x:f>S397*T397</x:f>
      </x:c>
    </x:row>
    <x:row r="398" spans="1:31" ht="15" customHeight="1" hidden="1" x14ac:dyDescent="0.3">
      <x:c r="A398" s="87">
        <x:v>760401</x:v>
      </x:c>
      <x:c r="B398" s="87" t="s">
        <x:v>487</x:v>
      </x:c>
      <x:c r="C398" s="87" t="s">
        <x:v>195</x:v>
      </x:c>
      <x:c r="D398" s="89" t="s">
        <x:v>33</x:v>
      </x:c>
      <x:c r="E398" s="87"/>
      <x:c r="F398" s="87"/>
      <x:c r="G398" s="87"/>
      <x:c r="H398" s="87"/>
      <x:c r="I398" s="87"/>
      <x:c r="J398" s="87"/>
      <x:c r="K398" s="87"/>
      <x:c r="L398" s="87"/>
      <x:c r="M398" s="87"/>
      <x:c r="N398" s="87"/>
      <x:c r="O398" s="147"/>
      <x:c r="P398" s="147"/>
      <x:c r="Q398" s="147"/>
      <x:c r="R398" s="147"/>
      <x:c r="S398" s="107">
        <x:f>SUM(E398:R398)</x:f>
      </x:c>
      <x:c r="T398" s="88">
        <x:v>10.9</x:v>
      </x:c>
      <x:c r="U398" s="88">
        <x:v>23.9</x:v>
      </x:c>
      <x:c r="V398" s="108">
        <x:f>S398*T398</x:f>
      </x:c>
    </x:row>
    <x:row r="399" spans="1:31" ht="15" customHeight="1" hidden="1" x14ac:dyDescent="0.3">
      <x:c r="A399" s="87">
        <x:v>760401</x:v>
      </x:c>
      <x:c r="B399" s="87" t="s">
        <x:v>488</x:v>
      </x:c>
      <x:c r="C399" s="87" t="s">
        <x:v>197</x:v>
      </x:c>
      <x:c r="D399" s="89" t="s">
        <x:v>33</x:v>
      </x:c>
      <x:c r="E399" s="87"/>
      <x:c r="F399" s="87"/>
      <x:c r="G399" s="87"/>
      <x:c r="H399" s="87"/>
      <x:c r="I399" s="87"/>
      <x:c r="J399" s="87"/>
      <x:c r="K399" s="87"/>
      <x:c r="L399" s="87"/>
      <x:c r="M399" s="87"/>
      <x:c r="N399" s="87"/>
      <x:c r="O399" s="147"/>
      <x:c r="P399" s="147"/>
      <x:c r="Q399" s="147"/>
      <x:c r="R399" s="147"/>
      <x:c r="S399" s="107">
        <x:f>SUM(E399:R399)</x:f>
      </x:c>
      <x:c r="T399" s="88">
        <x:v>10.9</x:v>
      </x:c>
      <x:c r="U399" s="88">
        <x:v>23.9</x:v>
      </x:c>
      <x:c r="V399" s="108">
        <x:f>S399*T399</x:f>
      </x:c>
    </x:row>
    <x:row r="400" spans="1:31" ht="15" customHeight="1" x14ac:dyDescent="0.3">
      <x:c r="A400" s="87"/>
      <x:c r="B400" s="87"/>
      <x:c r="C400" s="87"/>
      <x:c r="D400" s="89"/>
      <x:c r="E400" s="107"/>
      <x:c r="F400" s="107"/>
      <x:c r="G400" s="107"/>
      <x:c r="H400" s="107"/>
      <x:c r="I400" s="107"/>
      <x:c r="J400" s="107"/>
      <x:c r="K400" s="107"/>
      <x:c r="L400" s="107"/>
      <x:c r="M400" s="107"/>
      <x:c r="N400" s="107"/>
      <x:c r="O400" s="107"/>
      <x:c r="P400" s="148"/>
      <x:c r="Q400" s="148"/>
      <x:c r="R400" s="148"/>
      <x:c r="S400" s="107"/>
      <x:c r="T400" s="88"/>
      <x:c r="U400" s="88"/>
      <x:c r="V400" s="108"/>
    </x:row>
    <x:row r="401" spans="1:31" ht="15" customHeight="1" x14ac:dyDescent="0.3">
      <x:c r="A401" s="87"/>
      <x:c r="B401" s="87"/>
      <x:c r="C401" s="87"/>
      <x:c r="D401" s="89"/>
      <x:c r="E401" s="107"/>
      <x:c r="F401" s="107"/>
      <x:c r="G401" s="107"/>
      <x:c r="H401" s="107"/>
      <x:c r="I401" s="107"/>
      <x:c r="J401" s="107"/>
      <x:c r="K401" s="107"/>
      <x:c r="L401" s="107"/>
      <x:c r="M401" s="107"/>
      <x:c r="N401" s="107"/>
      <x:c r="O401" s="107"/>
      <x:c r="P401" s="148"/>
      <x:c r="Q401" s="148"/>
      <x:c r="R401" s="148"/>
      <x:c r="S401" s="107"/>
      <x:c r="T401" s="88"/>
      <x:c r="U401" s="88"/>
      <x:c r="V401" s="108"/>
    </x:row>
    <x:row r="402" spans="1:31" ht="15" customHeight="1" hidden="1" x14ac:dyDescent="0.3">
      <x:c r="A402" s="87">
        <x:v>760403</x:v>
      </x:c>
      <x:c r="B402" s="87" t="s">
        <x:v>489</x:v>
      </x:c>
      <x:c r="C402" s="87" t="s">
        <x:v>227</x:v>
      </x:c>
      <x:c r="D402" s="89" t="s">
        <x:v>56</x:v>
      </x:c>
      <x:c r="E402" s="87"/>
      <x:c r="F402" s="87"/>
      <x:c r="G402" s="87"/>
      <x:c r="H402" s="87"/>
      <x:c r="I402" s="87"/>
      <x:c r="J402" s="87"/>
      <x:c r="K402" s="87"/>
      <x:c r="L402" s="87"/>
      <x:c r="M402" s="87"/>
      <x:c r="N402" s="87"/>
      <x:c r="O402" s="106"/>
      <x:c r="P402" s="147"/>
      <x:c r="Q402" s="147"/>
      <x:c r="R402" s="147"/>
      <x:c r="S402" s="107">
        <x:f>SUM(E402:R402)</x:f>
      </x:c>
      <x:c r="T402" s="88">
        <x:v>9.1</x:v>
      </x:c>
      <x:c r="U402" s="88">
        <x:v>19.9</x:v>
      </x:c>
      <x:c r="V402" s="108">
        <x:f>S402*T402</x:f>
      </x:c>
    </x:row>
    <x:row r="403" spans="1:31" ht="15" customHeight="1" x14ac:dyDescent="0.3">
      <x:c r="A403" s="87"/>
      <x:c r="B403" s="87"/>
      <x:c r="C403" s="87"/>
      <x:c r="D403" s="89"/>
      <x:c r="E403" s="107"/>
      <x:c r="F403" s="107"/>
      <x:c r="G403" s="107"/>
      <x:c r="H403" s="107"/>
      <x:c r="I403" s="107"/>
      <x:c r="J403" s="107"/>
      <x:c r="K403" s="107"/>
      <x:c r="L403" s="107"/>
      <x:c r="M403" s="107"/>
      <x:c r="N403" s="107"/>
      <x:c r="O403" s="107"/>
      <x:c r="P403" s="148"/>
      <x:c r="Q403" s="148"/>
      <x:c r="R403" s="148"/>
      <x:c r="S403" s="107"/>
      <x:c r="T403" s="88"/>
      <x:c r="U403" s="88"/>
      <x:c r="V403" s="108"/>
    </x:row>
    <x:row r="404" spans="1:31" ht="15" customHeight="1" hidden="1" x14ac:dyDescent="0.3">
      <x:c r="A404" s="87">
        <x:v>760405</x:v>
      </x:c>
      <x:c r="B404" s="87" t="s">
        <x:v>490</x:v>
      </x:c>
      <x:c r="C404" s="87" t="s">
        <x:v>223</x:v>
      </x:c>
      <x:c r="D404" s="89" t="s">
        <x:v>56</x:v>
      </x:c>
      <x:c r="E404" s="146"/>
      <x:c r="F404" s="146"/>
      <x:c r="G404" s="146"/>
      <x:c r="H404" s="146"/>
      <x:c r="I404" s="146"/>
      <x:c r="J404" s="87"/>
      <x:c r="K404" s="87"/>
      <x:c r="L404" s="87"/>
      <x:c r="M404" s="87"/>
      <x:c r="N404" s="87"/>
      <x:c r="O404" s="106"/>
      <x:c r="P404" s="106"/>
      <x:c r="Q404" s="147"/>
      <x:c r="R404" s="147"/>
      <x:c r="S404" s="107">
        <x:f>SUM(E404:R404)</x:f>
      </x:c>
      <x:c r="T404" s="88">
        <x:v>8.2</x:v>
      </x:c>
      <x:c r="U404" s="88">
        <x:v>17.9</x:v>
      </x:c>
      <x:c r="V404" s="108">
        <x:f>S404*T404</x:f>
      </x:c>
    </x:row>
    <x:row r="405" spans="1:31" ht="15" customHeight="1" hidden="1" x14ac:dyDescent="0.3">
      <x:c r="A405" s="87">
        <x:v>760405</x:v>
      </x:c>
      <x:c r="B405" s="87" t="s">
        <x:v>491</x:v>
      </x:c>
      <x:c r="C405" s="87" t="s">
        <x:v>223</x:v>
      </x:c>
      <x:c r="D405" s="89" t="s">
        <x:v>492</x:v>
      </x:c>
      <x:c r="E405" s="87"/>
      <x:c r="F405" s="87"/>
      <x:c r="G405" s="87"/>
      <x:c r="H405" s="87"/>
      <x:c r="I405" s="146"/>
      <x:c r="J405" s="146"/>
      <x:c r="K405" s="146"/>
      <x:c r="L405" s="146"/>
      <x:c r="M405" s="146"/>
      <x:c r="N405" s="146"/>
      <x:c r="O405" s="147"/>
      <x:c r="P405" s="147"/>
      <x:c r="Q405" s="147"/>
      <x:c r="R405" s="147"/>
      <x:c r="S405" s="107">
        <x:f>SUM(E405:R405)</x:f>
      </x:c>
      <x:c r="T405" s="88">
        <x:v>8.2</x:v>
      </x:c>
      <x:c r="U405" s="88">
        <x:v>17.9</x:v>
      </x:c>
      <x:c r="V405" s="108">
        <x:f>S405*T405</x:f>
      </x:c>
    </x:row>
    <x:row r="406" spans="1:31" ht="15" customHeight="1" hidden="1" x14ac:dyDescent="0.3">
      <x:c r="A406" s="87">
        <x:v>760405</x:v>
      </x:c>
      <x:c r="B406" s="87" t="s">
        <x:v>493</x:v>
      </x:c>
      <x:c r="C406" s="87" t="s">
        <x:v>225</x:v>
      </x:c>
      <x:c r="D406" s="89" t="s">
        <x:v>56</x:v>
      </x:c>
      <x:c r="E406" s="146"/>
      <x:c r="F406" s="146"/>
      <x:c r="G406" s="146"/>
      <x:c r="H406" s="146"/>
      <x:c r="I406" s="146"/>
      <x:c r="J406" s="87"/>
      <x:c r="K406" s="87"/>
      <x:c r="L406" s="87"/>
      <x:c r="M406" s="87"/>
      <x:c r="N406" s="87"/>
      <x:c r="O406" s="106"/>
      <x:c r="P406" s="106"/>
      <x:c r="Q406" s="147"/>
      <x:c r="R406" s="147"/>
      <x:c r="S406" s="107">
        <x:f>SUM(E406:R406)</x:f>
      </x:c>
      <x:c r="T406" s="88">
        <x:v>8.2</x:v>
      </x:c>
      <x:c r="U406" s="88">
        <x:v>17.9</x:v>
      </x:c>
      <x:c r="V406" s="108">
        <x:f>S406*T406</x:f>
      </x:c>
    </x:row>
    <x:row r="407" spans="1:31" ht="15" customHeight="1" hidden="1" x14ac:dyDescent="0.3">
      <x:c r="A407" s="87">
        <x:v>760405</x:v>
      </x:c>
      <x:c r="B407" s="87" t="s">
        <x:v>494</x:v>
      </x:c>
      <x:c r="C407" s="87" t="s">
        <x:v>225</x:v>
      </x:c>
      <x:c r="D407" s="89" t="s">
        <x:v>492</x:v>
      </x:c>
      <x:c r="E407" s="87"/>
      <x:c r="F407" s="87"/>
      <x:c r="G407" s="87"/>
      <x:c r="H407" s="87"/>
      <x:c r="I407" s="146"/>
      <x:c r="J407" s="146"/>
      <x:c r="K407" s="146"/>
      <x:c r="L407" s="146"/>
      <x:c r="M407" s="146"/>
      <x:c r="N407" s="146"/>
      <x:c r="O407" s="147"/>
      <x:c r="P407" s="147"/>
      <x:c r="Q407" s="147"/>
      <x:c r="R407" s="147"/>
      <x:c r="S407" s="107">
        <x:f>SUM(E407:R407)</x:f>
      </x:c>
      <x:c r="T407" s="88">
        <x:v>8.2</x:v>
      </x:c>
      <x:c r="U407" s="88">
        <x:v>17.9</x:v>
      </x:c>
      <x:c r="V407" s="108">
        <x:f>S407*T407</x:f>
      </x:c>
    </x:row>
    <x:row r="408" spans="1:31" ht="15" customHeight="1" hidden="1" x14ac:dyDescent="0.3">
      <x:c r="A408" s="87">
        <x:v>760405</x:v>
      </x:c>
      <x:c r="B408" s="87" t="s">
        <x:v>495</x:v>
      </x:c>
      <x:c r="C408" s="87" t="s">
        <x:v>229</x:v>
      </x:c>
      <x:c r="D408" s="89" t="s">
        <x:v>56</x:v>
      </x:c>
      <x:c r="E408" s="146"/>
      <x:c r="F408" s="146"/>
      <x:c r="G408" s="146"/>
      <x:c r="H408" s="146"/>
      <x:c r="I408" s="146"/>
      <x:c r="J408" s="87"/>
      <x:c r="K408" s="87"/>
      <x:c r="L408" s="87"/>
      <x:c r="M408" s="87"/>
      <x:c r="N408" s="87"/>
      <x:c r="O408" s="106"/>
      <x:c r="P408" s="106"/>
      <x:c r="Q408" s="147"/>
      <x:c r="R408" s="147"/>
      <x:c r="S408" s="107">
        <x:f>SUM(E408:R408)</x:f>
      </x:c>
      <x:c r="T408" s="88">
        <x:v>8.2</x:v>
      </x:c>
      <x:c r="U408" s="88">
        <x:v>17.9</x:v>
      </x:c>
      <x:c r="V408" s="108">
        <x:f>S408*T408</x:f>
      </x:c>
    </x:row>
    <x:row r="409" spans="1:31" ht="15" customHeight="1" hidden="1" x14ac:dyDescent="0.3">
      <x:c r="A409" s="87">
        <x:v>760405</x:v>
      </x:c>
      <x:c r="B409" s="87" t="s">
        <x:v>496</x:v>
      </x:c>
      <x:c r="C409" s="87" t="s">
        <x:v>229</x:v>
      </x:c>
      <x:c r="D409" s="89" t="s">
        <x:v>492</x:v>
      </x:c>
      <x:c r="E409" s="87"/>
      <x:c r="F409" s="87"/>
      <x:c r="G409" s="87"/>
      <x:c r="H409" s="87"/>
      <x:c r="I409" s="146"/>
      <x:c r="J409" s="146"/>
      <x:c r="K409" s="146"/>
      <x:c r="L409" s="146"/>
      <x:c r="M409" s="146"/>
      <x:c r="N409" s="146"/>
      <x:c r="O409" s="147"/>
      <x:c r="P409" s="147"/>
      <x:c r="Q409" s="147"/>
      <x:c r="R409" s="147"/>
      <x:c r="S409" s="107">
        <x:f>SUM(E409:R409)</x:f>
      </x:c>
      <x:c r="T409" s="88">
        <x:v>8.2</x:v>
      </x:c>
      <x:c r="U409" s="88">
        <x:v>17.9</x:v>
      </x:c>
      <x:c r="V409" s="108">
        <x:f>S409*T409</x:f>
      </x:c>
    </x:row>
    <x:row r="410" spans="1:31" ht="15" customHeight="1" hidden="1" x14ac:dyDescent="0.3">
      <x:c r="A410" s="87">
        <x:v>760405</x:v>
      </x:c>
      <x:c r="B410" s="87" t="s">
        <x:v>497</x:v>
      </x:c>
      <x:c r="C410" s="87" t="s">
        <x:v>135</x:v>
      </x:c>
      <x:c r="D410" s="89" t="s">
        <x:v>56</x:v>
      </x:c>
      <x:c r="E410" s="146"/>
      <x:c r="F410" s="146"/>
      <x:c r="G410" s="146"/>
      <x:c r="H410" s="146"/>
      <x:c r="I410" s="146"/>
      <x:c r="J410" s="87"/>
      <x:c r="K410" s="87"/>
      <x:c r="L410" s="87"/>
      <x:c r="M410" s="87"/>
      <x:c r="N410" s="87"/>
      <x:c r="O410" s="106"/>
      <x:c r="P410" s="106"/>
      <x:c r="Q410" s="147"/>
      <x:c r="R410" s="147"/>
      <x:c r="S410" s="107">
        <x:f>SUM(E410:R410)</x:f>
      </x:c>
      <x:c r="T410" s="88">
        <x:v>8.2</x:v>
      </x:c>
      <x:c r="U410" s="88">
        <x:v>17.9</x:v>
      </x:c>
      <x:c r="V410" s="108">
        <x:f>S410*T410</x:f>
      </x:c>
    </x:row>
    <x:row r="411" spans="1:31" ht="15" customHeight="1" hidden="1" x14ac:dyDescent="0.3">
      <x:c r="A411" s="87">
        <x:v>760405</x:v>
      </x:c>
      <x:c r="B411" s="87" t="s">
        <x:v>498</x:v>
      </x:c>
      <x:c r="C411" s="87" t="s">
        <x:v>135</x:v>
      </x:c>
      <x:c r="D411" s="89" t="s">
        <x:v>492</x:v>
      </x:c>
      <x:c r="E411" s="87"/>
      <x:c r="F411" s="87"/>
      <x:c r="G411" s="87"/>
      <x:c r="H411" s="87"/>
      <x:c r="I411" s="146"/>
      <x:c r="J411" s="146"/>
      <x:c r="K411" s="146"/>
      <x:c r="L411" s="146"/>
      <x:c r="M411" s="146"/>
      <x:c r="N411" s="146"/>
      <x:c r="O411" s="147"/>
      <x:c r="P411" s="147"/>
      <x:c r="Q411" s="147"/>
      <x:c r="R411" s="147"/>
      <x:c r="S411" s="107">
        <x:f>SUM(E411:R411)</x:f>
      </x:c>
      <x:c r="T411" s="88">
        <x:v>8.2</x:v>
      </x:c>
      <x:c r="U411" s="88">
        <x:v>17.9</x:v>
      </x:c>
      <x:c r="V411" s="108">
        <x:f>S411*T411</x:f>
      </x:c>
    </x:row>
    <x:row r="412" spans="1:31" ht="15" customHeight="1" hidden="1" x14ac:dyDescent="0.3">
      <x:c r="A412" s="87">
        <x:v>760405</x:v>
      </x:c>
      <x:c r="B412" s="87" t="s">
        <x:v>499</x:v>
      </x:c>
      <x:c r="C412" s="87" t="s">
        <x:v>296</x:v>
      </x:c>
      <x:c r="D412" s="89" t="s">
        <x:v>56</x:v>
      </x:c>
      <x:c r="E412" s="146"/>
      <x:c r="F412" s="146"/>
      <x:c r="G412" s="146"/>
      <x:c r="H412" s="146"/>
      <x:c r="I412" s="146"/>
      <x:c r="J412" s="87"/>
      <x:c r="K412" s="87"/>
      <x:c r="L412" s="87"/>
      <x:c r="M412" s="87"/>
      <x:c r="N412" s="87"/>
      <x:c r="O412" s="106"/>
      <x:c r="P412" s="106"/>
      <x:c r="Q412" s="147"/>
      <x:c r="R412" s="147"/>
      <x:c r="S412" s="107">
        <x:f>SUM(E412:R412)</x:f>
      </x:c>
      <x:c r="T412" s="88">
        <x:v>8.2</x:v>
      </x:c>
      <x:c r="U412" s="88">
        <x:v>17.9</x:v>
      </x:c>
      <x:c r="V412" s="108">
        <x:f>S412*T412</x:f>
      </x:c>
    </x:row>
    <x:row r="413" spans="1:31" ht="15" customHeight="1" hidden="1" x14ac:dyDescent="0.3">
      <x:c r="A413" s="87">
        <x:v>760405</x:v>
      </x:c>
      <x:c r="B413" s="87" t="s">
        <x:v>500</x:v>
      </x:c>
      <x:c r="C413" s="87" t="s">
        <x:v>296</x:v>
      </x:c>
      <x:c r="D413" s="89" t="s">
        <x:v>492</x:v>
      </x:c>
      <x:c r="E413" s="87"/>
      <x:c r="F413" s="87"/>
      <x:c r="G413" s="87"/>
      <x:c r="H413" s="87"/>
      <x:c r="I413" s="146"/>
      <x:c r="J413" s="146"/>
      <x:c r="K413" s="146"/>
      <x:c r="L413" s="146"/>
      <x:c r="M413" s="146"/>
      <x:c r="N413" s="146"/>
      <x:c r="O413" s="147"/>
      <x:c r="P413" s="147"/>
      <x:c r="Q413" s="147"/>
      <x:c r="R413" s="147"/>
      <x:c r="S413" s="107">
        <x:f>SUM(E413:R413)</x:f>
      </x:c>
      <x:c r="T413" s="88">
        <x:v>8.2</x:v>
      </x:c>
      <x:c r="U413" s="88">
        <x:v>17.9</x:v>
      </x:c>
      <x:c r="V413" s="108">
        <x:f>S413*T413</x:f>
      </x:c>
    </x:row>
    <x:row r="414" spans="1:31" ht="15" customHeight="1" hidden="1" x14ac:dyDescent="0.3">
      <x:c r="A414" s="87">
        <x:v>760406</x:v>
      </x:c>
      <x:c r="B414" s="87" t="s">
        <x:v>501</x:v>
      </x:c>
      <x:c r="C414" s="87" t="s">
        <x:v>223</x:v>
      </x:c>
      <x:c r="D414" s="89" t="s">
        <x:v>492</x:v>
      </x:c>
      <x:c r="E414" s="146"/>
      <x:c r="F414" s="146"/>
      <x:c r="G414" s="146"/>
      <x:c r="H414" s="146"/>
      <x:c r="I414" s="87"/>
      <x:c r="J414" s="87"/>
      <x:c r="K414" s="87"/>
      <x:c r="L414" s="87"/>
      <x:c r="M414" s="87"/>
      <x:c r="N414" s="146"/>
      <x:c r="O414" s="147"/>
      <x:c r="P414" s="147"/>
      <x:c r="Q414" s="147"/>
      <x:c r="R414" s="147"/>
      <x:c r="S414" s="107">
        <x:f>SUM(E414:R414)</x:f>
      </x:c>
      <x:c r="T414" s="88">
        <x:v>9.1</x:v>
      </x:c>
      <x:c r="U414" s="88">
        <x:v>19.9</x:v>
      </x:c>
      <x:c r="V414" s="108">
        <x:f>S414*T414</x:f>
      </x:c>
    </x:row>
    <x:row r="415" spans="1:31" ht="15" customHeight="1" hidden="1" x14ac:dyDescent="0.3">
      <x:c r="A415" s="87">
        <x:v>760406</x:v>
      </x:c>
      <x:c r="B415" s="87" t="s">
        <x:v>502</x:v>
      </x:c>
      <x:c r="C415" s="87" t="s">
        <x:v>225</x:v>
      </x:c>
      <x:c r="D415" s="89" t="s">
        <x:v>492</x:v>
      </x:c>
      <x:c r="E415" s="146"/>
      <x:c r="F415" s="146"/>
      <x:c r="G415" s="146"/>
      <x:c r="H415" s="146"/>
      <x:c r="I415" s="87"/>
      <x:c r="J415" s="87"/>
      <x:c r="K415" s="87"/>
      <x:c r="L415" s="87"/>
      <x:c r="M415" s="87"/>
      <x:c r="N415" s="146"/>
      <x:c r="O415" s="147"/>
      <x:c r="P415" s="147"/>
      <x:c r="Q415" s="147"/>
      <x:c r="R415" s="147"/>
      <x:c r="S415" s="107">
        <x:f>SUM(E415:R415)</x:f>
      </x:c>
      <x:c r="T415" s="88">
        <x:v>9.1</x:v>
      </x:c>
      <x:c r="U415" s="88">
        <x:v>19.9</x:v>
      </x:c>
      <x:c r="V415" s="108">
        <x:f>S415*T415</x:f>
      </x:c>
    </x:row>
    <x:row r="416" spans="1:31" ht="15" customHeight="1" hidden="1" x14ac:dyDescent="0.3">
      <x:c r="A416" s="87">
        <x:v>760406</x:v>
      </x:c>
      <x:c r="B416" s="87" t="s">
        <x:v>503</x:v>
      </x:c>
      <x:c r="C416" s="87" t="s">
        <x:v>229</x:v>
      </x:c>
      <x:c r="D416" s="89" t="s">
        <x:v>492</x:v>
      </x:c>
      <x:c r="E416" s="146"/>
      <x:c r="F416" s="146"/>
      <x:c r="G416" s="146"/>
      <x:c r="H416" s="146"/>
      <x:c r="I416" s="87"/>
      <x:c r="J416" s="87"/>
      <x:c r="K416" s="87"/>
      <x:c r="L416" s="87"/>
      <x:c r="M416" s="87"/>
      <x:c r="N416" s="146"/>
      <x:c r="O416" s="147"/>
      <x:c r="P416" s="147"/>
      <x:c r="Q416" s="147"/>
      <x:c r="R416" s="147"/>
      <x:c r="S416" s="107">
        <x:f>SUM(E416:R416)</x:f>
      </x:c>
      <x:c r="T416" s="88">
        <x:v>9.1</x:v>
      </x:c>
      <x:c r="U416" s="88">
        <x:v>19.9</x:v>
      </x:c>
      <x:c r="V416" s="108">
        <x:f>S416*T416</x:f>
      </x:c>
    </x:row>
    <x:row r="417" spans="1:31" ht="15" customHeight="1" hidden="1" x14ac:dyDescent="0.3">
      <x:c r="A417" s="87">
        <x:v>760406</x:v>
      </x:c>
      <x:c r="B417" s="87" t="s">
        <x:v>504</x:v>
      </x:c>
      <x:c r="C417" s="87" t="s">
        <x:v>135</x:v>
      </x:c>
      <x:c r="D417" s="89" t="s">
        <x:v>492</x:v>
      </x:c>
      <x:c r="E417" s="146"/>
      <x:c r="F417" s="146"/>
      <x:c r="G417" s="146"/>
      <x:c r="H417" s="146"/>
      <x:c r="I417" s="87"/>
      <x:c r="J417" s="87"/>
      <x:c r="K417" s="87"/>
      <x:c r="L417" s="87"/>
      <x:c r="M417" s="87"/>
      <x:c r="N417" s="146"/>
      <x:c r="O417" s="147"/>
      <x:c r="P417" s="147"/>
      <x:c r="Q417" s="147"/>
      <x:c r="R417" s="147"/>
      <x:c r="S417" s="107">
        <x:f>SUM(E417:R417)</x:f>
      </x:c>
      <x:c r="T417" s="88">
        <x:v>9.1</x:v>
      </x:c>
      <x:c r="U417" s="88">
        <x:v>19.9</x:v>
      </x:c>
      <x:c r="V417" s="108">
        <x:f>S417*T417</x:f>
      </x:c>
    </x:row>
    <x:row r="418" spans="1:31" ht="15" customHeight="1" hidden="1" x14ac:dyDescent="0.3">
      <x:c r="A418" s="87">
        <x:v>760406</x:v>
      </x:c>
      <x:c r="B418" s="87" t="s">
        <x:v>505</x:v>
      </x:c>
      <x:c r="C418" s="87" t="s">
        <x:v>296</x:v>
      </x:c>
      <x:c r="D418" s="89" t="s">
        <x:v>492</x:v>
      </x:c>
      <x:c r="E418" s="146"/>
      <x:c r="F418" s="146"/>
      <x:c r="G418" s="146"/>
      <x:c r="H418" s="146"/>
      <x:c r="I418" s="87"/>
      <x:c r="J418" s="87"/>
      <x:c r="K418" s="87"/>
      <x:c r="L418" s="87"/>
      <x:c r="M418" s="87"/>
      <x:c r="N418" s="146"/>
      <x:c r="O418" s="147"/>
      <x:c r="P418" s="147"/>
      <x:c r="Q418" s="147"/>
      <x:c r="R418" s="147"/>
      <x:c r="S418" s="107">
        <x:f>SUM(E418:R418)</x:f>
      </x:c>
      <x:c r="T418" s="88">
        <x:v>9.1</x:v>
      </x:c>
      <x:c r="U418" s="88">
        <x:v>19.9</x:v>
      </x:c>
      <x:c r="V418" s="108">
        <x:f>S418*T418</x:f>
      </x:c>
    </x:row>
    <x:row r="419" spans="1:31" ht="15" customHeight="1" hidden="1" x14ac:dyDescent="0.3">
      <x:c r="A419" s="87">
        <x:v>760408</x:v>
      </x:c>
      <x:c r="B419" s="87" t="s">
        <x:v>506</x:v>
      </x:c>
      <x:c r="C419" s="87" t="s">
        <x:v>334</x:v>
      </x:c>
      <x:c r="D419" s="89" t="s">
        <x:v>56</x:v>
      </x:c>
      <x:c r="E419" s="87"/>
      <x:c r="F419" s="87"/>
      <x:c r="G419" s="87"/>
      <x:c r="H419" s="87"/>
      <x:c r="I419" s="87"/>
      <x:c r="J419" s="87"/>
      <x:c r="K419" s="87"/>
      <x:c r="L419" s="87"/>
      <x:c r="M419" s="87"/>
      <x:c r="N419" s="87"/>
      <x:c r="O419" s="106"/>
      <x:c r="P419" s="147"/>
      <x:c r="Q419" s="147"/>
      <x:c r="R419" s="147"/>
      <x:c r="S419" s="107">
        <x:f>SUM(E419:R419)</x:f>
      </x:c>
      <x:c r="T419" s="88">
        <x:v>20.9</x:v>
      </x:c>
      <x:c r="U419" s="88">
        <x:v>45.9</x:v>
      </x:c>
      <x:c r="V419" s="108">
        <x:f>S419*T419</x:f>
      </x:c>
    </x:row>
    <x:row r="420" spans="1:31" ht="15" customHeight="1" hidden="1" x14ac:dyDescent="0.3">
      <x:c r="A420" s="87">
        <x:v>760408</x:v>
      </x:c>
      <x:c r="B420" s="87" t="s">
        <x:v>507</x:v>
      </x:c>
      <x:c r="C420" s="87" t="s">
        <x:v>508</x:v>
      </x:c>
      <x:c r="D420" s="89" t="s">
        <x:v>56</x:v>
      </x:c>
      <x:c r="E420" s="87"/>
      <x:c r="F420" s="87"/>
      <x:c r="G420" s="87"/>
      <x:c r="H420" s="87"/>
      <x:c r="I420" s="87"/>
      <x:c r="J420" s="87"/>
      <x:c r="K420" s="87"/>
      <x:c r="L420" s="87"/>
      <x:c r="M420" s="87"/>
      <x:c r="N420" s="87"/>
      <x:c r="O420" s="106"/>
      <x:c r="P420" s="147"/>
      <x:c r="Q420" s="147"/>
      <x:c r="R420" s="147"/>
      <x:c r="S420" s="107">
        <x:f>SUM(E420:R420)</x:f>
      </x:c>
      <x:c r="T420" s="88">
        <x:v>20.9</x:v>
      </x:c>
      <x:c r="U420" s="88">
        <x:v>45.9</x:v>
      </x:c>
      <x:c r="V420" s="108">
        <x:f>S420*T420</x:f>
      </x:c>
    </x:row>
    <x:row r="421" spans="1:31" ht="15" customHeight="1" hidden="1" x14ac:dyDescent="0.3">
      <x:c r="A421" s="87">
        <x:v>760408</x:v>
      </x:c>
      <x:c r="B421" s="87" t="s">
        <x:v>509</x:v>
      </x:c>
      <x:c r="C421" s="87" t="s">
        <x:v>510</x:v>
      </x:c>
      <x:c r="D421" s="89" t="s">
        <x:v>56</x:v>
      </x:c>
      <x:c r="E421" s="87"/>
      <x:c r="F421" s="87"/>
      <x:c r="G421" s="87"/>
      <x:c r="H421" s="87"/>
      <x:c r="I421" s="87"/>
      <x:c r="J421" s="87"/>
      <x:c r="K421" s="87"/>
      <x:c r="L421" s="87"/>
      <x:c r="M421" s="87"/>
      <x:c r="N421" s="87"/>
      <x:c r="O421" s="106"/>
      <x:c r="P421" s="147"/>
      <x:c r="Q421" s="147"/>
      <x:c r="R421" s="147"/>
      <x:c r="S421" s="107">
        <x:f>SUM(E421:R421)</x:f>
      </x:c>
      <x:c r="T421" s="88">
        <x:v>20.9</x:v>
      </x:c>
      <x:c r="U421" s="88">
        <x:v>45.9</x:v>
      </x:c>
      <x:c r="V421" s="108">
        <x:f>S421*T421</x:f>
      </x:c>
    </x:row>
    <x:row r="422" spans="1:31" ht="15" customHeight="1" hidden="1" x14ac:dyDescent="0.3">
      <x:c r="A422" s="87">
        <x:v>760408</x:v>
      </x:c>
      <x:c r="B422" s="87" t="s">
        <x:v>511</x:v>
      </x:c>
      <x:c r="C422" s="87" t="s">
        <x:v>325</x:v>
      </x:c>
      <x:c r="D422" s="89" t="s">
        <x:v>56</x:v>
      </x:c>
      <x:c r="E422" s="87"/>
      <x:c r="F422" s="87"/>
      <x:c r="G422" s="87"/>
      <x:c r="H422" s="87"/>
      <x:c r="I422" s="87"/>
      <x:c r="J422" s="87"/>
      <x:c r="K422" s="87"/>
      <x:c r="L422" s="87"/>
      <x:c r="M422" s="87"/>
      <x:c r="N422" s="87"/>
      <x:c r="O422" s="106"/>
      <x:c r="P422" s="147"/>
      <x:c r="Q422" s="147"/>
      <x:c r="R422" s="147"/>
      <x:c r="S422" s="107">
        <x:f>SUM(E422:R422)</x:f>
      </x:c>
      <x:c r="T422" s="88">
        <x:v>20.9</x:v>
      </x:c>
      <x:c r="U422" s="88">
        <x:v>45.9</x:v>
      </x:c>
      <x:c r="V422" s="108">
        <x:f>S422*T422</x:f>
      </x:c>
    </x:row>
    <x:row r="423" spans="1:31" ht="15" customHeight="1" hidden="1" x14ac:dyDescent="0.3">
      <x:c r="A423" s="87">
        <x:v>760408</x:v>
      </x:c>
      <x:c r="B423" s="87" t="s">
        <x:v>512</x:v>
      </x:c>
      <x:c r="C423" s="87" t="s">
        <x:v>331</x:v>
      </x:c>
      <x:c r="D423" s="89" t="s">
        <x:v>56</x:v>
      </x:c>
      <x:c r="E423" s="87"/>
      <x:c r="F423" s="87"/>
      <x:c r="G423" s="87"/>
      <x:c r="H423" s="87"/>
      <x:c r="I423" s="87"/>
      <x:c r="J423" s="87"/>
      <x:c r="K423" s="87"/>
      <x:c r="L423" s="87"/>
      <x:c r="M423" s="87"/>
      <x:c r="N423" s="87"/>
      <x:c r="O423" s="106"/>
      <x:c r="P423" s="147"/>
      <x:c r="Q423" s="147"/>
      <x:c r="R423" s="147"/>
      <x:c r="S423" s="107">
        <x:f>SUM(E423:R423)</x:f>
      </x:c>
      <x:c r="T423" s="88">
        <x:v>20.9</x:v>
      </x:c>
      <x:c r="U423" s="88">
        <x:v>45.9</x:v>
      </x:c>
      <x:c r="V423" s="108">
        <x:f>S423*T423</x:f>
      </x:c>
    </x:row>
    <x:row r="424" spans="1:31" ht="15" customHeight="1" hidden="1" x14ac:dyDescent="0.3">
      <x:c r="A424" s="87">
        <x:v>760411</x:v>
      </x:c>
      <x:c r="B424" s="87" t="s">
        <x:v>513</x:v>
      </x:c>
      <x:c r="C424" s="87" t="s">
        <x:v>323</x:v>
      </x:c>
      <x:c r="D424" s="89" t="s">
        <x:v>56</x:v>
      </x:c>
      <x:c r="E424" s="146"/>
      <x:c r="F424" s="146"/>
      <x:c r="G424" s="146"/>
      <x:c r="H424" s="146"/>
      <x:c r="I424" s="87"/>
      <x:c r="J424" s="87"/>
      <x:c r="K424" s="87"/>
      <x:c r="L424" s="87"/>
      <x:c r="M424" s="87"/>
      <x:c r="N424" s="87"/>
      <x:c r="O424" s="106"/>
      <x:c r="P424" s="106"/>
      <x:c r="Q424" s="147"/>
      <x:c r="R424" s="147"/>
      <x:c r="S424" s="107">
        <x:f>SUM(E424:R424)</x:f>
      </x:c>
      <x:c r="T424" s="88">
        <x:v>22.7</x:v>
      </x:c>
      <x:c r="U424" s="88">
        <x:v>49.9</x:v>
      </x:c>
      <x:c r="V424" s="108">
        <x:f>S424*T424</x:f>
      </x:c>
    </x:row>
    <x:row r="425" spans="1:31" ht="15" customHeight="1" hidden="1" x14ac:dyDescent="0.3">
      <x:c r="A425" s="87">
        <x:v>760411</x:v>
      </x:c>
      <x:c r="B425" s="87" t="s">
        <x:v>514</x:v>
      </x:c>
      <x:c r="C425" s="87" t="s">
        <x:v>323</x:v>
      </x:c>
      <x:c r="D425" s="89" t="s">
        <x:v>492</x:v>
      </x:c>
      <x:c r="E425" s="87"/>
      <x:c r="F425" s="87"/>
      <x:c r="G425" s="87"/>
      <x:c r="H425" s="87"/>
      <x:c r="I425" s="146"/>
      <x:c r="J425" s="146"/>
      <x:c r="K425" s="146"/>
      <x:c r="L425" s="146"/>
      <x:c r="M425" s="146"/>
      <x:c r="N425" s="146"/>
      <x:c r="O425" s="147"/>
      <x:c r="P425" s="147"/>
      <x:c r="Q425" s="147"/>
      <x:c r="R425" s="147"/>
      <x:c r="S425" s="107">
        <x:f>SUM(E425:R425)</x:f>
      </x:c>
      <x:c r="T425" s="88">
        <x:v>22.7</x:v>
      </x:c>
      <x:c r="U425" s="88">
        <x:v>49.9</x:v>
      </x:c>
      <x:c r="V425" s="108">
        <x:f>S425*T425</x:f>
      </x:c>
    </x:row>
    <x:row r="426" spans="1:31" ht="15" customHeight="1" hidden="1" x14ac:dyDescent="0.3">
      <x:c r="A426" s="87">
        <x:v>760411</x:v>
      </x:c>
      <x:c r="B426" s="87" t="s">
        <x:v>515</x:v>
      </x:c>
      <x:c r="C426" s="87" t="s">
        <x:v>325</x:v>
      </x:c>
      <x:c r="D426" s="89" t="s">
        <x:v>56</x:v>
      </x:c>
      <x:c r="E426" s="146"/>
      <x:c r="F426" s="146"/>
      <x:c r="G426" s="146"/>
      <x:c r="H426" s="146"/>
      <x:c r="I426" s="87"/>
      <x:c r="J426" s="87"/>
      <x:c r="K426" s="87"/>
      <x:c r="L426" s="87"/>
      <x:c r="M426" s="87"/>
      <x:c r="N426" s="87"/>
      <x:c r="O426" s="106"/>
      <x:c r="P426" s="106"/>
      <x:c r="Q426" s="147"/>
      <x:c r="R426" s="147"/>
      <x:c r="S426" s="107">
        <x:f>SUM(E426:R426)</x:f>
      </x:c>
      <x:c r="T426" s="88">
        <x:v>22.7</x:v>
      </x:c>
      <x:c r="U426" s="88">
        <x:v>49.9</x:v>
      </x:c>
      <x:c r="V426" s="108">
        <x:f>S426*T426</x:f>
      </x:c>
    </x:row>
    <x:row r="427" spans="1:31" ht="15" customHeight="1" hidden="1" x14ac:dyDescent="0.3">
      <x:c r="A427" s="87">
        <x:v>760411</x:v>
      </x:c>
      <x:c r="B427" s="87" t="s">
        <x:v>516</x:v>
      </x:c>
      <x:c r="C427" s="87" t="s">
        <x:v>325</x:v>
      </x:c>
      <x:c r="D427" s="89" t="s">
        <x:v>492</x:v>
      </x:c>
      <x:c r="E427" s="87"/>
      <x:c r="F427" s="87"/>
      <x:c r="G427" s="87"/>
      <x:c r="H427" s="87"/>
      <x:c r="I427" s="146"/>
      <x:c r="J427" s="146"/>
      <x:c r="K427" s="146"/>
      <x:c r="L427" s="146"/>
      <x:c r="M427" s="146"/>
      <x:c r="N427" s="146"/>
      <x:c r="O427" s="147"/>
      <x:c r="P427" s="147"/>
      <x:c r="Q427" s="147"/>
      <x:c r="R427" s="147"/>
      <x:c r="S427" s="107">
        <x:f>SUM(E427:R427)</x:f>
      </x:c>
      <x:c r="T427" s="88">
        <x:v>22.7</x:v>
      </x:c>
      <x:c r="U427" s="88">
        <x:v>49.9</x:v>
      </x:c>
      <x:c r="V427" s="108">
        <x:f>S427*T427</x:f>
      </x:c>
    </x:row>
    <x:row r="428" spans="1:31" ht="15" customHeight="1" hidden="1" x14ac:dyDescent="0.3">
      <x:c r="A428" s="87">
        <x:v>760411</x:v>
      </x:c>
      <x:c r="B428" s="87" t="s">
        <x:v>517</x:v>
      </x:c>
      <x:c r="C428" s="87" t="s">
        <x:v>347</x:v>
      </x:c>
      <x:c r="D428" s="89" t="s">
        <x:v>56</x:v>
      </x:c>
      <x:c r="E428" s="146"/>
      <x:c r="F428" s="146"/>
      <x:c r="G428" s="146"/>
      <x:c r="H428" s="146"/>
      <x:c r="I428" s="87"/>
      <x:c r="J428" s="87"/>
      <x:c r="K428" s="87"/>
      <x:c r="L428" s="87"/>
      <x:c r="M428" s="87"/>
      <x:c r="N428" s="87"/>
      <x:c r="O428" s="106"/>
      <x:c r="P428" s="106"/>
      <x:c r="Q428" s="147"/>
      <x:c r="R428" s="147"/>
      <x:c r="S428" s="107">
        <x:f>SUM(E428:R428)</x:f>
      </x:c>
      <x:c r="T428" s="88">
        <x:v>22.7</x:v>
      </x:c>
      <x:c r="U428" s="88">
        <x:v>49.9</x:v>
      </x:c>
      <x:c r="V428" s="108">
        <x:f>S428*T428</x:f>
      </x:c>
    </x:row>
    <x:row r="429" spans="1:31" ht="15" customHeight="1" hidden="1" x14ac:dyDescent="0.3">
      <x:c r="A429" s="87">
        <x:v>760411</x:v>
      </x:c>
      <x:c r="B429" s="87" t="s">
        <x:v>518</x:v>
      </x:c>
      <x:c r="C429" s="87" t="s">
        <x:v>347</x:v>
      </x:c>
      <x:c r="D429" s="89" t="s">
        <x:v>492</x:v>
      </x:c>
      <x:c r="E429" s="87"/>
      <x:c r="F429" s="87"/>
      <x:c r="G429" s="87"/>
      <x:c r="H429" s="87"/>
      <x:c r="I429" s="146"/>
      <x:c r="J429" s="146"/>
      <x:c r="K429" s="146"/>
      <x:c r="L429" s="146"/>
      <x:c r="M429" s="146"/>
      <x:c r="N429" s="146"/>
      <x:c r="O429" s="147"/>
      <x:c r="P429" s="147"/>
      <x:c r="Q429" s="147"/>
      <x:c r="R429" s="147"/>
      <x:c r="S429" s="107">
        <x:f>SUM(E429:R429)</x:f>
      </x:c>
      <x:c r="T429" s="88">
        <x:v>22.7</x:v>
      </x:c>
      <x:c r="U429" s="88">
        <x:v>49.9</x:v>
      </x:c>
      <x:c r="V429" s="108">
        <x:f>S429*T429</x:f>
      </x:c>
    </x:row>
    <x:row r="430" spans="1:31" ht="15" customHeight="1" hidden="1" x14ac:dyDescent="0.3">
      <x:c r="A430" s="87">
        <x:v>760411</x:v>
      </x:c>
      <x:c r="B430" s="87" t="s">
        <x:v>519</x:v>
      </x:c>
      <x:c r="C430" s="87" t="s">
        <x:v>331</x:v>
      </x:c>
      <x:c r="D430" s="89" t="s">
        <x:v>56</x:v>
      </x:c>
      <x:c r="E430" s="146"/>
      <x:c r="F430" s="146"/>
      <x:c r="G430" s="146"/>
      <x:c r="H430" s="146"/>
      <x:c r="I430" s="87"/>
      <x:c r="J430" s="87"/>
      <x:c r="K430" s="87"/>
      <x:c r="L430" s="87"/>
      <x:c r="M430" s="87"/>
      <x:c r="N430" s="87"/>
      <x:c r="O430" s="106"/>
      <x:c r="P430" s="106"/>
      <x:c r="Q430" s="147"/>
      <x:c r="R430" s="147"/>
      <x:c r="S430" s="107">
        <x:f>SUM(E430:R430)</x:f>
      </x:c>
      <x:c r="T430" s="88">
        <x:v>22.7</x:v>
      </x:c>
      <x:c r="U430" s="88">
        <x:v>49.9</x:v>
      </x:c>
      <x:c r="V430" s="108">
        <x:f>S430*T430</x:f>
      </x:c>
    </x:row>
    <x:row r="431" spans="1:31" ht="15" customHeight="1" hidden="1" x14ac:dyDescent="0.3">
      <x:c r="A431" s="87">
        <x:v>760411</x:v>
      </x:c>
      <x:c r="B431" s="87" t="s">
        <x:v>520</x:v>
      </x:c>
      <x:c r="C431" s="87" t="s">
        <x:v>331</x:v>
      </x:c>
      <x:c r="D431" s="89" t="s">
        <x:v>492</x:v>
      </x:c>
      <x:c r="E431" s="87"/>
      <x:c r="F431" s="87"/>
      <x:c r="G431" s="87"/>
      <x:c r="H431" s="87"/>
      <x:c r="I431" s="146"/>
      <x:c r="J431" s="146"/>
      <x:c r="K431" s="146"/>
      <x:c r="L431" s="146"/>
      <x:c r="M431" s="146"/>
      <x:c r="N431" s="146"/>
      <x:c r="O431" s="147"/>
      <x:c r="P431" s="147"/>
      <x:c r="Q431" s="147"/>
      <x:c r="R431" s="147"/>
      <x:c r="S431" s="107">
        <x:f>SUM(E431:R431)</x:f>
      </x:c>
      <x:c r="T431" s="88">
        <x:v>22.7</x:v>
      </x:c>
      <x:c r="U431" s="88">
        <x:v>49.9</x:v>
      </x:c>
      <x:c r="V431" s="108">
        <x:f>S431*T431</x:f>
      </x:c>
    </x:row>
    <x:row r="432" spans="1:31" ht="15" customHeight="1" hidden="1" x14ac:dyDescent="0.3">
      <x:c r="A432" s="87">
        <x:v>760414</x:v>
      </x:c>
      <x:c r="B432" s="87" t="s">
        <x:v>521</x:v>
      </x:c>
      <x:c r="C432" s="87" t="s">
        <x:v>522</x:v>
      </x:c>
      <x:c r="D432" s="89" t="s">
        <x:v>56</x:v>
      </x:c>
      <x:c r="E432" s="146"/>
      <x:c r="F432" s="146"/>
      <x:c r="G432" s="146"/>
      <x:c r="H432" s="146"/>
      <x:c r="I432" s="87"/>
      <x:c r="J432" s="87"/>
      <x:c r="K432" s="87"/>
      <x:c r="L432" s="87"/>
      <x:c r="M432" s="87"/>
      <x:c r="N432" s="87"/>
      <x:c r="O432" s="106"/>
      <x:c r="P432" s="106"/>
      <x:c r="Q432" s="147"/>
      <x:c r="R432" s="147"/>
      <x:c r="S432" s="107">
        <x:f>SUM(E432:R432)</x:f>
      </x:c>
      <x:c r="T432" s="88">
        <x:v>22.7</x:v>
      </x:c>
      <x:c r="U432" s="88">
        <x:v>49.9</x:v>
      </x:c>
      <x:c r="V432" s="108">
        <x:f>S432*T432</x:f>
      </x:c>
    </x:row>
    <x:row r="433" spans="1:31" ht="15" customHeight="1" hidden="1" x14ac:dyDescent="0.3">
      <x:c r="A433" s="87">
        <x:v>760414</x:v>
      </x:c>
      <x:c r="B433" s="87" t="s">
        <x:v>523</x:v>
      </x:c>
      <x:c r="C433" s="87" t="s">
        <x:v>522</x:v>
      </x:c>
      <x:c r="D433" s="89" t="s">
        <x:v>492</x:v>
      </x:c>
      <x:c r="E433" s="87"/>
      <x:c r="F433" s="87"/>
      <x:c r="G433" s="87"/>
      <x:c r="H433" s="87"/>
      <x:c r="I433" s="146"/>
      <x:c r="J433" s="146"/>
      <x:c r="K433" s="146"/>
      <x:c r="L433" s="146"/>
      <x:c r="M433" s="146"/>
      <x:c r="N433" s="146"/>
      <x:c r="O433" s="147"/>
      <x:c r="P433" s="147"/>
      <x:c r="Q433" s="147"/>
      <x:c r="R433" s="147"/>
      <x:c r="S433" s="107">
        <x:f>SUM(E433:R433)</x:f>
      </x:c>
      <x:c r="T433" s="88">
        <x:v>22.7</x:v>
      </x:c>
      <x:c r="U433" s="88">
        <x:v>49.9</x:v>
      </x:c>
      <x:c r="V433" s="108">
        <x:f>S433*T433</x:f>
      </x:c>
    </x:row>
    <x:row r="434" spans="1:31" ht="15" customHeight="1" hidden="1" x14ac:dyDescent="0.3">
      <x:c r="A434" s="87">
        <x:v>760414</x:v>
      </x:c>
      <x:c r="B434" s="87" t="s">
        <x:v>524</x:v>
      </x:c>
      <x:c r="C434" s="87" t="s">
        <x:v>325</x:v>
      </x:c>
      <x:c r="D434" s="89" t="s">
        <x:v>56</x:v>
      </x:c>
      <x:c r="E434" s="146"/>
      <x:c r="F434" s="146"/>
      <x:c r="G434" s="146"/>
      <x:c r="H434" s="146"/>
      <x:c r="I434" s="87"/>
      <x:c r="J434" s="87"/>
      <x:c r="K434" s="87"/>
      <x:c r="L434" s="87"/>
      <x:c r="M434" s="87"/>
      <x:c r="N434" s="87"/>
      <x:c r="O434" s="106"/>
      <x:c r="P434" s="106"/>
      <x:c r="Q434" s="147"/>
      <x:c r="R434" s="147"/>
      <x:c r="S434" s="107">
        <x:f>SUM(E434:R434)</x:f>
      </x:c>
      <x:c r="T434" s="88">
        <x:v>22.7</x:v>
      </x:c>
      <x:c r="U434" s="88">
        <x:v>49.9</x:v>
      </x:c>
      <x:c r="V434" s="108">
        <x:f>S434*T434</x:f>
      </x:c>
    </x:row>
    <x:row r="435" spans="1:31" ht="15" customHeight="1" hidden="1" x14ac:dyDescent="0.3">
      <x:c r="A435" s="87">
        <x:v>760414</x:v>
      </x:c>
      <x:c r="B435" s="87" t="s">
        <x:v>525</x:v>
      </x:c>
      <x:c r="C435" s="87" t="s">
        <x:v>325</x:v>
      </x:c>
      <x:c r="D435" s="89" t="s">
        <x:v>492</x:v>
      </x:c>
      <x:c r="E435" s="87"/>
      <x:c r="F435" s="87"/>
      <x:c r="G435" s="87"/>
      <x:c r="H435" s="87"/>
      <x:c r="I435" s="146"/>
      <x:c r="J435" s="146"/>
      <x:c r="K435" s="146"/>
      <x:c r="L435" s="146"/>
      <x:c r="M435" s="146"/>
      <x:c r="N435" s="146"/>
      <x:c r="O435" s="147"/>
      <x:c r="P435" s="147"/>
      <x:c r="Q435" s="147"/>
      <x:c r="R435" s="147"/>
      <x:c r="S435" s="107">
        <x:f>SUM(E435:R435)</x:f>
      </x:c>
      <x:c r="T435" s="88">
        <x:v>22.7</x:v>
      </x:c>
      <x:c r="U435" s="88">
        <x:v>49.9</x:v>
      </x:c>
      <x:c r="V435" s="108">
        <x:f>S435*T435</x:f>
      </x:c>
    </x:row>
    <x:row r="436" spans="1:31" ht="15" customHeight="1" hidden="1" x14ac:dyDescent="0.3">
      <x:c r="A436" s="87">
        <x:v>760414</x:v>
      </x:c>
      <x:c r="B436" s="87" t="s">
        <x:v>526</x:v>
      </x:c>
      <x:c r="C436" s="87" t="s">
        <x:v>351</x:v>
      </x:c>
      <x:c r="D436" s="89" t="s">
        <x:v>56</x:v>
      </x:c>
      <x:c r="E436" s="146"/>
      <x:c r="F436" s="146"/>
      <x:c r="G436" s="146"/>
      <x:c r="H436" s="146"/>
      <x:c r="I436" s="87"/>
      <x:c r="J436" s="87"/>
      <x:c r="K436" s="87"/>
      <x:c r="L436" s="87"/>
      <x:c r="M436" s="87"/>
      <x:c r="N436" s="87"/>
      <x:c r="O436" s="106"/>
      <x:c r="P436" s="106"/>
      <x:c r="Q436" s="147"/>
      <x:c r="R436" s="147"/>
      <x:c r="S436" s="107">
        <x:f>SUM(E436:R436)</x:f>
      </x:c>
      <x:c r="T436" s="88">
        <x:v>22.7</x:v>
      </x:c>
      <x:c r="U436" s="88">
        <x:v>49.9</x:v>
      </x:c>
      <x:c r="V436" s="108">
        <x:f>S436*T436</x:f>
      </x:c>
    </x:row>
    <x:row r="437" spans="1:31" ht="15" customHeight="1" hidden="1" x14ac:dyDescent="0.3">
      <x:c r="A437" s="87">
        <x:v>760414</x:v>
      </x:c>
      <x:c r="B437" s="87" t="s">
        <x:v>527</x:v>
      </x:c>
      <x:c r="C437" s="87" t="s">
        <x:v>351</x:v>
      </x:c>
      <x:c r="D437" s="89" t="s">
        <x:v>492</x:v>
      </x:c>
      <x:c r="E437" s="87"/>
      <x:c r="F437" s="87"/>
      <x:c r="G437" s="87"/>
      <x:c r="H437" s="87"/>
      <x:c r="I437" s="146"/>
      <x:c r="J437" s="146"/>
      <x:c r="K437" s="146"/>
      <x:c r="L437" s="146"/>
      <x:c r="M437" s="146"/>
      <x:c r="N437" s="146"/>
      <x:c r="O437" s="147"/>
      <x:c r="P437" s="147"/>
      <x:c r="Q437" s="147"/>
      <x:c r="R437" s="147"/>
      <x:c r="S437" s="107">
        <x:f>SUM(E437:R437)</x:f>
      </x:c>
      <x:c r="T437" s="88">
        <x:v>22.7</x:v>
      </x:c>
      <x:c r="U437" s="88">
        <x:v>49.9</x:v>
      </x:c>
      <x:c r="V437" s="108">
        <x:f>S437*T437</x:f>
      </x:c>
    </x:row>
    <x:row r="438" spans="1:31" ht="15" customHeight="1" hidden="1" x14ac:dyDescent="0.3">
      <x:c r="A438" s="87">
        <x:v>760414</x:v>
      </x:c>
      <x:c r="B438" s="87" t="s">
        <x:v>528</x:v>
      </x:c>
      <x:c r="C438" s="87" t="s">
        <x:v>353</x:v>
      </x:c>
      <x:c r="D438" s="89" t="s">
        <x:v>56</x:v>
      </x:c>
      <x:c r="E438" s="146"/>
      <x:c r="F438" s="146"/>
      <x:c r="G438" s="146"/>
      <x:c r="H438" s="146"/>
      <x:c r="I438" s="87"/>
      <x:c r="J438" s="87"/>
      <x:c r="K438" s="87"/>
      <x:c r="L438" s="87"/>
      <x:c r="M438" s="87"/>
      <x:c r="N438" s="87"/>
      <x:c r="O438" s="106"/>
      <x:c r="P438" s="106"/>
      <x:c r="Q438" s="147"/>
      <x:c r="R438" s="147"/>
      <x:c r="S438" s="107">
        <x:f>SUM(E438:R438)</x:f>
      </x:c>
      <x:c r="T438" s="88">
        <x:v>22.7</x:v>
      </x:c>
      <x:c r="U438" s="88">
        <x:v>49.9</x:v>
      </x:c>
      <x:c r="V438" s="108">
        <x:f>S438*T438</x:f>
      </x:c>
    </x:row>
    <x:row r="439" spans="1:31" ht="15" customHeight="1" hidden="1" x14ac:dyDescent="0.3">
      <x:c r="A439" s="87">
        <x:v>760414</x:v>
      </x:c>
      <x:c r="B439" s="87" t="s">
        <x:v>529</x:v>
      </x:c>
      <x:c r="C439" s="87" t="s">
        <x:v>353</x:v>
      </x:c>
      <x:c r="D439" s="89" t="s">
        <x:v>492</x:v>
      </x:c>
      <x:c r="E439" s="87"/>
      <x:c r="F439" s="87"/>
      <x:c r="G439" s="87"/>
      <x:c r="H439" s="87"/>
      <x:c r="I439" s="146"/>
      <x:c r="J439" s="146"/>
      <x:c r="K439" s="146"/>
      <x:c r="L439" s="146"/>
      <x:c r="M439" s="146"/>
      <x:c r="N439" s="146"/>
      <x:c r="O439" s="147"/>
      <x:c r="P439" s="147"/>
      <x:c r="Q439" s="147"/>
      <x:c r="R439" s="147"/>
      <x:c r="S439" s="107">
        <x:f>SUM(E439:R439)</x:f>
      </x:c>
      <x:c r="T439" s="88">
        <x:v>22.7</x:v>
      </x:c>
      <x:c r="U439" s="88">
        <x:v>49.9</x:v>
      </x:c>
      <x:c r="V439" s="108">
        <x:f>S439*T439</x:f>
      </x:c>
    </x:row>
    <x:row r="440" spans="1:31" ht="15" customHeight="1" hidden="1" x14ac:dyDescent="0.3">
      <x:c r="A440" s="87">
        <x:v>760416</x:v>
      </x:c>
      <x:c r="B440" s="87" t="s">
        <x:v>530</x:v>
      </x:c>
      <x:c r="C440" s="87" t="s">
        <x:v>325</x:v>
      </x:c>
      <x:c r="D440" s="89" t="s">
        <x:v>56</x:v>
      </x:c>
      <x:c r="E440" s="87"/>
      <x:c r="F440" s="87"/>
      <x:c r="G440" s="87"/>
      <x:c r="H440" s="87"/>
      <x:c r="I440" s="87"/>
      <x:c r="J440" s="87"/>
      <x:c r="K440" s="87"/>
      <x:c r="L440" s="87"/>
      <x:c r="M440" s="87"/>
      <x:c r="N440" s="87"/>
      <x:c r="O440" s="106"/>
      <x:c r="P440" s="106"/>
      <x:c r="Q440" s="147"/>
      <x:c r="R440" s="147"/>
      <x:c r="S440" s="107">
        <x:f>SUM(E440:R440)</x:f>
      </x:c>
      <x:c r="T440" s="88">
        <x:v>20.9</x:v>
      </x:c>
      <x:c r="U440" s="88">
        <x:v>45.9</x:v>
      </x:c>
      <x:c r="V440" s="108">
        <x:f>S440*T440</x:f>
      </x:c>
    </x:row>
    <x:row r="441" spans="1:31" ht="15" customHeight="1" hidden="1" x14ac:dyDescent="0.3">
      <x:c r="A441" s="87">
        <x:v>760416</x:v>
      </x:c>
      <x:c r="B441" s="87" t="s">
        <x:v>531</x:v>
      </x:c>
      <x:c r="C441" s="87" t="s">
        <x:v>325</x:v>
      </x:c>
      <x:c r="D441" s="89" t="s">
        <x:v>492</x:v>
      </x:c>
      <x:c r="E441" s="87"/>
      <x:c r="F441" s="87"/>
      <x:c r="G441" s="87"/>
      <x:c r="H441" s="87"/>
      <x:c r="I441" s="87"/>
      <x:c r="J441" s="87"/>
      <x:c r="K441" s="87"/>
      <x:c r="L441" s="146"/>
      <x:c r="M441" s="146"/>
      <x:c r="N441" s="146"/>
      <x:c r="O441" s="147"/>
      <x:c r="P441" s="147"/>
      <x:c r="Q441" s="147"/>
      <x:c r="R441" s="147"/>
      <x:c r="S441" s="107">
        <x:f>SUM(E441:R441)</x:f>
      </x:c>
      <x:c r="T441" s="88">
        <x:v>20.9</x:v>
      </x:c>
      <x:c r="U441" s="88">
        <x:v>45.9</x:v>
      </x:c>
      <x:c r="V441" s="108">
        <x:f>S441*T441</x:f>
      </x:c>
    </x:row>
    <x:row r="442" spans="1:31" ht="15" customHeight="1" hidden="1" x14ac:dyDescent="0.3">
      <x:c r="A442" s="87">
        <x:v>760416</x:v>
      </x:c>
      <x:c r="B442" s="87" t="s">
        <x:v>532</x:v>
      </x:c>
      <x:c r="C442" s="87" t="s">
        <x:v>331</x:v>
      </x:c>
      <x:c r="D442" s="89" t="s">
        <x:v>56</x:v>
      </x:c>
      <x:c r="E442" s="87"/>
      <x:c r="F442" s="87"/>
      <x:c r="G442" s="87"/>
      <x:c r="H442" s="87"/>
      <x:c r="I442" s="87"/>
      <x:c r="J442" s="87"/>
      <x:c r="K442" s="87"/>
      <x:c r="L442" s="87"/>
      <x:c r="M442" s="87"/>
      <x:c r="N442" s="87"/>
      <x:c r="O442" s="106"/>
      <x:c r="P442" s="106"/>
      <x:c r="Q442" s="147"/>
      <x:c r="R442" s="147"/>
      <x:c r="S442" s="107">
        <x:f>SUM(E442:R442)</x:f>
      </x:c>
      <x:c r="T442" s="88">
        <x:v>20.9</x:v>
      </x:c>
      <x:c r="U442" s="88">
        <x:v>45.9</x:v>
      </x:c>
      <x:c r="V442" s="108">
        <x:f>S442*T442</x:f>
      </x:c>
    </x:row>
    <x:row r="443" spans="1:31" ht="15" customHeight="1" hidden="1" x14ac:dyDescent="0.3">
      <x:c r="A443" s="87">
        <x:v>760416</x:v>
      </x:c>
      <x:c r="B443" s="87" t="s">
        <x:v>533</x:v>
      </x:c>
      <x:c r="C443" s="87" t="s">
        <x:v>331</x:v>
      </x:c>
      <x:c r="D443" s="89" t="s">
        <x:v>492</x:v>
      </x:c>
      <x:c r="E443" s="87"/>
      <x:c r="F443" s="87"/>
      <x:c r="G443" s="87"/>
      <x:c r="H443" s="87"/>
      <x:c r="I443" s="87"/>
      <x:c r="J443" s="87"/>
      <x:c r="K443" s="87"/>
      <x:c r="L443" s="146"/>
      <x:c r="M443" s="146"/>
      <x:c r="N443" s="146"/>
      <x:c r="O443" s="147"/>
      <x:c r="P443" s="147"/>
      <x:c r="Q443" s="147"/>
      <x:c r="R443" s="147"/>
      <x:c r="S443" s="107">
        <x:f>SUM(E443:R443)</x:f>
      </x:c>
      <x:c r="T443" s="88">
        <x:v>20.9</x:v>
      </x:c>
      <x:c r="U443" s="88">
        <x:v>45.9</x:v>
      </x:c>
      <x:c r="V443" s="108">
        <x:f>S443*T443</x:f>
      </x:c>
    </x:row>
    <x:row r="444" spans="1:31" ht="15" customHeight="1" hidden="1" x14ac:dyDescent="0.3">
      <x:c r="A444" s="87">
        <x:v>760417</x:v>
      </x:c>
      <x:c r="B444" s="87" t="s">
        <x:v>534</x:v>
      </x:c>
      <x:c r="C444" s="87" t="s">
        <x:v>189</x:v>
      </x:c>
      <x:c r="D444" s="89" t="s">
        <x:v>56</x:v>
      </x:c>
      <x:c r="E444" s="87"/>
      <x:c r="F444" s="87"/>
      <x:c r="G444" s="87"/>
      <x:c r="H444" s="87"/>
      <x:c r="I444" s="87"/>
      <x:c r="J444" s="87"/>
      <x:c r="K444" s="87"/>
      <x:c r="L444" s="87"/>
      <x:c r="M444" s="87"/>
      <x:c r="N444" s="87"/>
      <x:c r="O444" s="106"/>
      <x:c r="P444" s="106"/>
      <x:c r="Q444" s="147"/>
      <x:c r="R444" s="147"/>
      <x:c r="S444" s="107">
        <x:f>SUM(E444:R444)</x:f>
      </x:c>
      <x:c r="T444" s="88">
        <x:v>22.7</x:v>
      </x:c>
      <x:c r="U444" s="88">
        <x:v>49.9</x:v>
      </x:c>
      <x:c r="V444" s="108">
        <x:f>S444*T444</x:f>
      </x:c>
    </x:row>
    <x:row r="445" spans="1:31" ht="15" customHeight="1" hidden="1" x14ac:dyDescent="0.3">
      <x:c r="A445" s="87">
        <x:v>760417</x:v>
      </x:c>
      <x:c r="B445" s="87" t="s">
        <x:v>535</x:v>
      </x:c>
      <x:c r="C445" s="87" t="s">
        <x:v>189</x:v>
      </x:c>
      <x:c r="D445" s="89" t="s">
        <x:v>492</x:v>
      </x:c>
      <x:c r="E445" s="87"/>
      <x:c r="F445" s="87"/>
      <x:c r="G445" s="87"/>
      <x:c r="H445" s="87"/>
      <x:c r="I445" s="146"/>
      <x:c r="J445" s="146"/>
      <x:c r="K445" s="146"/>
      <x:c r="L445" s="146"/>
      <x:c r="M445" s="146"/>
      <x:c r="N445" s="146"/>
      <x:c r="O445" s="147"/>
      <x:c r="P445" s="147"/>
      <x:c r="Q445" s="147"/>
      <x:c r="R445" s="147"/>
      <x:c r="S445" s="107">
        <x:f>SUM(E445:R445)</x:f>
      </x:c>
      <x:c r="T445" s="88">
        <x:v>22.7</x:v>
      </x:c>
      <x:c r="U445" s="88">
        <x:v>49.9</x:v>
      </x:c>
      <x:c r="V445" s="108">
        <x:f>S445*T445</x:f>
      </x:c>
    </x:row>
    <x:row r="446" spans="1:31" ht="15" customHeight="1" hidden="1" x14ac:dyDescent="0.3">
      <x:c r="A446" s="87">
        <x:v>760417</x:v>
      </x:c>
      <x:c r="B446" s="87" t="s">
        <x:v>536</x:v>
      </x:c>
      <x:c r="C446" s="87" t="s">
        <x:v>347</x:v>
      </x:c>
      <x:c r="D446" s="89" t="s">
        <x:v>56</x:v>
      </x:c>
      <x:c r="E446" s="87"/>
      <x:c r="F446" s="87"/>
      <x:c r="G446" s="87"/>
      <x:c r="H446" s="87"/>
      <x:c r="I446" s="87"/>
      <x:c r="J446" s="87"/>
      <x:c r="K446" s="87"/>
      <x:c r="L446" s="87"/>
      <x:c r="M446" s="87"/>
      <x:c r="N446" s="87"/>
      <x:c r="O446" s="106"/>
      <x:c r="P446" s="106"/>
      <x:c r="Q446" s="147"/>
      <x:c r="R446" s="147"/>
      <x:c r="S446" s="107">
        <x:f>SUM(E446:R446)</x:f>
      </x:c>
      <x:c r="T446" s="88">
        <x:v>22.7</x:v>
      </x:c>
      <x:c r="U446" s="88">
        <x:v>49.9</x:v>
      </x:c>
      <x:c r="V446" s="108">
        <x:f>S446*T446</x:f>
      </x:c>
    </x:row>
    <x:row r="447" spans="1:31" ht="15" customHeight="1" hidden="1" x14ac:dyDescent="0.3">
      <x:c r="A447" s="87">
        <x:v>760417</x:v>
      </x:c>
      <x:c r="B447" s="87" t="s">
        <x:v>537</x:v>
      </x:c>
      <x:c r="C447" s="87" t="s">
        <x:v>347</x:v>
      </x:c>
      <x:c r="D447" s="89" t="s">
        <x:v>492</x:v>
      </x:c>
      <x:c r="E447" s="87"/>
      <x:c r="F447" s="87"/>
      <x:c r="G447" s="87"/>
      <x:c r="H447" s="87"/>
      <x:c r="I447" s="146"/>
      <x:c r="J447" s="146"/>
      <x:c r="K447" s="146"/>
      <x:c r="L447" s="146"/>
      <x:c r="M447" s="146"/>
      <x:c r="N447" s="146"/>
      <x:c r="O447" s="147"/>
      <x:c r="P447" s="147"/>
      <x:c r="Q447" s="147"/>
      <x:c r="R447" s="147"/>
      <x:c r="S447" s="107">
        <x:f>SUM(E447:R447)</x:f>
      </x:c>
      <x:c r="T447" s="88">
        <x:v>22.7</x:v>
      </x:c>
      <x:c r="U447" s="88">
        <x:v>49.9</x:v>
      </x:c>
      <x:c r="V447" s="108">
        <x:f>S447*T447</x:f>
      </x:c>
    </x:row>
    <x:row r="448" spans="1:31" ht="15" customHeight="1" hidden="1" x14ac:dyDescent="0.3">
      <x:c r="A448" s="87">
        <x:v>760417</x:v>
      </x:c>
      <x:c r="B448" s="87" t="s">
        <x:v>538</x:v>
      </x:c>
      <x:c r="C448" s="87" t="s">
        <x:v>351</x:v>
      </x:c>
      <x:c r="D448" s="89" t="s">
        <x:v>56</x:v>
      </x:c>
      <x:c r="E448" s="87"/>
      <x:c r="F448" s="87"/>
      <x:c r="G448" s="87"/>
      <x:c r="H448" s="87"/>
      <x:c r="I448" s="87"/>
      <x:c r="J448" s="87"/>
      <x:c r="K448" s="87"/>
      <x:c r="L448" s="87"/>
      <x:c r="M448" s="87"/>
      <x:c r="N448" s="87"/>
      <x:c r="O448" s="106"/>
      <x:c r="P448" s="106"/>
      <x:c r="Q448" s="147"/>
      <x:c r="R448" s="147"/>
      <x:c r="S448" s="107">
        <x:f>SUM(E448:R448)</x:f>
      </x:c>
      <x:c r="T448" s="88">
        <x:v>22.7</x:v>
      </x:c>
      <x:c r="U448" s="88">
        <x:v>49.9</x:v>
      </x:c>
      <x:c r="V448" s="108">
        <x:f>S448*T448</x:f>
      </x:c>
    </x:row>
    <x:row r="449" spans="1:31" ht="15" customHeight="1" hidden="1" x14ac:dyDescent="0.3">
      <x:c r="A449" s="87">
        <x:v>760417</x:v>
      </x:c>
      <x:c r="B449" s="87" t="s">
        <x:v>539</x:v>
      </x:c>
      <x:c r="C449" s="87" t="s">
        <x:v>351</x:v>
      </x:c>
      <x:c r="D449" s="89" t="s">
        <x:v>492</x:v>
      </x:c>
      <x:c r="E449" s="87"/>
      <x:c r="F449" s="87"/>
      <x:c r="G449" s="87"/>
      <x:c r="H449" s="87"/>
      <x:c r="I449" s="146"/>
      <x:c r="J449" s="146"/>
      <x:c r="K449" s="146"/>
      <x:c r="L449" s="146"/>
      <x:c r="M449" s="146"/>
      <x:c r="N449" s="146"/>
      <x:c r="O449" s="147"/>
      <x:c r="P449" s="147"/>
      <x:c r="Q449" s="147"/>
      <x:c r="R449" s="147"/>
      <x:c r="S449" s="107">
        <x:f>SUM(E449:R449)</x:f>
      </x:c>
      <x:c r="T449" s="88">
        <x:v>22.7</x:v>
      </x:c>
      <x:c r="U449" s="88">
        <x:v>49.9</x:v>
      </x:c>
      <x:c r="V449" s="108">
        <x:f>S449*T449</x:f>
      </x:c>
    </x:row>
    <x:row r="450" spans="1:31" ht="15" customHeight="1" hidden="1" x14ac:dyDescent="0.3">
      <x:c r="A450" s="87">
        <x:v>760417</x:v>
      </x:c>
      <x:c r="B450" s="87" t="s">
        <x:v>540</x:v>
      </x:c>
      <x:c r="C450" s="87" t="s">
        <x:v>353</x:v>
      </x:c>
      <x:c r="D450" s="89" t="s">
        <x:v>56</x:v>
      </x:c>
      <x:c r="E450" s="87"/>
      <x:c r="F450" s="87"/>
      <x:c r="G450" s="87"/>
      <x:c r="H450" s="87"/>
      <x:c r="I450" s="87"/>
      <x:c r="J450" s="87"/>
      <x:c r="K450" s="87"/>
      <x:c r="L450" s="87"/>
      <x:c r="M450" s="87"/>
      <x:c r="N450" s="87"/>
      <x:c r="O450" s="106"/>
      <x:c r="P450" s="106"/>
      <x:c r="Q450" s="147"/>
      <x:c r="R450" s="147"/>
      <x:c r="S450" s="107">
        <x:f>SUM(E450:R450)</x:f>
      </x:c>
      <x:c r="T450" s="88">
        <x:v>22.7</x:v>
      </x:c>
      <x:c r="U450" s="88">
        <x:v>49.9</x:v>
      </x:c>
      <x:c r="V450" s="108">
        <x:f>S450*T450</x:f>
      </x:c>
    </x:row>
    <x:row r="451" spans="1:31" ht="15" customHeight="1" hidden="1" x14ac:dyDescent="0.3">
      <x:c r="A451" s="87">
        <x:v>760417</x:v>
      </x:c>
      <x:c r="B451" s="87" t="s">
        <x:v>541</x:v>
      </x:c>
      <x:c r="C451" s="87" t="s">
        <x:v>353</x:v>
      </x:c>
      <x:c r="D451" s="89" t="s">
        <x:v>492</x:v>
      </x:c>
      <x:c r="E451" s="87"/>
      <x:c r="F451" s="87"/>
      <x:c r="G451" s="87"/>
      <x:c r="H451" s="87"/>
      <x:c r="I451" s="146"/>
      <x:c r="J451" s="146"/>
      <x:c r="K451" s="146"/>
      <x:c r="L451" s="146"/>
      <x:c r="M451" s="146"/>
      <x:c r="N451" s="146"/>
      <x:c r="O451" s="147"/>
      <x:c r="P451" s="147"/>
      <x:c r="Q451" s="147"/>
      <x:c r="R451" s="147"/>
      <x:c r="S451" s="107">
        <x:f>SUM(E451:R451)</x:f>
      </x:c>
      <x:c r="T451" s="88">
        <x:v>22.7</x:v>
      </x:c>
      <x:c r="U451" s="88">
        <x:v>49.9</x:v>
      </x:c>
      <x:c r="V451" s="108">
        <x:f>S451*T451</x:f>
      </x:c>
    </x:row>
    <x:row r="452" spans="1:31" ht="15" customHeight="1" hidden="1" x14ac:dyDescent="0.3">
      <x:c r="A452" s="87">
        <x:v>760419</x:v>
      </x:c>
      <x:c r="B452" s="87" t="s">
        <x:v>542</x:v>
      </x:c>
      <x:c r="C452" s="87" t="s">
        <x:v>345</x:v>
      </x:c>
      <x:c r="D452" s="89" t="s">
        <x:v>56</x:v>
      </x:c>
      <x:c r="E452" s="146"/>
      <x:c r="F452" s="146"/>
      <x:c r="G452" s="146"/>
      <x:c r="H452" s="146"/>
      <x:c r="I452" s="146"/>
      <x:c r="J452" s="146"/>
      <x:c r="K452" s="146"/>
      <x:c r="L452" s="146"/>
      <x:c r="M452" s="87"/>
      <x:c r="N452" s="87"/>
      <x:c r="O452" s="106"/>
      <x:c r="P452" s="106"/>
      <x:c r="Q452" s="147"/>
      <x:c r="R452" s="147"/>
      <x:c r="S452" s="107">
        <x:f>SUM(E452:R452)</x:f>
      </x:c>
      <x:c r="T452" s="88">
        <x:v>22.7</x:v>
      </x:c>
      <x:c r="U452" s="88">
        <x:v>49.9</x:v>
      </x:c>
      <x:c r="V452" s="108">
        <x:f>S452*T452</x:f>
      </x:c>
    </x:row>
    <x:row r="453" spans="1:31" ht="15" customHeight="1" hidden="1" x14ac:dyDescent="0.3">
      <x:c r="A453" s="87">
        <x:v>760419</x:v>
      </x:c>
      <x:c r="B453" s="87" t="s">
        <x:v>543</x:v>
      </x:c>
      <x:c r="C453" s="87" t="s">
        <x:v>345</x:v>
      </x:c>
      <x:c r="D453" s="89" t="s">
        <x:v>492</x:v>
      </x:c>
      <x:c r="E453" s="87"/>
      <x:c r="F453" s="87"/>
      <x:c r="G453" s="87"/>
      <x:c r="H453" s="87"/>
      <x:c r="I453" s="87"/>
      <x:c r="J453" s="87"/>
      <x:c r="K453" s="87"/>
      <x:c r="L453" s="87"/>
      <x:c r="M453" s="87"/>
      <x:c r="N453" s="146"/>
      <x:c r="O453" s="147"/>
      <x:c r="P453" s="147"/>
      <x:c r="Q453" s="147"/>
      <x:c r="R453" s="147"/>
      <x:c r="S453" s="107">
        <x:f>SUM(E453:R453)</x:f>
      </x:c>
      <x:c r="T453" s="88">
        <x:v>22.7</x:v>
      </x:c>
      <x:c r="U453" s="88">
        <x:v>49.9</x:v>
      </x:c>
      <x:c r="V453" s="108">
        <x:f>S453*T453</x:f>
      </x:c>
    </x:row>
    <x:row r="454" spans="1:31" ht="15" customHeight="1" hidden="1" x14ac:dyDescent="0.3">
      <x:c r="A454" s="87">
        <x:v>760419</x:v>
      </x:c>
      <x:c r="B454" s="87" t="s">
        <x:v>544</x:v>
      </x:c>
      <x:c r="C454" s="87" t="s">
        <x:v>286</x:v>
      </x:c>
      <x:c r="D454" s="89" t="s">
        <x:v>56</x:v>
      </x:c>
      <x:c r="E454" s="146"/>
      <x:c r="F454" s="146"/>
      <x:c r="G454" s="146"/>
      <x:c r="H454" s="146"/>
      <x:c r="I454" s="146"/>
      <x:c r="J454" s="146"/>
      <x:c r="K454" s="146"/>
      <x:c r="L454" s="146"/>
      <x:c r="M454" s="87"/>
      <x:c r="N454" s="87"/>
      <x:c r="O454" s="106"/>
      <x:c r="P454" s="106"/>
      <x:c r="Q454" s="147"/>
      <x:c r="R454" s="147"/>
      <x:c r="S454" s="107">
        <x:f>SUM(E454:R454)</x:f>
      </x:c>
      <x:c r="T454" s="88">
        <x:v>22.7</x:v>
      </x:c>
      <x:c r="U454" s="88">
        <x:v>49.9</x:v>
      </x:c>
      <x:c r="V454" s="108">
        <x:f>S454*T454</x:f>
      </x:c>
    </x:row>
    <x:row r="455" spans="1:31" ht="15" customHeight="1" hidden="1" x14ac:dyDescent="0.3">
      <x:c r="A455" s="87">
        <x:v>760419</x:v>
      </x:c>
      <x:c r="B455" s="87" t="s">
        <x:v>545</x:v>
      </x:c>
      <x:c r="C455" s="87" t="s">
        <x:v>286</x:v>
      </x:c>
      <x:c r="D455" s="89" t="s">
        <x:v>492</x:v>
      </x:c>
      <x:c r="E455" s="87"/>
      <x:c r="F455" s="87"/>
      <x:c r="G455" s="87"/>
      <x:c r="H455" s="87"/>
      <x:c r="I455" s="87"/>
      <x:c r="J455" s="87"/>
      <x:c r="K455" s="87"/>
      <x:c r="L455" s="87"/>
      <x:c r="M455" s="87"/>
      <x:c r="N455" s="146"/>
      <x:c r="O455" s="147"/>
      <x:c r="P455" s="147"/>
      <x:c r="Q455" s="147"/>
      <x:c r="R455" s="147"/>
      <x:c r="S455" s="107">
        <x:f>SUM(E455:R455)</x:f>
      </x:c>
      <x:c r="T455" s="88">
        <x:v>22.7</x:v>
      </x:c>
      <x:c r="U455" s="88">
        <x:v>49.9</x:v>
      </x:c>
      <x:c r="V455" s="108">
        <x:f>S455*T455</x:f>
      </x:c>
    </x:row>
    <x:row r="456" spans="1:31" ht="15" customHeight="1" hidden="1" x14ac:dyDescent="0.3">
      <x:c r="A456" s="87">
        <x:v>760419</x:v>
      </x:c>
      <x:c r="B456" s="87" t="s">
        <x:v>546</x:v>
      </x:c>
      <x:c r="C456" s="87" t="s">
        <x:v>225</x:v>
      </x:c>
      <x:c r="D456" s="89" t="s">
        <x:v>56</x:v>
      </x:c>
      <x:c r="E456" s="146"/>
      <x:c r="F456" s="146"/>
      <x:c r="G456" s="146"/>
      <x:c r="H456" s="146"/>
      <x:c r="I456" s="146"/>
      <x:c r="J456" s="146"/>
      <x:c r="K456" s="146"/>
      <x:c r="L456" s="146"/>
      <x:c r="M456" s="87"/>
      <x:c r="N456" s="87"/>
      <x:c r="O456" s="106"/>
      <x:c r="P456" s="106"/>
      <x:c r="Q456" s="147"/>
      <x:c r="R456" s="147"/>
      <x:c r="S456" s="107">
        <x:f>SUM(E456:R456)</x:f>
      </x:c>
      <x:c r="T456" s="88">
        <x:v>22.7</x:v>
      </x:c>
      <x:c r="U456" s="88">
        <x:v>49.9</x:v>
      </x:c>
      <x:c r="V456" s="108">
        <x:f>S456*T456</x:f>
      </x:c>
    </x:row>
    <x:row r="457" spans="1:31" ht="15" customHeight="1" hidden="1" x14ac:dyDescent="0.3">
      <x:c r="A457" s="87">
        <x:v>760419</x:v>
      </x:c>
      <x:c r="B457" s="87" t="s">
        <x:v>547</x:v>
      </x:c>
      <x:c r="C457" s="87" t="s">
        <x:v>225</x:v>
      </x:c>
      <x:c r="D457" s="89" t="s">
        <x:v>492</x:v>
      </x:c>
      <x:c r="E457" s="87"/>
      <x:c r="F457" s="87"/>
      <x:c r="G457" s="87"/>
      <x:c r="H457" s="87"/>
      <x:c r="I457" s="87"/>
      <x:c r="J457" s="87"/>
      <x:c r="K457" s="87"/>
      <x:c r="L457" s="87"/>
      <x:c r="M457" s="87"/>
      <x:c r="N457" s="146"/>
      <x:c r="O457" s="147"/>
      <x:c r="P457" s="147"/>
      <x:c r="Q457" s="147"/>
      <x:c r="R457" s="147"/>
      <x:c r="S457" s="107">
        <x:f>SUM(E457:R457)</x:f>
      </x:c>
      <x:c r="T457" s="88">
        <x:v>22.7</x:v>
      </x:c>
      <x:c r="U457" s="88">
        <x:v>49.9</x:v>
      </x:c>
      <x:c r="V457" s="108">
        <x:f>S457*T457</x:f>
      </x:c>
    </x:row>
    <x:row r="458" spans="1:31" ht="15" customHeight="1" hidden="1" x14ac:dyDescent="0.3">
      <x:c r="A458" s="87">
        <x:v>760419</x:v>
      </x:c>
      <x:c r="B458" s="87" t="s">
        <x:v>548</x:v>
      </x:c>
      <x:c r="C458" s="87" t="s">
        <x:v>325</x:v>
      </x:c>
      <x:c r="D458" s="89" t="s">
        <x:v>56</x:v>
      </x:c>
      <x:c r="E458" s="146"/>
      <x:c r="F458" s="146"/>
      <x:c r="G458" s="146"/>
      <x:c r="H458" s="146"/>
      <x:c r="I458" s="146"/>
      <x:c r="J458" s="146"/>
      <x:c r="K458" s="146"/>
      <x:c r="L458" s="146"/>
      <x:c r="M458" s="87"/>
      <x:c r="N458" s="87"/>
      <x:c r="O458" s="106"/>
      <x:c r="P458" s="106"/>
      <x:c r="Q458" s="147"/>
      <x:c r="R458" s="147"/>
      <x:c r="S458" s="107">
        <x:f>SUM(E458:R458)</x:f>
      </x:c>
      <x:c r="T458" s="88">
        <x:v>22.7</x:v>
      </x:c>
      <x:c r="U458" s="88">
        <x:v>49.9</x:v>
      </x:c>
      <x:c r="V458" s="108">
        <x:f>S458*T458</x:f>
      </x:c>
    </x:row>
    <x:row r="459" spans="1:31" ht="15" customHeight="1" hidden="1" x14ac:dyDescent="0.3">
      <x:c r="A459" s="87">
        <x:v>760419</x:v>
      </x:c>
      <x:c r="B459" s="87" t="s">
        <x:v>549</x:v>
      </x:c>
      <x:c r="C459" s="87" t="s">
        <x:v>325</x:v>
      </x:c>
      <x:c r="D459" s="89" t="s">
        <x:v>492</x:v>
      </x:c>
      <x:c r="E459" s="87"/>
      <x:c r="F459" s="87"/>
      <x:c r="G459" s="87"/>
      <x:c r="H459" s="87"/>
      <x:c r="I459" s="87"/>
      <x:c r="J459" s="87"/>
      <x:c r="K459" s="87"/>
      <x:c r="L459" s="87"/>
      <x:c r="M459" s="87"/>
      <x:c r="N459" s="146"/>
      <x:c r="O459" s="147"/>
      <x:c r="P459" s="147"/>
      <x:c r="Q459" s="147"/>
      <x:c r="R459" s="147"/>
      <x:c r="S459" s="107">
        <x:f>SUM(E459:R459)</x:f>
      </x:c>
      <x:c r="T459" s="88">
        <x:v>22.7</x:v>
      </x:c>
      <x:c r="U459" s="88">
        <x:v>49.9</x:v>
      </x:c>
      <x:c r="V459" s="108">
        <x:f>S459*T459</x:f>
      </x:c>
    </x:row>
    <x:row r="463" spans="1:31" x14ac:dyDescent="0.3">
      <x:c r="B463" s="55" t="s">
        <x:v>550</x:v>
      </x:c>
      <x:c r="C463" s="93" t="s">
        <x:v>551</x:v>
      </x:c>
    </x:row>
    <x:row r="464" spans="1:31" x14ac:dyDescent="0.3">
      <x:c r="B464" s="55" t="s">
        <x:v>552</x:v>
      </x:c>
      <x:c r="C464" s="93" t="s">
        <x:v>553</x:v>
      </x:c>
    </x:row>
    <x:row r="465" spans="1:31" x14ac:dyDescent="0.3">
      <x:c r="B465" s="55" t="s">
        <x:v>554</x:v>
      </x:c>
      <x:c r="C465" s="93" t="s">
        <x:v>555</x:v>
      </x:c>
    </x:row>
    <x:row r="466" spans="1:31" x14ac:dyDescent="0.3">
      <x:c r="B466" s="55" t="s">
        <x:v>556</x:v>
      </x:c>
      <x:c r="C466" s="93" t="s">
        <x:v>557</x:v>
      </x:c>
    </x:row>
  </x:sheetData>
  <x:autoFilter ref="A17:AG459">
    <x:filterColumn colId="18">
      <x:filters>
        <x:filter val="4"/>
        <x:filter val="5"/>
        <x:filter val="7"/>
        <x:filter val="8"/>
      </x:filters>
    </x:filterColumn>
    <x:sortState ref="A18:AG459">
      <x:sortCondition ref="A17:A459"/>
    </x:sortState>
  </x:autoFilter>
  <x:mergeCells count="6">
    <x:mergeCell ref="U2:W3"/>
    <x:mergeCell ref="T7:U7"/>
    <x:mergeCell ref="K13:L13"/>
    <x:mergeCell ref="M13:N13"/>
    <x:mergeCell ref="O13:P13"/>
    <x:mergeCell ref="Q13:R13"/>
  </x:mergeCells>
  <x:phoneticPr fontId="20" type="noConversion"/>
  <x:hyperlinks>
    <x:hyperlink ref="E5" r:id="rId11"/>
  </x:hyperlinks>
  <x:printOptions horizontalCentered="1" verticalCentered="0" headings="0" gridLines="0"/>
  <x:pageMargins left="0.1968503937007874" right="0.1968503937007874" top="0.5905511811023623" bottom="0.5905511811023623" header="0.31496062992125984" footer="0.15748031496062992"/>
  <x:pageSetup paperSize="9" scale="28" pageOrder="downThenOver" orientation="landscape" blackAndWhite="0" draft="0" cellComments="none" errors="displayed" r:id="rId2"/>
  <x:headerFooter differentOddEven="0" differentFirst="1" scaleWithDoc="0" alignWithMargins="0">
    <x:oddHeader>&amp;R&amp;"Calibri,Standard"Seite&amp;P/&amp;N</x:oddHeader>
    <x:oddFooter>&amp;C&amp;"-,Standard"&amp;9Peakmile AG, Gebäude G, Mühlegasse 18, 6340 Baar           
Tel. Office + 41 41 760 19 02, Fax Office + 41 41 760 19 03, info@peakmile.com</x:oddFooter>
    <x:evenHeader/>
    <x:evenFooter/>
    <x:firstHeader/>
    <x:firstFooter/>
  </x:headerFooter>
  <x:tableParts count="0"/>
</x: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1877f7ac-3b54-4345-a0fb-3ef760a60102" xsi:nil="true"/>
    <lcf76f155ced4ddcb4097134ff3c332f xmlns="e428a92d-3fc5-4a74-9eb5-a846bf6af7b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99C01A7CBCC89E43BECB694AF5E0D618" ma:contentTypeVersion="19" ma:contentTypeDescription="Ein neues Dokument erstellen." ma:contentTypeScope="" ma:versionID="a4b4f7574745c41f0256e598d6209459">
  <xsd:schema xmlns:xsd="http://www.w3.org/2001/XMLSchema" xmlns:xs="http://www.w3.org/2001/XMLSchema" xmlns:p="http://schemas.microsoft.com/office/2006/metadata/properties" xmlns:ns2="e428a92d-3fc5-4a74-9eb5-a846bf6af7b4" xmlns:ns3="1877f7ac-3b54-4345-a0fb-3ef760a60102" targetNamespace="http://schemas.microsoft.com/office/2006/metadata/properties" ma:root="true" ma:fieldsID="4041210650f2e49e98ea315b29a8d5be" ns2:_="" ns3:_="">
    <xsd:import namespace="e428a92d-3fc5-4a74-9eb5-a846bf6af7b4"/>
    <xsd:import namespace="1877f7ac-3b54-4345-a0fb-3ef760a6010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428a92d-3fc5-4a74-9eb5-a846bf6af7b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MediaServiceAutoTags" ma:internalName="MediaServiceAutoTags" ma:readOnly="true">
      <xsd:simpleType>
        <xsd:restriction base="dms:Text"/>
      </xsd:simpleType>
    </xsd:element>
    <xsd:element name="MediaServiceLocation" ma:index="12" nillable="true" ma:displayName="MediaServiceLocation" ma:internalName="MediaServiceLocation" ma:readOnly="true">
      <xsd:simpleType>
        <xsd:restriction base="dms:Text"/>
      </xsd:simpleType>
    </xsd:element>
    <xsd:element name="MediaServiceOCR" ma:index="13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9" nillable="true" ma:taxonomy="true" ma:internalName="lcf76f155ced4ddcb4097134ff3c332f" ma:taxonomyFieldName="MediaServiceImageTags" ma:displayName="Bildmarkierungen" ma:readOnly="false" ma:fieldId="{5cf76f15-5ced-4ddc-b409-7134ff3c332f}" ma:taxonomyMulti="true" ma:sspId="9e5906f0-388d-45c5-84d1-ddb8f09b3a5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877f7ac-3b54-4345-a0fb-3ef760a60102" elementFormDefault="qualified">
    <xsd:import namespace="http://schemas.microsoft.com/office/2006/documentManagement/types"/>
    <xsd:import namespace="http://schemas.microsoft.com/office/infopath/2007/PartnerControls"/>
    <xsd:element name="TaxCatchAll" ma:index="20" nillable="true" ma:displayName="Taxonomy Catch All Column" ma:hidden="true" ma:list="{61a413d6-ca62-449f-8342-c61944af9eb0}" ma:internalName="TaxCatchAll" ma:showField="CatchAllData" ma:web="1877f7ac-3b54-4345-a0fb-3ef760a6010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AC9DBDF-E304-4B61-A23F-5BFA34A4AAE3}">
  <ds:schemaRefs>
    <ds:schemaRef ds:uri="http://schemas.microsoft.com/office/2006/metadata/properties"/>
    <ds:schemaRef ds:uri="http://www.w3.org/XML/1998/namespace"/>
    <ds:schemaRef ds:uri="http://schemas.microsoft.com/office/2006/documentManagement/types"/>
    <ds:schemaRef ds:uri="http://purl.org/dc/dcmitype/"/>
    <ds:schemaRef ds:uri="http://schemas.openxmlformats.org/package/2006/metadata/core-properties"/>
    <ds:schemaRef ds:uri="http://purl.org/dc/terms/"/>
    <ds:schemaRef ds:uri="http://purl.org/dc/elements/1.1/"/>
    <ds:schemaRef ds:uri="http://schemas.microsoft.com/office/infopath/2007/PartnerControls"/>
    <ds:schemaRef ds:uri="1877f7ac-3b54-4345-a0fb-3ef760a60102"/>
    <ds:schemaRef ds:uri="e428a92d-3fc5-4a74-9eb5-a846bf6af7b4"/>
  </ds:schemaRefs>
</ds:datastoreItem>
</file>

<file path=customXml/itemProps2.xml><?xml version="1.0" encoding="utf-8"?>
<ds:datastoreItem xmlns:ds="http://schemas.openxmlformats.org/officeDocument/2006/customXml" ds:itemID="{3D7D8236-9CB6-46B8-B25E-8313D5F700E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428a92d-3fc5-4a74-9eb5-a846bf6af7b4"/>
    <ds:schemaRef ds:uri="1877f7ac-3b54-4345-a0fb-3ef760a6010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07ADB5E-106C-4F31-86AB-4704764E8CC3}">
  <ds:schemaRefs>
    <ds:schemaRef ds:uri="http://schemas.microsoft.com/sharepoint/v3/contenttype/forms"/>
  </ds:schemaRefs>
</ds:datastoreItem>
</file>

<file path=docProps/app.xml><?xml version="1.0" encoding="utf-8"?>
<ap:Properties xmlns:vt="http://schemas.openxmlformats.org/officeDocument/2006/docPropsVTypes" xmlns:ap="http://schemas.openxmlformats.org/officeDocument/2006/extended-properties">
  <ap:TotalTime>0</ap:TotalTime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5</vt:i4>
      </vt:variant>
    </vt:vector>
  </ap:HeadingPairs>
  <ap:TitlesOfParts>
    <vt:vector baseType="lpstr" size="6">
      <vt:lpstr>Ordersheeet</vt:lpstr>
      <vt:lpstr>Ordersheeet!_xlnm._FilterDatabase</vt:lpstr>
      <vt:lpstr>Ordersheeet!register</vt:lpstr>
      <vt:lpstr>Ordersheeet!Print_Area</vt:lpstr>
      <vt:lpstr>Ordersheeet!Print_Titles</vt:lpstr>
      <vt:lpstr>register</vt:lpstr>
    </vt:vector>
  </ap:TitlesOfParts>
  <ap:LinksUpToDate>false</ap:LinksUpToDate>
  <ap:SharedDoc>false</ap:SharedDoc>
  <ap:HyperlinksChanged>false</ap:HyperlinksChanged>
  <ap:AppVersion>16.0300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creator>Tinu Hasler</dc:creator>
  <lastModifiedBy>Thomann Nils I.BSCINF.2601</lastModifiedBy>
  <lastPrinted>2026-06-01T14:18:02.0000000Z</lastPrinted>
  <dcterms:created xsi:type="dcterms:W3CDTF">2010-01-25T14:33:06.0000000Z</dcterms:created>
  <dcterms:modified xsi:type="dcterms:W3CDTF">2026-07-26T19:51:55.0000000Z</dcterms:modified>
</coreProperties>
</file>

<file path=docProps/custom.xml><?xml version="1.0" encoding="utf-8"?>
<op:Properties xmlns:vt="http://schemas.openxmlformats.org/officeDocument/2006/docPropsVTypes" xmlns:op="http://schemas.openxmlformats.org/officeDocument/2006/custom-properties">
  <op:property fmtid="{D5CDD505-2E9C-101B-9397-08002B2CF9AE}" pid="2" name="ContentTypeId">
    <vt:lpwstr>0x01010099C01A7CBCC89E43BECB694AF5E0D618</vt:lpwstr>
  </op:property>
  <op:property fmtid="{D5CDD505-2E9C-101B-9397-08002B2CF9AE}" pid="3" name="MediaServiceImageTags">
    <vt:lpwstr/>
  </op:property>
</op:Properties>
</file>